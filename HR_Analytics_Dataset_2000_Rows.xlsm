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79555e94b86df1eb/Desktop/excel projects/"/>
    </mc:Choice>
  </mc:AlternateContent>
  <xr:revisionPtr revIDLastSave="94" documentId="13_ncr:1_{71E6C7A4-FF10-4651-AA54-4314E9BCDC2C}" xr6:coauthVersionLast="47" xr6:coauthVersionMax="47" xr10:uidLastSave="{7C44DFC6-A02B-49EF-8538-F42C7D6CEBC2}"/>
  <bookViews>
    <workbookView xWindow="-110" yWindow="-110" windowWidth="19420" windowHeight="10420" activeTab="2" xr2:uid="{00000000-000D-0000-FFFF-FFFF00000000}"/>
  </bookViews>
  <sheets>
    <sheet name="Data" sheetId="1" r:id="rId1"/>
    <sheet name="Pivot" sheetId="2" r:id="rId2"/>
    <sheet name="Dashboard" sheetId="3" r:id="rId3"/>
  </sheets>
  <functionGroups builtInGroupCount="19"/>
  <definedNames>
    <definedName name="Slicer_Department">#N/A</definedName>
    <definedName name="Slicer_Designation">#N/A</definedName>
    <definedName name="Slicer_Employment_Status">#N/A</definedName>
    <definedName name="Slicer_Gender">#N/A</definedName>
    <definedName name="Slicer_Work_Mode">#N/A</definedName>
  </definedNames>
  <calcPr calcId="191029"/>
  <pivotCaches>
    <pivotCache cacheId="538"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3" l="1"/>
  <c r="J5" i="3"/>
  <c r="H5" i="3"/>
  <c r="F5" i="3"/>
  <c r="D5" i="3"/>
  <c r="B5" i="3"/>
  <c r="Y101" i="1"/>
  <c r="Y1552" i="1"/>
  <c r="Y740" i="1"/>
  <c r="Y544" i="1"/>
  <c r="Y1573" i="1"/>
  <c r="Y662" i="1"/>
  <c r="Y745" i="1"/>
  <c r="Y1886" i="1"/>
  <c r="Y466" i="1"/>
  <c r="Y347" i="1"/>
  <c r="Y691" i="1"/>
  <c r="Y1607" i="1"/>
  <c r="Y457" i="1"/>
  <c r="Y1421" i="1"/>
  <c r="Y95" i="1"/>
  <c r="Y588" i="1"/>
  <c r="Y1251" i="1"/>
  <c r="Y1271" i="1"/>
  <c r="Y164" i="1"/>
  <c r="Y1066" i="1"/>
  <c r="Y914" i="1"/>
  <c r="Y1715" i="1"/>
  <c r="Y1630" i="1"/>
  <c r="Y1626" i="1"/>
  <c r="Y843" i="1"/>
  <c r="Y273" i="1"/>
  <c r="Y1148" i="1"/>
  <c r="Y1025" i="1"/>
  <c r="Y1522" i="1"/>
  <c r="Y1219" i="1"/>
  <c r="Y1447" i="1"/>
  <c r="Y1359" i="1"/>
  <c r="Y369" i="1"/>
  <c r="Y1718" i="1"/>
  <c r="Y518" i="1"/>
  <c r="Y1904" i="1"/>
  <c r="Y221" i="1"/>
  <c r="Y1977" i="1"/>
  <c r="Y274" i="1"/>
  <c r="Y1663" i="1"/>
  <c r="Y432" i="1"/>
  <c r="Y1257" i="1"/>
  <c r="Y1822" i="1"/>
  <c r="Y1689" i="1"/>
  <c r="Y1500" i="1"/>
  <c r="Y774" i="1"/>
  <c r="Y1384" i="1"/>
  <c r="Y513" i="1"/>
  <c r="Y1733" i="1"/>
  <c r="Y784" i="1"/>
  <c r="Y1952" i="1"/>
  <c r="Y797" i="1"/>
  <c r="Y736" i="1"/>
  <c r="Y404" i="1"/>
  <c r="Y131" i="1"/>
  <c r="Y800" i="1"/>
  <c r="Y1559" i="1"/>
  <c r="Y1185" i="1"/>
  <c r="Y936" i="1"/>
  <c r="Y656" i="1"/>
  <c r="Y489" i="1"/>
  <c r="Y1540" i="1"/>
  <c r="Y467" i="1"/>
  <c r="Y1127" i="1"/>
  <c r="Y229" i="1"/>
  <c r="Y926" i="1"/>
  <c r="Y1132" i="1"/>
  <c r="Y1740" i="1"/>
  <c r="Y852" i="1"/>
  <c r="Y578" i="1"/>
  <c r="Y1474" i="1"/>
  <c r="Y888" i="1"/>
  <c r="Y1918" i="1"/>
  <c r="Y1360" i="1"/>
  <c r="Y867" i="1"/>
  <c r="Y1179" i="1"/>
  <c r="Y1190" i="1"/>
  <c r="Y204" i="1"/>
  <c r="Y1878" i="1"/>
  <c r="Y1677" i="1"/>
  <c r="Y330" i="1"/>
  <c r="Y1869" i="1"/>
  <c r="Y769" i="1"/>
  <c r="Y1186" i="1"/>
  <c r="Y160" i="1"/>
  <c r="Y559" i="1"/>
  <c r="Y1670" i="1"/>
  <c r="Y165" i="1"/>
  <c r="Y132" i="1"/>
  <c r="Y1349" i="1"/>
  <c r="Y955" i="1"/>
  <c r="Y1429" i="1"/>
  <c r="Y82" i="1"/>
  <c r="Y1598" i="1"/>
  <c r="Y1416" i="1"/>
  <c r="Y1526" i="1"/>
  <c r="Y1262" i="1"/>
  <c r="Y265" i="1"/>
  <c r="Y1433" i="1"/>
  <c r="Y725" i="1"/>
  <c r="Y396" i="1"/>
  <c r="Y1984" i="1"/>
  <c r="Y636" i="1"/>
  <c r="Y1277" i="1"/>
  <c r="Y89" i="1"/>
  <c r="Y1112" i="1"/>
  <c r="Y1212" i="1"/>
  <c r="Y1747" i="1"/>
  <c r="Y1939" i="1"/>
  <c r="Y1320" i="1"/>
  <c r="Y1120" i="1"/>
  <c r="Y333" i="1"/>
  <c r="Y545" i="1"/>
  <c r="Y355" i="1"/>
  <c r="Y891" i="1"/>
  <c r="Y1010" i="1"/>
  <c r="Y579" i="1"/>
  <c r="Y254" i="1"/>
  <c r="Y1940" i="1"/>
  <c r="Y755" i="1"/>
  <c r="Y1404" i="1"/>
  <c r="Y287" i="1"/>
  <c r="Y923" i="1"/>
  <c r="Y535" i="1"/>
  <c r="Y1490" i="1"/>
  <c r="Y632" i="1"/>
  <c r="Y931" i="1"/>
  <c r="Y465" i="1"/>
  <c r="Y1969" i="1"/>
  <c r="Y776" i="1"/>
  <c r="Y1833" i="1"/>
  <c r="Y492" i="1"/>
  <c r="Y124" i="1"/>
  <c r="Y1783" i="1"/>
  <c r="Y487" i="1"/>
  <c r="Y1960" i="1"/>
  <c r="Y833" i="1"/>
  <c r="Y373" i="1"/>
  <c r="Y319" i="1"/>
  <c r="Y990" i="1"/>
  <c r="Y1709" i="1"/>
  <c r="Y203" i="1"/>
  <c r="Y600" i="1"/>
  <c r="Y1080" i="1"/>
  <c r="Y1015" i="1"/>
  <c r="Y117" i="1"/>
  <c r="Y480" i="1"/>
  <c r="Y1387" i="1"/>
  <c r="Y526" i="1"/>
  <c r="Y322" i="1"/>
  <c r="Y1019" i="1"/>
  <c r="Y352" i="1"/>
  <c r="Y1183" i="1"/>
  <c r="Y996" i="1"/>
  <c r="Y413" i="1"/>
  <c r="Y182" i="1"/>
  <c r="Y23" i="1"/>
  <c r="Y947" i="1"/>
  <c r="Y289" i="1"/>
  <c r="Y965" i="1"/>
  <c r="Y1230" i="1"/>
  <c r="Y1726" i="1"/>
  <c r="Y1391" i="1"/>
  <c r="Y397" i="1"/>
  <c r="Y1252" i="1"/>
  <c r="Y33" i="1"/>
  <c r="Y927" i="1"/>
  <c r="Y1518" i="1"/>
  <c r="Y695" i="1"/>
  <c r="Y603" i="1"/>
  <c r="Y1807" i="1"/>
  <c r="Y1930" i="1"/>
  <c r="Y509" i="1"/>
  <c r="Y41" i="1"/>
  <c r="Y1779" i="1"/>
  <c r="Y1993" i="1"/>
  <c r="Y1003" i="1"/>
  <c r="Y1710" i="1"/>
  <c r="Y353" i="1"/>
  <c r="Y504" i="1"/>
  <c r="Y1996" i="1"/>
  <c r="Y1030" i="1"/>
  <c r="Y1620" i="1"/>
  <c r="Y1303" i="1"/>
  <c r="Y1411" i="1"/>
  <c r="Y458" i="1"/>
  <c r="Y601" i="1"/>
  <c r="Y592" i="1"/>
  <c r="Y1361" i="1"/>
  <c r="Y1898" i="1"/>
  <c r="Y1936" i="1"/>
  <c r="Y490" i="1"/>
  <c r="Y1012" i="1"/>
  <c r="Y1850" i="1"/>
  <c r="Y1253" i="1"/>
  <c r="Y73" i="1"/>
  <c r="Y1324" i="1"/>
  <c r="Y731" i="1"/>
  <c r="Y1339" i="1"/>
  <c r="Y1773" i="1"/>
  <c r="Y1780" i="1"/>
  <c r="Y1560" i="1"/>
  <c r="Y1589" i="1"/>
  <c r="Y2" i="1"/>
  <c r="Y1692" i="1"/>
  <c r="Y997" i="1"/>
  <c r="Y1892" i="1"/>
  <c r="Y1763" i="1"/>
  <c r="Y1978" i="1"/>
  <c r="Y1222" i="1"/>
  <c r="Y971" i="1"/>
  <c r="Y562" i="1"/>
  <c r="Y741" i="1"/>
  <c r="Y930" i="1"/>
  <c r="Y796" i="1"/>
  <c r="Y948" i="1"/>
  <c r="Y804" i="1"/>
  <c r="Y597" i="1"/>
  <c r="Y514" i="1"/>
  <c r="Y791" i="1"/>
  <c r="Y474" i="1"/>
  <c r="Y1055" i="1"/>
  <c r="Y1294" i="1"/>
  <c r="Y1378" i="1"/>
  <c r="Y1953" i="1"/>
  <c r="Y538" i="1"/>
  <c r="Y1947" i="1"/>
  <c r="Y1088" i="1"/>
  <c r="Y312" i="1"/>
  <c r="Y1998" i="1"/>
  <c r="Y1795" i="1"/>
  <c r="Y1325" i="1"/>
  <c r="Y1588" i="1"/>
  <c r="Y1366" i="1"/>
  <c r="Y1854" i="1"/>
  <c r="Y1810" i="1"/>
  <c r="Y732" i="1"/>
  <c r="Y1128" i="1"/>
  <c r="Y1980" i="1"/>
  <c r="Y1459" i="1"/>
  <c r="Y1667" i="1"/>
  <c r="Y407" i="1"/>
  <c r="Y1478" i="1"/>
  <c r="Y179" i="1"/>
  <c r="Y438" i="1"/>
  <c r="Y449" i="1"/>
  <c r="Y1231" i="1"/>
  <c r="Y1220" i="1"/>
  <c r="Y1340" i="1"/>
  <c r="Y1370" i="1"/>
  <c r="Y580" i="1"/>
  <c r="Y1069" i="1"/>
  <c r="Y374" i="1"/>
  <c r="Y1049" i="1"/>
  <c r="Y21" i="1"/>
  <c r="Y290" i="1"/>
  <c r="Y1734" i="1"/>
  <c r="Y849" i="1"/>
  <c r="Y998" i="1"/>
  <c r="Y1682" i="1"/>
  <c r="Y233" i="1"/>
  <c r="Y191" i="1"/>
  <c r="Y192" i="1"/>
  <c r="Y669" i="1"/>
  <c r="Y1777" i="1"/>
  <c r="Y37" i="1"/>
  <c r="Y1214" i="1"/>
  <c r="Y1561" i="1"/>
  <c r="Y515" i="1"/>
  <c r="Y510" i="1"/>
  <c r="Y1790" i="1"/>
  <c r="Y981" i="1"/>
  <c r="Y1999" i="1"/>
  <c r="Y1678" i="1"/>
  <c r="Y767" i="1"/>
  <c r="Y356" i="1"/>
  <c r="Y1535" i="1"/>
  <c r="Y552" i="1"/>
  <c r="Y288" i="1"/>
  <c r="Y1562" i="1"/>
  <c r="Y393" i="1"/>
  <c r="Y870" i="1"/>
  <c r="Y541" i="1"/>
  <c r="Y298" i="1"/>
  <c r="Y1574" i="1"/>
  <c r="Y1187" i="1"/>
  <c r="Y850" i="1"/>
  <c r="Y161" i="1"/>
  <c r="Y1448" i="1"/>
  <c r="Y928" i="1"/>
  <c r="Y398" i="1"/>
  <c r="Y1958" i="1"/>
  <c r="Y1235" i="1"/>
  <c r="Y1166" i="1"/>
  <c r="Y657" i="1"/>
  <c r="Y1590" i="1"/>
  <c r="Y523" i="1"/>
  <c r="Y762" i="1"/>
  <c r="Y452" i="1"/>
  <c r="Y334" i="1"/>
  <c r="Y609" i="1"/>
  <c r="Y387" i="1"/>
  <c r="Y1342" i="1"/>
  <c r="Y519" i="1"/>
  <c r="Y1909" i="1"/>
  <c r="Y824" i="1"/>
  <c r="Y643" i="1"/>
  <c r="Y17" i="1"/>
  <c r="Y706" i="1"/>
  <c r="Y817" i="1"/>
  <c r="Y581" i="1"/>
  <c r="Y429" i="1"/>
  <c r="Y11" i="1"/>
  <c r="Y688" i="1"/>
  <c r="Y1845" i="1"/>
  <c r="Y1152" i="1"/>
  <c r="Y1900" i="1"/>
  <c r="Y459" i="1"/>
  <c r="Y1547" i="1"/>
  <c r="Y208" i="1"/>
  <c r="Y546" i="1"/>
  <c r="Y493" i="1"/>
  <c r="Y263" i="1"/>
  <c r="Y1823" i="1"/>
  <c r="Y1385" i="1"/>
  <c r="Y1963" i="1"/>
  <c r="Y1308" i="1"/>
  <c r="Y1507" i="1"/>
  <c r="Y868" i="1"/>
  <c r="Y188" i="1"/>
  <c r="Y222" i="1"/>
  <c r="Y314" i="1"/>
  <c r="Y1491" i="1"/>
  <c r="Y18" i="1"/>
  <c r="Y234" i="1"/>
  <c r="Y1154" i="1"/>
  <c r="Y1170" i="1"/>
  <c r="Y1858" i="1"/>
  <c r="Y1236" i="1"/>
  <c r="Y709" i="1"/>
  <c r="Y68" i="1"/>
  <c r="Y1423" i="1"/>
  <c r="Y446" i="1"/>
  <c r="Y711" i="1"/>
  <c r="Y1837" i="1"/>
  <c r="Y1599" i="1"/>
  <c r="Y251" i="1"/>
  <c r="Y640" i="1"/>
  <c r="Y658" i="1"/>
  <c r="Y1621" i="1"/>
  <c r="Y582" i="1"/>
  <c r="Y1767" i="1"/>
  <c r="Y1102" i="1"/>
  <c r="Y1013" i="1"/>
  <c r="Y1392" i="1"/>
  <c r="Y805" i="1"/>
  <c r="Y1627" i="1"/>
  <c r="Y1007" i="1"/>
  <c r="Y648" i="1"/>
  <c r="Y816" i="1"/>
  <c r="Y291" i="1"/>
  <c r="Y1759" i="1"/>
  <c r="Y339" i="1"/>
  <c r="Y1139" i="1"/>
  <c r="Y1859" i="1"/>
  <c r="Y1450" i="1"/>
  <c r="Y593" i="1"/>
  <c r="Y1184" i="1"/>
  <c r="Y1622" i="1"/>
  <c r="Y986" i="1"/>
  <c r="Y881" i="1"/>
  <c r="Y1578" i="1"/>
  <c r="Y610" i="1"/>
  <c r="Y2000" i="1"/>
  <c r="Y1460" i="1"/>
  <c r="Y918" i="1"/>
  <c r="Y455" i="1"/>
  <c r="Y1798" i="1"/>
  <c r="Y1784" i="1"/>
  <c r="Y279" i="1"/>
  <c r="Y952" i="1"/>
  <c r="Y1455" i="1"/>
  <c r="Y6" i="1"/>
  <c r="Y698" i="1"/>
  <c r="Y14" i="1"/>
  <c r="Y919" i="1"/>
  <c r="Y1430" i="1"/>
  <c r="Y24" i="1"/>
  <c r="Y819" i="1"/>
  <c r="Y1523" i="1"/>
  <c r="Y469" i="1"/>
  <c r="Y659" i="1"/>
  <c r="Y677" i="1"/>
  <c r="Y1171" i="1"/>
  <c r="Y866" i="1"/>
  <c r="Y1441" i="1"/>
  <c r="Y1299" i="1"/>
  <c r="Y1350" i="1"/>
  <c r="Y475" i="1"/>
  <c r="Y780" i="1"/>
  <c r="Y1664" i="1"/>
  <c r="Y1278" i="1"/>
  <c r="Y1050" i="1"/>
  <c r="Y1333" i="1"/>
  <c r="Y693" i="1"/>
  <c r="Y1081" i="1"/>
  <c r="Y1889" i="1"/>
  <c r="Y1367" i="1"/>
  <c r="Y1501" i="1"/>
  <c r="Y1760" i="1"/>
  <c r="Y1176" i="1"/>
  <c r="Y1653" i="1"/>
  <c r="Y456" i="1"/>
  <c r="Y1140" i="1"/>
  <c r="Y1861" i="1"/>
  <c r="Y1287" i="1"/>
  <c r="Y878" i="1"/>
  <c r="Y932" i="1"/>
  <c r="Y1335" i="1"/>
  <c r="Y1113" i="1"/>
  <c r="Y1379" i="1"/>
  <c r="Y205" i="1"/>
  <c r="Y1004" i="1"/>
  <c r="Y1051" i="1"/>
  <c r="Y166" i="1"/>
  <c r="Y1541" i="1"/>
  <c r="Y1091" i="1"/>
  <c r="Y682" i="1"/>
  <c r="Y1272" i="1"/>
  <c r="Y1870" i="1"/>
  <c r="Y357" i="1"/>
  <c r="Y665" i="1"/>
  <c r="Y1261" i="1"/>
  <c r="Y1388" i="1"/>
  <c r="Y92" i="1"/>
  <c r="Y1631" i="1"/>
  <c r="Y727" i="1"/>
  <c r="Y1056" i="1"/>
  <c r="Y1052" i="1"/>
  <c r="Y987" i="1"/>
  <c r="Y148" i="1"/>
  <c r="Y700" i="1"/>
  <c r="Y1654" i="1"/>
  <c r="Y1956" i="1"/>
  <c r="Y1768" i="1"/>
  <c r="Y38" i="1"/>
  <c r="Y733" i="1"/>
  <c r="Y589" i="1"/>
  <c r="Y1554" i="1"/>
  <c r="Y1964" i="1"/>
  <c r="Y1198" i="1"/>
  <c r="Y1761" i="1"/>
  <c r="Y1265" i="1"/>
  <c r="Y43" i="1"/>
  <c r="Y34" i="1"/>
  <c r="Y529" i="1"/>
  <c r="Y830" i="1"/>
  <c r="Y560" i="1"/>
  <c r="Y1295" i="1"/>
  <c r="Y743" i="1"/>
  <c r="Y1188" i="1"/>
  <c r="Y1452" i="1"/>
  <c r="Y1172" i="1"/>
  <c r="Y768" i="1"/>
  <c r="Y1716" i="1"/>
  <c r="Y1808" i="1"/>
  <c r="Y1814" i="1"/>
  <c r="Y542" i="1"/>
  <c r="Y1871" i="1"/>
  <c r="Y869" i="1"/>
  <c r="Y555" i="1"/>
  <c r="Y1155" i="1"/>
  <c r="Y651" i="1"/>
  <c r="Y960" i="1"/>
  <c r="Y1443" i="1"/>
  <c r="Y292" i="1"/>
  <c r="Y69" i="1"/>
  <c r="Y1177" i="1"/>
  <c r="Y1799" i="1"/>
  <c r="Y1042" i="1"/>
  <c r="Y1502" i="1"/>
  <c r="Y104" i="1"/>
  <c r="Y1456" i="1"/>
  <c r="Y1512" i="1"/>
  <c r="Y645" i="1"/>
  <c r="Y1092" i="1"/>
  <c r="Y1811" i="1"/>
  <c r="Y766" i="1"/>
  <c r="Y102" i="1"/>
  <c r="Y1494" i="1"/>
  <c r="Y400" i="1"/>
  <c r="Y553" i="1"/>
  <c r="Y354" i="1"/>
  <c r="Y1675" i="1"/>
  <c r="Y1354" i="1"/>
  <c r="Y696" i="1"/>
  <c r="Y1751" i="1"/>
  <c r="Y549" i="1"/>
  <c r="Y1161" i="1"/>
  <c r="Y241" i="1"/>
  <c r="Y873" i="1"/>
  <c r="Y167" i="1"/>
  <c r="Y494" i="1"/>
  <c r="Y1668" i="1"/>
  <c r="Y949" i="1"/>
  <c r="Y1548" i="1"/>
  <c r="Y1516" i="1"/>
  <c r="Y284" i="1"/>
  <c r="Y1985" i="1"/>
  <c r="Y1457" i="1"/>
  <c r="Y83" i="1"/>
  <c r="Y572" i="1"/>
  <c r="Y1948" i="1"/>
  <c r="Y125" i="1"/>
  <c r="Y1748" i="1"/>
  <c r="Y746" i="1"/>
  <c r="Y1060" i="1"/>
  <c r="Y162" i="1"/>
  <c r="Y120" i="1"/>
  <c r="Y408" i="1"/>
  <c r="Y376" i="1"/>
  <c r="Y1180" i="1"/>
  <c r="Y390" i="1"/>
  <c r="Y39" i="1"/>
  <c r="Y506" i="1"/>
  <c r="Y53" i="1"/>
  <c r="Y1800" i="1"/>
  <c r="Y1341" i="1"/>
  <c r="Y1424" i="1"/>
  <c r="Y908" i="1"/>
  <c r="Y994" i="1"/>
  <c r="Y777" i="1"/>
  <c r="Y414" i="1"/>
  <c r="Y1944" i="1"/>
  <c r="Y1997" i="1"/>
  <c r="Y105" i="1"/>
  <c r="Y1467" i="1"/>
  <c r="Y1142" i="1"/>
  <c r="Y1827" i="1"/>
  <c r="Y585" i="1"/>
  <c r="Y9" i="1"/>
  <c r="Y707" i="1"/>
  <c r="Y168" i="1"/>
  <c r="Y1223" i="1"/>
  <c r="Y1703" i="1"/>
  <c r="Y982" i="1"/>
  <c r="Y255" i="1"/>
  <c r="Y1721" i="1"/>
  <c r="Y937" i="1"/>
  <c r="Y320" i="1"/>
  <c r="Y785" i="1"/>
  <c r="Y1536" i="1"/>
  <c r="Y812" i="1"/>
  <c r="Y806" i="1"/>
  <c r="Y627" i="1"/>
  <c r="Y1743" i="1"/>
  <c r="Y340" i="1"/>
  <c r="Y1280" i="1"/>
  <c r="Y461" i="1"/>
  <c r="Y1805" i="1"/>
  <c r="Y1949" i="1"/>
  <c r="Y380" i="1"/>
  <c r="Y321" i="1"/>
  <c r="Y1104" i="1"/>
  <c r="Y79" i="1"/>
  <c r="Y1533" i="1"/>
  <c r="Y1735" i="1"/>
  <c r="Y1981" i="1"/>
  <c r="Y1579" i="1"/>
  <c r="Y1753" i="1"/>
  <c r="Y972" i="1"/>
  <c r="Y1509" i="1"/>
  <c r="Y143" i="1"/>
  <c r="Y1129" i="1"/>
  <c r="Y304" i="1"/>
  <c r="Y906" i="1"/>
  <c r="Y524" i="1"/>
  <c r="Y1304" i="1"/>
  <c r="Y860" i="1"/>
  <c r="Y902" i="1"/>
  <c r="Y1371" i="1"/>
  <c r="Y122" i="1"/>
  <c r="Y1650" i="1"/>
  <c r="Y988" i="1"/>
  <c r="Y484" i="1"/>
  <c r="Y252" i="1"/>
  <c r="Y1156" i="1"/>
  <c r="Y491" i="1"/>
  <c r="Y528" i="1"/>
  <c r="Y896" i="1"/>
  <c r="Y646" i="1"/>
  <c r="Y1961" i="1"/>
  <c r="Y1099" i="1"/>
  <c r="Y1495" i="1"/>
  <c r="Y1143" i="1"/>
  <c r="Y875" i="1"/>
  <c r="Y358" i="1"/>
  <c r="Y1300" i="1"/>
  <c r="Y1356" i="1"/>
  <c r="Y1022" i="1"/>
  <c r="Y1660" i="1"/>
  <c r="Y242" i="1"/>
  <c r="Y189" i="1"/>
  <c r="Y531" i="1"/>
  <c r="Y763" i="1"/>
  <c r="Y831" i="1"/>
  <c r="Y362" i="1"/>
  <c r="Y1215" i="1"/>
  <c r="Y1693" i="1"/>
  <c r="Y1016" i="1"/>
  <c r="Y1954" i="1"/>
  <c r="Y64" i="1"/>
  <c r="Y548" i="1"/>
  <c r="Y1893" i="1"/>
  <c r="Y920" i="1"/>
  <c r="Y1765" i="1"/>
  <c r="Y520" i="1"/>
  <c r="Y453" i="1"/>
  <c r="Y1397" i="1"/>
  <c r="Y1950" i="1"/>
  <c r="Y1722" i="1"/>
  <c r="Y1174" i="1"/>
  <c r="Y440" i="1"/>
  <c r="Y1345" i="1"/>
  <c r="Y1035" i="1"/>
  <c r="Y341" i="1"/>
  <c r="Y1095" i="1"/>
  <c r="Y197" i="1"/>
  <c r="Y470" i="1"/>
  <c r="Y556" i="1"/>
  <c r="Y999" i="1"/>
  <c r="Y1741" i="1"/>
  <c r="Y323" i="1"/>
  <c r="Y770" i="1"/>
  <c r="Y201" i="1"/>
  <c r="Y1362" i="1"/>
  <c r="Y1640" i="1"/>
  <c r="Y1534" i="1"/>
  <c r="Y1923" i="1"/>
  <c r="Y1851" i="1"/>
  <c r="Y29" i="1"/>
  <c r="Y1910" i="1"/>
  <c r="Y1818" i="1"/>
  <c r="Y1591" i="1"/>
  <c r="Y856" i="1"/>
  <c r="Y1901" i="1"/>
  <c r="Y40" i="1"/>
  <c r="Y1436" i="1"/>
  <c r="Y30" i="1"/>
  <c r="Y498" i="1"/>
  <c r="Y1812" i="1"/>
  <c r="Y462" i="1"/>
  <c r="Y1067" i="1"/>
  <c r="Y236" i="1"/>
  <c r="Y675" i="1"/>
  <c r="Y282" i="1"/>
  <c r="Y1937" i="1"/>
  <c r="Y1894" i="1"/>
  <c r="Y1100" i="1"/>
  <c r="Y235" i="1"/>
  <c r="Y1986" i="1"/>
  <c r="Y1613" i="1"/>
  <c r="Y991" i="1"/>
  <c r="Y1266" i="1"/>
  <c r="Y1445" i="1"/>
  <c r="Y1057" i="1"/>
  <c r="Y604" i="1"/>
  <c r="Y966" i="1"/>
  <c r="Y485" i="1"/>
  <c r="Y1662" i="1"/>
  <c r="Y1343" i="1"/>
  <c r="Y704" i="1"/>
  <c r="Y359" i="1"/>
  <c r="Y921" i="1"/>
  <c r="Y1924" i="1"/>
  <c r="Y1283" i="1"/>
  <c r="Y1876" i="1"/>
  <c r="Y973" i="1"/>
  <c r="Y1862" i="1"/>
  <c r="Y256" i="1"/>
  <c r="Y1475" i="1"/>
  <c r="Y1321" i="1"/>
  <c r="Y938" i="1"/>
  <c r="Y1233" i="1"/>
  <c r="Y1527" i="1"/>
  <c r="Y1327" i="1"/>
  <c r="Y471" i="1"/>
  <c r="Y649" i="1"/>
  <c r="Y1121" i="1"/>
  <c r="Y1061" i="1"/>
  <c r="Y633" i="1"/>
  <c r="Y80" i="1"/>
  <c r="Y1945" i="1"/>
  <c r="Y844" i="1"/>
  <c r="Y761" i="1"/>
  <c r="Y1062" i="1"/>
  <c r="Y880" i="1"/>
  <c r="Y1848" i="1"/>
  <c r="Y377" i="1"/>
  <c r="Y1842" i="1"/>
  <c r="Y335" i="1"/>
  <c r="Y536" i="1"/>
  <c r="Y108" i="1"/>
  <c r="Y613" i="1"/>
  <c r="Y939" i="1"/>
  <c r="Y1405" i="1"/>
  <c r="Y1610" i="1"/>
  <c r="Y326" i="1"/>
  <c r="Y1136" i="1"/>
  <c r="Y1801" i="1"/>
  <c r="Y133" i="1"/>
  <c r="Y1638" i="1"/>
  <c r="Y1723" i="1"/>
  <c r="Y433" i="1"/>
  <c r="Y230" i="1"/>
  <c r="Y754" i="1"/>
  <c r="Y1162" i="1"/>
  <c r="Y712" i="1"/>
  <c r="Y1209" i="1"/>
  <c r="Y1105" i="1"/>
  <c r="Y1603" i="1"/>
  <c r="Y924" i="1"/>
  <c r="Y1425" i="1"/>
  <c r="Y266" i="1"/>
  <c r="Y1070" i="1"/>
  <c r="Y1965" i="1"/>
  <c r="Y1263" i="1"/>
  <c r="Y1144" i="1"/>
  <c r="Y550" i="1"/>
  <c r="Y532" i="1"/>
  <c r="Y1458" i="1"/>
  <c r="Y74" i="1"/>
  <c r="Y1434" i="1"/>
  <c r="Y370" i="1"/>
  <c r="Y1563" i="1"/>
  <c r="Y1291" i="1"/>
  <c r="Y1135" i="1"/>
  <c r="Y1683" i="1"/>
  <c r="Y1191" i="1"/>
  <c r="Y96" i="1"/>
  <c r="Y315" i="1"/>
  <c r="Y1476" i="1"/>
  <c r="Y441" i="1"/>
  <c r="Y58" i="1"/>
  <c r="Y1600" i="1"/>
  <c r="Y638" i="1"/>
  <c r="Y1488" i="1"/>
  <c r="Y1355" i="1"/>
  <c r="Y1752" i="1"/>
  <c r="Y12" i="1"/>
  <c r="Y557" i="1"/>
  <c r="Y183" i="1"/>
  <c r="Y1824" i="1"/>
  <c r="Y909" i="1"/>
  <c r="Y808" i="1"/>
  <c r="Y910" i="1"/>
  <c r="Y1834" i="1"/>
  <c r="Y1192" i="1"/>
  <c r="Y1592" i="1"/>
  <c r="Y1463" i="1"/>
  <c r="Y1258" i="1"/>
  <c r="Y1238" i="1"/>
  <c r="Y1915" i="1"/>
  <c r="Y1216" i="1"/>
  <c r="Y1766" i="1"/>
  <c r="Y1649" i="1"/>
  <c r="Y1628" i="1"/>
  <c r="Y1617" i="1"/>
  <c r="Y25" i="1"/>
  <c r="Y953" i="1"/>
  <c r="Y1970" i="1"/>
  <c r="Y813" i="1"/>
  <c r="Y1203" i="1"/>
  <c r="Y882" i="1"/>
  <c r="Y1513" i="1"/>
  <c r="Y684" i="1"/>
  <c r="Y944" i="1"/>
  <c r="Y15" i="1"/>
  <c r="Y138" i="1"/>
  <c r="Y415" i="1"/>
  <c r="Y1866" i="1"/>
  <c r="Y1701" i="1"/>
  <c r="Y825" i="1"/>
  <c r="Y257" i="1"/>
  <c r="Y1122" i="1"/>
  <c r="Y434" i="1"/>
  <c r="Y521" i="1"/>
  <c r="Y1267" i="1"/>
  <c r="Y499" i="1"/>
  <c r="Y1694" i="1"/>
  <c r="Y383" i="1"/>
  <c r="Y1537" i="1"/>
  <c r="Y84" i="1"/>
  <c r="Y1688" i="1"/>
  <c r="Y539" i="1"/>
  <c r="Y1159" i="1"/>
  <c r="Y344" i="1"/>
  <c r="Y620" i="1"/>
  <c r="Y1884" i="1"/>
  <c r="Y1181" i="1"/>
  <c r="Y954" i="1"/>
  <c r="Y1764" i="1"/>
  <c r="Y1791" i="1"/>
  <c r="Y1872" i="1"/>
  <c r="Y286" i="1"/>
  <c r="Y748" i="1"/>
  <c r="Y747" i="1"/>
  <c r="Y1979" i="1"/>
  <c r="Y1023" i="1"/>
  <c r="Y1273" i="1"/>
  <c r="Y227" i="1"/>
  <c r="Y1555" i="1"/>
  <c r="Y174" i="1"/>
  <c r="Y90" i="1"/>
  <c r="Y605" i="1"/>
  <c r="Y44" i="1"/>
  <c r="Y424" i="1"/>
  <c r="Y1611" i="1"/>
  <c r="Y1058" i="1"/>
  <c r="Y495" i="1"/>
  <c r="Y1305" i="1"/>
  <c r="Y342" i="1"/>
  <c r="Y1038" i="1"/>
  <c r="Y1873" i="1"/>
  <c r="Y316" i="1"/>
  <c r="Y1059" i="1"/>
  <c r="Y801" i="1"/>
  <c r="Y93" i="1"/>
  <c r="Y1855" i="1"/>
  <c r="Y345" i="1"/>
  <c r="Y169" i="1"/>
  <c r="Y1131" i="1"/>
  <c r="Y1966" i="1"/>
  <c r="Y1382" i="1"/>
  <c r="Y1727" i="1"/>
  <c r="Y660" i="1"/>
  <c r="Y1053" i="1"/>
  <c r="Y1082" i="1"/>
  <c r="Y1990" i="1"/>
  <c r="Y1641" i="1"/>
  <c r="Y718" i="1"/>
  <c r="Y114" i="1"/>
  <c r="Y1925" i="1"/>
  <c r="Y1259" i="1"/>
  <c r="Y533" i="1"/>
  <c r="Y213" i="1"/>
  <c r="Y845" i="1"/>
  <c r="Y1558" i="1"/>
  <c r="Y1584" i="1"/>
  <c r="Y3" i="1"/>
  <c r="Y175" i="1"/>
  <c r="Y628" i="1"/>
  <c r="Y1268" i="1"/>
  <c r="Y1941" i="1"/>
  <c r="Y744" i="1"/>
  <c r="Y172" i="1"/>
  <c r="Y1601" i="1"/>
  <c r="Y275" i="1"/>
  <c r="Y152" i="1"/>
  <c r="Y1614" i="1"/>
  <c r="Y1110" i="1"/>
  <c r="Y1632" i="1"/>
  <c r="Y789" i="1"/>
  <c r="Y685" i="1"/>
  <c r="Y1014" i="1"/>
  <c r="Y1485" i="1"/>
  <c r="Y1383" i="1"/>
  <c r="Y1210" i="1"/>
  <c r="Y97" i="1"/>
  <c r="Y280" i="1"/>
  <c r="Y35" i="1"/>
  <c r="Y276" i="1"/>
  <c r="Y1031" i="1"/>
  <c r="Y1111" i="1"/>
  <c r="Y1096" i="1"/>
  <c r="Y20" i="1"/>
  <c r="Y511" i="1"/>
  <c r="Y547" i="1"/>
  <c r="Y1017" i="1"/>
  <c r="Y863" i="1"/>
  <c r="Y614" i="1"/>
  <c r="Y1719" i="1"/>
  <c r="Y1054" i="1"/>
  <c r="Y1157" i="1"/>
  <c r="Y898" i="1"/>
  <c r="Y1982" i="1"/>
  <c r="Y1938" i="1"/>
  <c r="Y708" i="1"/>
  <c r="Y1849" i="1"/>
  <c r="Y661" i="1"/>
  <c r="Y1676" i="1"/>
  <c r="Y686" i="1"/>
  <c r="Y1032" i="1"/>
  <c r="Y1199" i="1"/>
  <c r="Y332" i="1"/>
  <c r="Y1514" i="1"/>
  <c r="Y958" i="1"/>
  <c r="Y1831" i="1"/>
  <c r="Y1679" i="1"/>
  <c r="Y378" i="1"/>
  <c r="Y1556" i="1"/>
  <c r="Y1604" i="1"/>
  <c r="Y173" i="1"/>
  <c r="Y1071" i="1"/>
  <c r="Y828" i="1"/>
  <c r="Y794" i="1"/>
  <c r="Y1672" i="1"/>
  <c r="Y267" i="1"/>
  <c r="Y442" i="1"/>
  <c r="Y244" i="1"/>
  <c r="Y612" i="1"/>
  <c r="Y1615" i="1"/>
  <c r="Y1207" i="1"/>
  <c r="Y281" i="1"/>
  <c r="Y1412" i="1"/>
  <c r="Y1856" i="1"/>
  <c r="Y615" i="1"/>
  <c r="Y1417" i="1"/>
  <c r="Y1322" i="1"/>
  <c r="Y764" i="1"/>
  <c r="Y1011" i="1"/>
  <c r="Y834" i="1"/>
  <c r="Y1150" i="1"/>
  <c r="Y135" i="1"/>
  <c r="Y118" i="1"/>
  <c r="Y1971" i="1"/>
  <c r="Y853" i="1"/>
  <c r="Y634" i="1"/>
  <c r="Y644" i="1"/>
  <c r="Y840" i="1"/>
  <c r="Y749" i="1"/>
  <c r="Y959" i="1"/>
  <c r="Y854" i="1"/>
  <c r="Y1684" i="1"/>
  <c r="Y792" i="1"/>
  <c r="Y1346" i="1"/>
  <c r="Y956" i="1"/>
  <c r="Y1301" i="1"/>
  <c r="Y1647" i="1"/>
  <c r="Y826" i="1"/>
  <c r="Y231" i="1"/>
  <c r="Y1439" i="1"/>
  <c r="Y98" i="1"/>
  <c r="Y775" i="1"/>
  <c r="Y65" i="1"/>
  <c r="Y1217" i="1"/>
  <c r="Y1043" i="1"/>
  <c r="Y348" i="1"/>
  <c r="Y802" i="1"/>
  <c r="Y85" i="1"/>
  <c r="Y4" i="1"/>
  <c r="Y7" i="1"/>
  <c r="Y771" i="1"/>
  <c r="Y1406" i="1"/>
  <c r="Y336" i="1"/>
  <c r="Y1754" i="1"/>
  <c r="Y94" i="1"/>
  <c r="Y153" i="1"/>
  <c r="Y678" i="1"/>
  <c r="Y720" i="1"/>
  <c r="Y1570" i="1"/>
  <c r="Y198" i="1"/>
  <c r="Y184" i="1"/>
  <c r="Y1288" i="1"/>
  <c r="Y1399" i="1"/>
  <c r="Y694" i="1"/>
  <c r="Y1075" i="1"/>
  <c r="Y1347" i="1"/>
  <c r="Y911" i="1"/>
  <c r="Y1440" i="1"/>
  <c r="Y1957" i="1"/>
  <c r="Y52" i="1"/>
  <c r="Y419" i="1"/>
  <c r="Y1239" i="1"/>
  <c r="Y299" i="1"/>
  <c r="Y846" i="1"/>
  <c r="Y1489" i="1"/>
  <c r="Y1724" i="1"/>
  <c r="Y721" i="1"/>
  <c r="Y1931" i="1"/>
  <c r="Y1792" i="1"/>
  <c r="Y995" i="1"/>
  <c r="Y554" i="1"/>
  <c r="Y1951" i="1"/>
  <c r="Y1247" i="1"/>
  <c r="Y1538" i="1"/>
  <c r="Y861" i="1"/>
  <c r="Y308" i="1"/>
  <c r="Y857" i="1"/>
  <c r="Y687" i="1"/>
  <c r="Y1571" i="1"/>
  <c r="Y423" i="1"/>
  <c r="Y1486" i="1"/>
  <c r="Y1639" i="1"/>
  <c r="Y1072" i="1"/>
  <c r="Y1114" i="1"/>
  <c r="Y245" i="1"/>
  <c r="Y1213" i="1"/>
  <c r="Y1234" i="1"/>
  <c r="Y1895" i="1"/>
  <c r="Y1728" i="1"/>
  <c r="Y1994" i="1"/>
  <c r="Y611" i="1"/>
  <c r="Y1380" i="1"/>
  <c r="Y1655" i="1"/>
  <c r="Y360" i="1"/>
  <c r="Y1673" i="1"/>
  <c r="Y206" i="1"/>
  <c r="Y154" i="1"/>
  <c r="Y1785" i="1"/>
  <c r="Y277" i="1"/>
  <c r="Y835" i="1"/>
  <c r="Y1328" i="1"/>
  <c r="Y472" i="1"/>
  <c r="Y1329" i="1"/>
  <c r="Y1564" i="1"/>
  <c r="Y1860" i="1"/>
  <c r="Y1093" i="1"/>
  <c r="Y726" i="1"/>
  <c r="Y1260" i="1"/>
  <c r="Y1972" i="1"/>
  <c r="Y892" i="1"/>
  <c r="Y1281" i="1"/>
  <c r="Y443" i="1"/>
  <c r="Y1395" i="1"/>
  <c r="Y652" i="1"/>
  <c r="Y530" i="1"/>
  <c r="Y155" i="1"/>
  <c r="Y1284" i="1"/>
  <c r="Y1928" i="1"/>
  <c r="Y629" i="1"/>
  <c r="Y283" i="1"/>
  <c r="Y1045" i="1"/>
  <c r="Y756" i="1"/>
  <c r="Y757" i="1"/>
  <c r="Y522" i="1"/>
  <c r="Y228" i="1"/>
  <c r="Y285" i="1"/>
  <c r="Y583" i="1"/>
  <c r="Y430" i="1"/>
  <c r="Y54" i="1"/>
  <c r="Y1008" i="1"/>
  <c r="Y1802" i="1"/>
  <c r="Y1000" i="1"/>
  <c r="Y500" i="1"/>
  <c r="Y1427" i="1"/>
  <c r="Y1285" i="1"/>
  <c r="Y983" i="1"/>
  <c r="Y1189" i="1"/>
  <c r="Y1755" i="1"/>
  <c r="Y243" i="1"/>
  <c r="Y1911" i="1"/>
  <c r="Y1044" i="1"/>
  <c r="Y1524" i="1"/>
  <c r="Y1218" i="1"/>
  <c r="Y444" i="1"/>
  <c r="Y679" i="1"/>
  <c r="Y363" i="1"/>
  <c r="Y641" i="1"/>
  <c r="Y1375" i="1"/>
  <c r="Y31" i="1"/>
  <c r="Y1469" i="1"/>
  <c r="Y327" i="1"/>
  <c r="Y543" i="1"/>
  <c r="Y144" i="1"/>
  <c r="Y822" i="1"/>
  <c r="Y1240" i="1"/>
  <c r="Y907" i="1"/>
  <c r="Y1585" i="1"/>
  <c r="Y1063" i="1"/>
  <c r="Y1431" i="1"/>
  <c r="Y827" i="1"/>
  <c r="Y758" i="1"/>
  <c r="Y820" i="1"/>
  <c r="Y941" i="1"/>
  <c r="Y1890" i="1"/>
  <c r="Y26" i="1"/>
  <c r="Y278" i="1"/>
  <c r="Y10" i="1"/>
  <c r="Y1566" i="1"/>
  <c r="Y573" i="1"/>
  <c r="Y1874" i="1"/>
  <c r="Y1292" i="1"/>
  <c r="Y760" i="1"/>
  <c r="Y933" i="1"/>
  <c r="Y737" i="1"/>
  <c r="Y759" i="1"/>
  <c r="Y1704" i="1"/>
  <c r="Y1039" i="1"/>
  <c r="Y786" i="1"/>
  <c r="Y268" i="1"/>
  <c r="Y246" i="1"/>
  <c r="Y1955" i="1"/>
  <c r="Y566" i="1"/>
  <c r="Y713" i="1"/>
  <c r="Y1926" i="1"/>
  <c r="Y1769" i="1"/>
  <c r="Y1665" i="1"/>
  <c r="Y1774" i="1"/>
  <c r="Y86" i="1"/>
  <c r="Y427" i="1"/>
  <c r="Y1400" i="1"/>
  <c r="Y1334" i="1"/>
  <c r="Y247" i="1"/>
  <c r="Y1204" i="1"/>
  <c r="Y1902" i="1"/>
  <c r="Y486" i="1"/>
  <c r="Y209" i="1"/>
  <c r="Y349" i="1"/>
  <c r="Y193" i="1"/>
  <c r="Y692" i="1"/>
  <c r="Y293" i="1"/>
  <c r="Y1846" i="1"/>
  <c r="Y1919" i="1"/>
  <c r="Y217" i="1"/>
  <c r="Y66" i="1"/>
  <c r="Y626" i="1"/>
  <c r="Y788" i="1"/>
  <c r="Y715" i="1"/>
  <c r="Y1446" i="1"/>
  <c r="Y722" i="1"/>
  <c r="Y1407" i="1"/>
  <c r="Y260" i="1"/>
  <c r="Y1115" i="1"/>
  <c r="Y1720" i="1"/>
  <c r="Y1077" i="1"/>
  <c r="Y447" i="1"/>
  <c r="Y501" i="1"/>
  <c r="Y663" i="1"/>
  <c r="Y697" i="1"/>
  <c r="Y671" i="1"/>
  <c r="Y1593" i="1"/>
  <c r="Y1167" i="1"/>
  <c r="Y496" i="1"/>
  <c r="Y961" i="1"/>
  <c r="Y1381" i="1"/>
  <c r="Y836" i="1"/>
  <c r="Y1256" i="1"/>
  <c r="Y1642" i="1"/>
  <c r="Y984" i="1"/>
  <c r="Y1813" i="1"/>
  <c r="Y1916" i="1"/>
  <c r="Y106" i="1"/>
  <c r="Y1163" i="1"/>
  <c r="Y42" i="1"/>
  <c r="Y1033" i="1"/>
  <c r="Y992" i="1"/>
  <c r="Y1736" i="1"/>
  <c r="Y903" i="1"/>
  <c r="Y1296" i="1"/>
  <c r="Y1572" i="1"/>
  <c r="Y1680" i="1"/>
  <c r="Y985" i="1"/>
  <c r="Y1543" i="1"/>
  <c r="Y1544" i="1"/>
  <c r="Y1896" i="1"/>
  <c r="Y1078" i="1"/>
  <c r="Y1468" i="1"/>
  <c r="Y945" i="1"/>
  <c r="Y1729" i="1"/>
  <c r="Y328" i="1"/>
  <c r="Y1549" i="1"/>
  <c r="Y214" i="1"/>
  <c r="Y1887" i="1"/>
  <c r="Y590" i="1"/>
  <c r="Y1705" i="1"/>
  <c r="Y1553" i="1"/>
  <c r="Y1123" i="1"/>
  <c r="Y185" i="1"/>
  <c r="Y27" i="1"/>
  <c r="Y1713" i="1"/>
  <c r="Y1912" i="1"/>
  <c r="Y60" i="1"/>
  <c r="Y130" i="1"/>
  <c r="Y1089" i="1"/>
  <c r="Y237" i="1"/>
  <c r="Y425" i="1"/>
  <c r="Y410" i="1"/>
  <c r="Y1907" i="1"/>
  <c r="Y1587" i="1"/>
  <c r="Y1793" i="1"/>
  <c r="Y1702" i="1"/>
  <c r="Y1737" i="1"/>
  <c r="Y1749" i="1"/>
  <c r="Y1927" i="1"/>
  <c r="Y1929" i="1"/>
  <c r="Y99" i="1"/>
  <c r="Y899" i="1"/>
  <c r="Y1932" i="1"/>
  <c r="Y832" i="1"/>
  <c r="Y1656" i="1"/>
  <c r="Y934" i="1"/>
  <c r="Y624" i="1"/>
  <c r="Y343" i="1"/>
  <c r="Y1029" i="1"/>
  <c r="Y563" i="1"/>
  <c r="Y1809" i="1"/>
  <c r="Y1076" i="1"/>
  <c r="Y55" i="1"/>
  <c r="Y781" i="1"/>
  <c r="Y401" i="1"/>
  <c r="Y61" i="1"/>
  <c r="Y1794" i="1"/>
  <c r="Y1750" i="1"/>
  <c r="Y935" i="1"/>
  <c r="Y2001" i="1"/>
  <c r="Y1158" i="1"/>
  <c r="Y468" i="1"/>
  <c r="Y258" i="1"/>
  <c r="Y366" i="1"/>
  <c r="Y295" i="1"/>
  <c r="Y1891" i="1"/>
  <c r="Y1309" i="1"/>
  <c r="Y670" i="1"/>
  <c r="Y871" i="1"/>
  <c r="Y1633" i="1"/>
  <c r="Y1920" i="1"/>
  <c r="Y1435" i="1"/>
  <c r="Y186" i="1"/>
  <c r="Y1771" i="1"/>
  <c r="Y1880" i="1"/>
  <c r="Y1477" i="1"/>
  <c r="Y87" i="1"/>
  <c r="Y962" i="1"/>
  <c r="Y416" i="1"/>
  <c r="Y1118" i="1"/>
  <c r="Y1820" i="1"/>
  <c r="Y1297" i="1"/>
  <c r="Y141" i="1"/>
  <c r="Y940" i="1"/>
  <c r="Y1517" i="1"/>
  <c r="Y1885" i="1"/>
  <c r="Y565" i="1"/>
  <c r="Y616" i="1"/>
  <c r="Y1690" i="1"/>
  <c r="Y672" i="1"/>
  <c r="Y435" i="1"/>
  <c r="Y734" i="1"/>
  <c r="Y19" i="1"/>
  <c r="Y1838" i="1"/>
  <c r="Y1279" i="1"/>
  <c r="Y56" i="1"/>
  <c r="Y351" i="1"/>
  <c r="Y1133" i="1"/>
  <c r="Y750" i="1"/>
  <c r="Y107" i="1"/>
  <c r="Y1145" i="1"/>
  <c r="Y454" i="1"/>
  <c r="Y1241" i="1"/>
  <c r="Y558" i="1"/>
  <c r="Y476" i="1"/>
  <c r="Y1991" i="1"/>
  <c r="Y303" i="1"/>
  <c r="Y1983" i="1"/>
  <c r="Y1464" i="1"/>
  <c r="Y1881" i="1"/>
  <c r="Y59" i="1"/>
  <c r="Y537" i="1"/>
  <c r="Y309" i="1"/>
  <c r="Y1685" i="1"/>
  <c r="Y1775" i="1"/>
  <c r="Y1942" i="1"/>
  <c r="Y109" i="1"/>
  <c r="Y1097" i="1"/>
  <c r="Y482" i="1"/>
  <c r="Y224" i="1"/>
  <c r="Y1244" i="1"/>
  <c r="Y728" i="1"/>
  <c r="Y1106" i="1"/>
  <c r="Y1714" i="1"/>
  <c r="Y1465" i="1"/>
  <c r="Y516" i="1"/>
  <c r="Y294" i="1"/>
  <c r="Y793" i="1"/>
  <c r="Y1286" i="1"/>
  <c r="Y1221" i="1"/>
  <c r="Y1635" i="1"/>
  <c r="Y1079" i="1"/>
  <c r="Y1289" i="1"/>
  <c r="Y156" i="1"/>
  <c r="Y1138" i="1"/>
  <c r="Y1602" i="1"/>
  <c r="Y248" i="1"/>
  <c r="Y270" i="1"/>
  <c r="Y1073" i="1"/>
  <c r="Y1695" i="1"/>
  <c r="Y1580" i="1"/>
  <c r="Y1575" i="1"/>
  <c r="Y1623" i="1"/>
  <c r="Y1659" i="1"/>
  <c r="Y145" i="1"/>
  <c r="Y1519" i="1"/>
  <c r="Y1567" i="1"/>
  <c r="Y1415" i="1"/>
  <c r="Y1711" i="1"/>
  <c r="Y176" i="1"/>
  <c r="Y1888" i="1"/>
  <c r="Y893" i="1"/>
  <c r="Y249" i="1"/>
  <c r="Y950" i="1"/>
  <c r="Y22" i="1"/>
  <c r="Y974" i="1"/>
  <c r="Y809" i="1"/>
  <c r="Y1581" i="1"/>
  <c r="Y1921" i="1"/>
  <c r="Y1107" i="1"/>
  <c r="Y1922" i="1"/>
  <c r="Y1116" i="1"/>
  <c r="Y574" i="1"/>
  <c r="Y1973" i="1"/>
  <c r="Y1194" i="1"/>
  <c r="Y1020" i="1"/>
  <c r="Y149" i="1"/>
  <c r="Y364" i="1"/>
  <c r="Y1344" i="1"/>
  <c r="Y1470" i="1"/>
  <c r="Y527" i="1"/>
  <c r="Y621" i="1"/>
  <c r="Y1532" i="1"/>
  <c r="Y1542" i="1"/>
  <c r="Y1364" i="1"/>
  <c r="Y78" i="1"/>
  <c r="Y502" i="1"/>
  <c r="Y1825" i="1"/>
  <c r="Y450" i="1"/>
  <c r="Y1661" i="1"/>
  <c r="Y136" i="1"/>
  <c r="Y218" i="1"/>
  <c r="Y1178" i="1"/>
  <c r="Y608" i="1"/>
  <c r="Y1803" i="1"/>
  <c r="Y1669" i="1"/>
  <c r="Y1651" i="1"/>
  <c r="Y904" i="1"/>
  <c r="Y1047" i="1"/>
  <c r="Y795" i="1"/>
  <c r="Y855" i="1"/>
  <c r="Y1021" i="1"/>
  <c r="Y436" i="1"/>
  <c r="Y975" i="1"/>
  <c r="Y1372" i="1"/>
  <c r="Y1691" i="1"/>
  <c r="Y365" i="1"/>
  <c r="Y1130" i="1"/>
  <c r="Y680" i="1"/>
  <c r="Y1905" i="1"/>
  <c r="Y1337" i="1"/>
  <c r="Y1357" i="1"/>
  <c r="Y261" i="1"/>
  <c r="Y45" i="1"/>
  <c r="Y1224" i="1"/>
  <c r="Y1877" i="1"/>
  <c r="Y517" i="1"/>
  <c r="Y405" i="1"/>
  <c r="Y1863" i="1"/>
  <c r="Y1503" i="1"/>
  <c r="Y676" i="1"/>
  <c r="Y1373" i="1"/>
  <c r="Y194" i="1"/>
  <c r="Y317" i="1"/>
  <c r="Y1974" i="1"/>
  <c r="Y1302" i="1"/>
  <c r="Y1205" i="1"/>
  <c r="Y219" i="1"/>
  <c r="Y1852" i="1"/>
  <c r="Y1269" i="1"/>
  <c r="Y420" i="1"/>
  <c r="Y310" i="1"/>
  <c r="Y810" i="1"/>
  <c r="Y337" i="1"/>
  <c r="Y91" i="1"/>
  <c r="Y630" i="1"/>
  <c r="Y1471" i="1"/>
  <c r="Y596" i="1"/>
  <c r="Y1582" i="1"/>
  <c r="Y473" i="1"/>
  <c r="Y1068" i="1"/>
  <c r="Y1001" i="1"/>
  <c r="Y1853" i="1"/>
  <c r="Y635" i="1"/>
  <c r="Y1453" i="1"/>
  <c r="Y57" i="1"/>
  <c r="Y1681" i="1"/>
  <c r="Y1525" i="1"/>
  <c r="Y821" i="1"/>
  <c r="Y1242" i="1"/>
  <c r="Y1828" i="1"/>
  <c r="Y121" i="1"/>
  <c r="Y238" i="1"/>
  <c r="Y1276" i="1"/>
  <c r="Y1410" i="1"/>
  <c r="Y567" i="1"/>
  <c r="Y13" i="1"/>
  <c r="Y1002" i="1"/>
  <c r="Y126" i="1"/>
  <c r="Y1738" i="1"/>
  <c r="Y32" i="1"/>
  <c r="Y1520" i="1"/>
  <c r="Y1594" i="1"/>
  <c r="Y1098" i="1"/>
  <c r="Y807" i="1"/>
  <c r="Y1739" i="1"/>
  <c r="Y925" i="1"/>
  <c r="Y1618" i="1"/>
  <c r="Y837" i="1"/>
  <c r="Y1124" i="1"/>
  <c r="Y379" i="1"/>
  <c r="Y915" i="1"/>
  <c r="Y1306" i="1"/>
  <c r="Y540" i="1"/>
  <c r="Y300" i="1"/>
  <c r="Y1778" i="1"/>
  <c r="Y146" i="1"/>
  <c r="Y371" i="1"/>
  <c r="Y1933" i="1"/>
  <c r="Y1756" i="1"/>
  <c r="Y787" i="1"/>
  <c r="Y957" i="1"/>
  <c r="Y1671" i="1"/>
  <c r="Y970" i="1"/>
  <c r="Y1545" i="1"/>
  <c r="Y1483" i="1"/>
  <c r="Y1946" i="1"/>
  <c r="Y1227" i="1"/>
  <c r="Y602" i="1"/>
  <c r="Y1046" i="1"/>
  <c r="Y1608" i="1"/>
  <c r="Y269" i="1"/>
  <c r="Y885" i="1"/>
  <c r="Y367" i="1"/>
  <c r="Y575" i="1"/>
  <c r="Y1426" i="1"/>
  <c r="Y1730" i="1"/>
  <c r="Y259" i="1"/>
  <c r="Y1686" i="1"/>
  <c r="Y16" i="1"/>
  <c r="Y1776" i="1"/>
  <c r="Y900" i="1"/>
  <c r="Y884" i="1"/>
  <c r="Y1313" i="1"/>
  <c r="Y1636" i="1"/>
  <c r="Y1696" i="1"/>
  <c r="Y639" i="1"/>
  <c r="Y1787" i="1"/>
  <c r="Y1408" i="1"/>
  <c r="Y1074" i="1"/>
  <c r="Y463" i="1"/>
  <c r="Y1657" i="1"/>
  <c r="Y271" i="1"/>
  <c r="Y129" i="1"/>
  <c r="Y177" i="1"/>
  <c r="Y361" i="1"/>
  <c r="Y1307" i="1"/>
  <c r="Y1101" i="1"/>
  <c r="Y841" i="1"/>
  <c r="Y1697" i="1"/>
  <c r="Y1168" i="1"/>
  <c r="Y1451" i="1"/>
  <c r="Y1788" i="1"/>
  <c r="Y1645" i="1"/>
  <c r="Y127" i="1"/>
  <c r="Y864" i="1"/>
  <c r="Y202" i="1"/>
  <c r="Y1806" i="1"/>
  <c r="Y178" i="1"/>
  <c r="Y1829" i="1"/>
  <c r="Y350" i="1"/>
  <c r="Y738" i="1"/>
  <c r="Y1125" i="1"/>
  <c r="Y942" i="1"/>
  <c r="Y1274" i="1"/>
  <c r="Y650" i="1"/>
  <c r="Y1413" i="1"/>
  <c r="Y503" i="1"/>
  <c r="Y215" i="1"/>
  <c r="Y569" i="1"/>
  <c r="Y1875" i="1"/>
  <c r="Y375" i="1"/>
  <c r="Y301" i="1"/>
  <c r="Y195" i="1"/>
  <c r="Y1576" i="1"/>
  <c r="Y324" i="1"/>
  <c r="Y1275" i="1"/>
  <c r="Y980" i="1"/>
  <c r="Y1528" i="1"/>
  <c r="Y1843" i="1"/>
  <c r="Y1479" i="1"/>
  <c r="Y1444" i="1"/>
  <c r="Y338" i="1"/>
  <c r="Y1398" i="1"/>
  <c r="Y1311" i="1"/>
  <c r="Y110" i="1"/>
  <c r="Y1666" i="1"/>
  <c r="Y1508" i="1"/>
  <c r="Y1141" i="1"/>
  <c r="Y1698" i="1"/>
  <c r="Y158" i="1"/>
  <c r="Y1699" i="1"/>
  <c r="Y1796" i="1"/>
  <c r="Y739" i="1"/>
  <c r="Y851" i="1"/>
  <c r="Y929" i="1"/>
  <c r="Y642" i="1"/>
  <c r="Y598" i="1"/>
  <c r="Y1134" i="1"/>
  <c r="Y790" i="1"/>
  <c r="Y576" i="1"/>
  <c r="Y723" i="1"/>
  <c r="Y311" i="1"/>
  <c r="Y431" i="1"/>
  <c r="Y1036" i="1"/>
  <c r="Y1454" i="1"/>
  <c r="Y1374" i="1"/>
  <c r="Y111" i="1"/>
  <c r="Y1090" i="1"/>
  <c r="Y829" i="1"/>
  <c r="Y170" i="1"/>
  <c r="Y409" i="1"/>
  <c r="Y617" i="1"/>
  <c r="Y1568" i="1"/>
  <c r="Y889" i="1"/>
  <c r="Y388" i="1"/>
  <c r="Y1026" i="1"/>
  <c r="Y967" i="1"/>
  <c r="Y1510" i="1"/>
  <c r="Y1420" i="1"/>
  <c r="Y1832" i="1"/>
  <c r="Y115" i="1"/>
  <c r="Y100" i="1"/>
  <c r="Y1819" i="1"/>
  <c r="Y1899" i="1"/>
  <c r="Y666" i="1"/>
  <c r="Y1393" i="1"/>
  <c r="Y1270" i="1"/>
  <c r="Y28" i="1"/>
  <c r="Y1934" i="1"/>
  <c r="Y1643" i="1"/>
  <c r="Y1913" i="1"/>
  <c r="Y594" i="1"/>
  <c r="Y391" i="1"/>
  <c r="Y199" i="1"/>
  <c r="Y439" i="1"/>
  <c r="Y667" i="1"/>
  <c r="Y1351" i="1"/>
  <c r="Y1040" i="1"/>
  <c r="Y534" i="1"/>
  <c r="Y1975" i="1"/>
  <c r="Y778" i="1"/>
  <c r="Y1232" i="1"/>
  <c r="Y1987" i="1"/>
  <c r="Y751" i="1"/>
  <c r="Y1314" i="1"/>
  <c r="Y701" i="1"/>
  <c r="Y1389" i="1"/>
  <c r="Y1108" i="1"/>
  <c r="Y1316" i="1"/>
  <c r="Y139" i="1"/>
  <c r="Y220" i="1"/>
  <c r="Y318" i="1"/>
  <c r="Y384" i="1"/>
  <c r="Y735" i="1"/>
  <c r="Y872" i="1"/>
  <c r="Y1789" i="1"/>
  <c r="Y1480" i="1"/>
  <c r="Y210" i="1"/>
  <c r="Y1442" i="1"/>
  <c r="Y1550" i="1"/>
  <c r="Y716" i="1"/>
  <c r="Y798" i="1"/>
  <c r="Y1879" i="1"/>
  <c r="Y1967" i="1"/>
  <c r="Y1438" i="1"/>
  <c r="Y1126" i="1"/>
  <c r="Y389" i="1"/>
  <c r="Y862" i="1"/>
  <c r="Y1005" i="1"/>
  <c r="Y568" i="1"/>
  <c r="Y968" i="1"/>
  <c r="Y922" i="1"/>
  <c r="Y779" i="1"/>
  <c r="Y406" i="1"/>
  <c r="Y1009" i="1"/>
  <c r="Y262" i="1"/>
  <c r="Y1243" i="1"/>
  <c r="Y1757" i="1"/>
  <c r="Y1835" i="1"/>
  <c r="Y1706" i="1"/>
  <c r="Y1786" i="1"/>
  <c r="Y719" i="1"/>
  <c r="Y811" i="1"/>
  <c r="Y1422" i="1"/>
  <c r="Y264" i="1"/>
  <c r="Y1595" i="1"/>
  <c r="Y1149" i="1"/>
  <c r="Y385" i="1"/>
  <c r="Y977" i="1"/>
  <c r="Y232" i="1"/>
  <c r="Y512" i="1"/>
  <c r="Y1815" i="1"/>
  <c r="Y1707" i="1"/>
  <c r="Y702" i="1"/>
  <c r="Y1254" i="1"/>
  <c r="Y1024" i="1"/>
  <c r="Y157" i="1"/>
  <c r="Y417" i="1"/>
  <c r="Y1363" i="1"/>
  <c r="Y1624" i="1"/>
  <c r="Y1597" i="1"/>
  <c r="Y847" i="1"/>
  <c r="Y1390" i="1"/>
  <c r="Y187" i="1"/>
  <c r="Y180" i="1"/>
  <c r="Y577" i="1"/>
  <c r="Y1708" i="1"/>
  <c r="Y1041" i="1"/>
  <c r="Y876" i="1"/>
  <c r="Y1064" i="1"/>
  <c r="Y1472" i="1"/>
  <c r="Y772" i="1"/>
  <c r="Y119" i="1"/>
  <c r="Y1515" i="1"/>
  <c r="Y1414" i="1"/>
  <c r="Y1619" i="1"/>
  <c r="Y823" i="1"/>
  <c r="Y1546" i="1"/>
  <c r="Y1368" i="1"/>
  <c r="Y668" i="1"/>
  <c r="Y1867" i="1"/>
  <c r="Y71" i="1"/>
  <c r="Y331" i="1"/>
  <c r="Y742" i="1"/>
  <c r="Y1521" i="1"/>
  <c r="Y481" i="1"/>
  <c r="Y1731" i="1"/>
  <c r="Y1310" i="1"/>
  <c r="Y1616" i="1"/>
  <c r="Y689" i="1"/>
  <c r="Y1674" i="1"/>
  <c r="Y591" i="1"/>
  <c r="Y163" i="1"/>
  <c r="Y159" i="1"/>
  <c r="Y181" i="1"/>
  <c r="Y1644" i="1"/>
  <c r="Y1504" i="1"/>
  <c r="Y477" i="1"/>
  <c r="Y1083" i="1"/>
  <c r="Y1449" i="1"/>
  <c r="Y1744" i="1"/>
  <c r="Y1529" i="1"/>
  <c r="Y1317" i="1"/>
  <c r="Y978" i="1"/>
  <c r="Y67" i="1"/>
  <c r="Y1612" i="1"/>
  <c r="Y622" i="1"/>
  <c r="Y1804" i="1"/>
  <c r="Y1917" i="1"/>
  <c r="Y207" i="1"/>
  <c r="Y1200" i="1"/>
  <c r="Y368" i="1"/>
  <c r="Y1882" i="1"/>
  <c r="Y618" i="1"/>
  <c r="Y464" i="1"/>
  <c r="Y81" i="1"/>
  <c r="Y437" i="1"/>
  <c r="Y1229" i="1"/>
  <c r="Y1437" i="1"/>
  <c r="Y765" i="1"/>
  <c r="Y1298" i="1"/>
  <c r="Y140" i="1"/>
  <c r="Y595" i="1"/>
  <c r="Y969" i="1"/>
  <c r="Y196" i="1"/>
  <c r="Y394" i="1"/>
  <c r="Y1629" i="1"/>
  <c r="Y1976" i="1"/>
  <c r="Y729" i="1"/>
  <c r="Y313" i="1"/>
  <c r="Y211" i="1"/>
  <c r="Y654" i="1"/>
  <c r="Y799" i="1"/>
  <c r="Y421" i="1"/>
  <c r="Y36" i="1"/>
  <c r="Y1530" i="1"/>
  <c r="Y1137" i="1"/>
  <c r="Y1401" i="1"/>
  <c r="Y1248" i="1"/>
  <c r="Y460" i="1"/>
  <c r="Y714" i="1"/>
  <c r="Y47" i="1"/>
  <c r="Y1857" i="1"/>
  <c r="Y1428" i="1"/>
  <c r="Y48" i="1"/>
  <c r="Y1330" i="1"/>
  <c r="Y70" i="1"/>
  <c r="Y1318" i="1"/>
  <c r="Y673" i="1"/>
  <c r="Y1484" i="1"/>
  <c r="Y253" i="1"/>
  <c r="Y943" i="1"/>
  <c r="Y979" i="1"/>
  <c r="Y1146" i="1"/>
  <c r="Y1336" i="1"/>
  <c r="Y963" i="1"/>
  <c r="Y1772" i="1"/>
  <c r="Y1770" i="1"/>
  <c r="Y1037" i="1"/>
  <c r="Y411" i="1"/>
  <c r="Y699" i="1"/>
  <c r="Y1836" i="1"/>
  <c r="Y451" i="1"/>
  <c r="Y1394" i="1"/>
  <c r="Y239" i="1"/>
  <c r="Y1732" i="1"/>
  <c r="Y703" i="1"/>
  <c r="Y1481" i="1"/>
  <c r="Y75" i="1"/>
  <c r="Y858" i="1"/>
  <c r="Y428" i="1"/>
  <c r="Y1195" i="1"/>
  <c r="Y1883" i="1"/>
  <c r="Y346" i="1"/>
  <c r="Y150" i="1"/>
  <c r="Y599" i="1"/>
  <c r="Y426" i="1"/>
  <c r="Y1312" i="1"/>
  <c r="Y1085" i="1"/>
  <c r="Y1282" i="1"/>
  <c r="Y1147" i="1"/>
  <c r="Y478" i="1"/>
  <c r="Y1175" i="1"/>
  <c r="Y607" i="1"/>
  <c r="Y570" i="1"/>
  <c r="Y134" i="1"/>
  <c r="Y1169" i="1"/>
  <c r="Y1742" i="1"/>
  <c r="Y842" i="1"/>
  <c r="Y1396" i="1"/>
  <c r="Y46" i="1"/>
  <c r="Y1432" i="1"/>
  <c r="Y1196" i="1"/>
  <c r="Y814" i="1"/>
  <c r="Y1717" i="1"/>
  <c r="Y886" i="1"/>
  <c r="Y1959" i="1"/>
  <c r="Y212" i="1"/>
  <c r="Y1182" i="1"/>
  <c r="Y418" i="1"/>
  <c r="Y717" i="1"/>
  <c r="Y329" i="1"/>
  <c r="Y250" i="1"/>
  <c r="Y664" i="1"/>
  <c r="Y1839" i="1"/>
  <c r="Y88" i="1"/>
  <c r="Y1988" i="1"/>
  <c r="Y1596" i="1"/>
  <c r="Y710" i="1"/>
  <c r="Y890" i="1"/>
  <c r="Y1745" i="1"/>
  <c r="Y912" i="1"/>
  <c r="Y305" i="1"/>
  <c r="Y112" i="1"/>
  <c r="Y1084" i="1"/>
  <c r="Y623" i="1"/>
  <c r="Y507" i="1"/>
  <c r="Y1583" i="1"/>
  <c r="Y1781" i="1"/>
  <c r="Y901" i="1"/>
  <c r="Y586" i="1"/>
  <c r="Y5" i="1"/>
  <c r="Y272" i="1"/>
  <c r="Y1352" i="1"/>
  <c r="Y1211" i="1"/>
  <c r="Y782" i="1"/>
  <c r="Y1103" i="1"/>
  <c r="Y1816" i="1"/>
  <c r="Y561" i="1"/>
  <c r="Y1868" i="1"/>
  <c r="Y1315" i="1"/>
  <c r="Y1847" i="1"/>
  <c r="Y190" i="1"/>
  <c r="Y1326" i="1"/>
  <c r="Y1225" i="1"/>
  <c r="Y306" i="1"/>
  <c r="Y1117" i="1"/>
  <c r="Y128" i="1"/>
  <c r="Y564" i="1"/>
  <c r="Y1725" i="1"/>
  <c r="Y1531" i="1"/>
  <c r="Y1482" i="1"/>
  <c r="Y1935" i="1"/>
  <c r="Y1027" i="1"/>
  <c r="Y1551" i="1"/>
  <c r="Y1758" i="1"/>
  <c r="Y72" i="1"/>
  <c r="Y1830" i="1"/>
  <c r="Y883" i="1"/>
  <c r="Y655" i="1"/>
  <c r="Y1762" i="1"/>
  <c r="Y606" i="1"/>
  <c r="Y838" i="1"/>
  <c r="Y683" i="1"/>
  <c r="Y887" i="1"/>
  <c r="Y402" i="1"/>
  <c r="Y913" i="1"/>
  <c r="Y1255" i="1"/>
  <c r="Y1646" i="1"/>
  <c r="Y8" i="1"/>
  <c r="Y302" i="1"/>
  <c r="Y916" i="1"/>
  <c r="Y1505" i="1"/>
  <c r="Y225" i="1"/>
  <c r="Y1821" i="1"/>
  <c r="Y1293" i="1"/>
  <c r="Y200" i="1"/>
  <c r="Y647" i="1"/>
  <c r="Y1323" i="1"/>
  <c r="Y1496" i="1"/>
  <c r="Y1539" i="1"/>
  <c r="Y1498" i="1"/>
  <c r="Y372" i="1"/>
  <c r="Y1492" i="1"/>
  <c r="Y137" i="1"/>
  <c r="Y1840" i="1"/>
  <c r="Y976" i="1"/>
  <c r="Y1402" i="1"/>
  <c r="Y631" i="1"/>
  <c r="Y508" i="1"/>
  <c r="Y1249" i="1"/>
  <c r="Y479" i="1"/>
  <c r="Y49" i="1"/>
  <c r="Y653" i="1"/>
  <c r="Y724" i="1"/>
  <c r="Y1577" i="1"/>
  <c r="Y1376" i="1"/>
  <c r="Y1086" i="1"/>
  <c r="Y803" i="1"/>
  <c r="Y1700" i="1"/>
  <c r="Y448" i="1"/>
  <c r="Y1461" i="1"/>
  <c r="Y1250" i="1"/>
  <c r="Y216" i="1"/>
  <c r="Y619" i="1"/>
  <c r="Y993" i="1"/>
  <c r="Y1201" i="1"/>
  <c r="Y1197" i="1"/>
  <c r="Y1648" i="1"/>
  <c r="Y1193" i="1"/>
  <c r="Y1497" i="1"/>
  <c r="Y76" i="1"/>
  <c r="Y773" i="1"/>
  <c r="Y50" i="1"/>
  <c r="Y1018" i="1"/>
  <c r="Y1418" i="1"/>
  <c r="Y525" i="1"/>
  <c r="Y77" i="1"/>
  <c r="Y752" i="1"/>
  <c r="Y1466" i="1"/>
  <c r="Y1353" i="1"/>
  <c r="Y1903" i="1"/>
  <c r="Y815" i="1"/>
  <c r="Y1109" i="1"/>
  <c r="Y1569" i="1"/>
  <c r="Y587" i="1"/>
  <c r="Y1386" i="1"/>
  <c r="Y1228" i="1"/>
  <c r="Y1962" i="1"/>
  <c r="Y1160" i="1"/>
  <c r="Y1968" i="1"/>
  <c r="Y123" i="1"/>
  <c r="Y151" i="1"/>
  <c r="Y1826" i="1"/>
  <c r="Y879" i="1"/>
  <c r="Y625" i="1"/>
  <c r="Y51" i="1"/>
  <c r="Y103" i="1"/>
  <c r="Y1586" i="1"/>
  <c r="Y1487" i="1"/>
  <c r="Y226" i="1"/>
  <c r="Y1609" i="1"/>
  <c r="Y674" i="1"/>
  <c r="Y116" i="1"/>
  <c r="Y1264" i="1"/>
  <c r="Y1634" i="1"/>
  <c r="Y399" i="1"/>
  <c r="Y1369" i="1"/>
  <c r="Y1065" i="1"/>
  <c r="Y1652" i="1"/>
  <c r="Y1365" i="1"/>
  <c r="Y1637" i="1"/>
  <c r="Y386" i="1"/>
  <c r="Y1403" i="1"/>
  <c r="Y1409" i="1"/>
  <c r="Y1995" i="1"/>
  <c r="Y62" i="1"/>
  <c r="Y497" i="1"/>
  <c r="Y1565" i="1"/>
  <c r="Y859" i="1"/>
  <c r="Y325" i="1"/>
  <c r="Y147" i="1"/>
  <c r="Y1331" i="1"/>
  <c r="Y296" i="1"/>
  <c r="Y1914" i="1"/>
  <c r="Y1028" i="1"/>
  <c r="Y894" i="1"/>
  <c r="Y392" i="1"/>
  <c r="Y1817" i="1"/>
  <c r="Y730" i="1"/>
  <c r="Y1087" i="1"/>
  <c r="Y1332" i="1"/>
  <c r="Y422" i="1"/>
  <c r="Y1989" i="1"/>
  <c r="Y1119" i="1"/>
  <c r="Y1625" i="1"/>
  <c r="Y705" i="1"/>
  <c r="Y874" i="1"/>
  <c r="Y877" i="1"/>
  <c r="Y1797" i="1"/>
  <c r="Y681" i="1"/>
  <c r="Y1153" i="1"/>
  <c r="Y895" i="1"/>
  <c r="Y1048" i="1"/>
  <c r="Y865" i="1"/>
  <c r="Y897" i="1"/>
  <c r="Y1844" i="1"/>
  <c r="Y818" i="1"/>
  <c r="Y1208" i="1"/>
  <c r="Y1151" i="1"/>
  <c r="Y381" i="1"/>
  <c r="Y1377" i="1"/>
  <c r="Y1164" i="1"/>
  <c r="Y1473" i="1"/>
  <c r="Y1348" i="1"/>
  <c r="Y1206" i="1"/>
  <c r="Y1237" i="1"/>
  <c r="Y395" i="1"/>
  <c r="Y382" i="1"/>
  <c r="Y1319" i="1"/>
  <c r="Y551" i="1"/>
  <c r="Y783" i="1"/>
  <c r="Y1006" i="1"/>
  <c r="Y1419" i="1"/>
  <c r="Y1605" i="1"/>
  <c r="Y1943" i="1"/>
  <c r="Y1908" i="1"/>
  <c r="Y951" i="1"/>
  <c r="Y964" i="1"/>
  <c r="Y1864" i="1"/>
  <c r="Y839" i="1"/>
  <c r="Y1906" i="1"/>
  <c r="Y1782" i="1"/>
  <c r="Y1506" i="1"/>
  <c r="Y1094" i="1"/>
  <c r="Y1034" i="1"/>
  <c r="Y917" i="1"/>
  <c r="Y1658" i="1"/>
  <c r="Y171" i="1"/>
  <c r="Y1290" i="1"/>
  <c r="Y1165" i="1"/>
  <c r="Y848" i="1"/>
  <c r="Y412" i="1"/>
  <c r="Y1557" i="1"/>
  <c r="Y1841" i="1"/>
  <c r="Y142" i="1"/>
  <c r="Y571" i="1"/>
  <c r="Y403" i="1"/>
  <c r="Y1358" i="1"/>
  <c r="Y1245" i="1"/>
  <c r="Y483" i="1"/>
  <c r="Y1897" i="1"/>
  <c r="Y753" i="1"/>
  <c r="Y445" i="1"/>
  <c r="Y1246" i="1"/>
  <c r="Y1499" i="1"/>
  <c r="Y989" i="1"/>
  <c r="Y1865" i="1"/>
  <c r="Y1173" i="1"/>
  <c r="Y1511" i="1"/>
  <c r="Y63" i="1"/>
  <c r="Y690" i="1"/>
  <c r="Y905" i="1"/>
  <c r="Y240" i="1"/>
  <c r="Y1462" i="1"/>
  <c r="Y1712" i="1"/>
  <c r="Y1687" i="1"/>
  <c r="Y1202" i="1"/>
  <c r="Y1493" i="1"/>
  <c r="Y1338" i="1"/>
  <c r="Y1746" i="1"/>
  <c r="Y1606" i="1"/>
  <c r="Y505" i="1"/>
  <c r="Y1992" i="1"/>
  <c r="Y1226" i="1"/>
  <c r="Y307" i="1"/>
  <c r="Y297" i="1"/>
  <c r="Y223" i="1"/>
  <c r="Y113" i="1"/>
  <c r="Y584" i="1"/>
  <c r="Y637" i="1"/>
  <c r="Y488" i="1"/>
  <c r="Y946" i="1"/>
  <c r="X101" i="1"/>
  <c r="X1552" i="1"/>
  <c r="X740" i="1"/>
  <c r="X544" i="1"/>
  <c r="X1573" i="1"/>
  <c r="X662" i="1"/>
  <c r="X745" i="1"/>
  <c r="X1886" i="1"/>
  <c r="X466" i="1"/>
  <c r="X347" i="1"/>
  <c r="X691" i="1"/>
  <c r="X1607" i="1"/>
  <c r="X457" i="1"/>
  <c r="X1421" i="1"/>
  <c r="X95" i="1"/>
  <c r="X588" i="1"/>
  <c r="X1251" i="1"/>
  <c r="X1271" i="1"/>
  <c r="X164" i="1"/>
  <c r="X1066" i="1"/>
  <c r="X914" i="1"/>
  <c r="X1715" i="1"/>
  <c r="X1630" i="1"/>
  <c r="X1626" i="1"/>
  <c r="X843" i="1"/>
  <c r="X273" i="1"/>
  <c r="X1148" i="1"/>
  <c r="X1025" i="1"/>
  <c r="X1522" i="1"/>
  <c r="X1219" i="1"/>
  <c r="X1447" i="1"/>
  <c r="X1359" i="1"/>
  <c r="X369" i="1"/>
  <c r="X1718" i="1"/>
  <c r="X518" i="1"/>
  <c r="X1904" i="1"/>
  <c r="X221" i="1"/>
  <c r="X1977" i="1"/>
  <c r="X274" i="1"/>
  <c r="X1663" i="1"/>
  <c r="X432" i="1"/>
  <c r="X1257" i="1"/>
  <c r="X1822" i="1"/>
  <c r="X1689" i="1"/>
  <c r="X1500" i="1"/>
  <c r="X774" i="1"/>
  <c r="X1384" i="1"/>
  <c r="X513" i="1"/>
  <c r="X1733" i="1"/>
  <c r="X784" i="1"/>
  <c r="X1952" i="1"/>
  <c r="X797" i="1"/>
  <c r="X736" i="1"/>
  <c r="X404" i="1"/>
  <c r="X131" i="1"/>
  <c r="X800" i="1"/>
  <c r="X1559" i="1"/>
  <c r="X1185" i="1"/>
  <c r="X936" i="1"/>
  <c r="X656" i="1"/>
  <c r="X489" i="1"/>
  <c r="X1540" i="1"/>
  <c r="X467" i="1"/>
  <c r="X1127" i="1"/>
  <c r="X229" i="1"/>
  <c r="X926" i="1"/>
  <c r="X1132" i="1"/>
  <c r="X1740" i="1"/>
  <c r="X852" i="1"/>
  <c r="X578" i="1"/>
  <c r="X1474" i="1"/>
  <c r="X888" i="1"/>
  <c r="X1918" i="1"/>
  <c r="X1360" i="1"/>
  <c r="X867" i="1"/>
  <c r="X1179" i="1"/>
  <c r="X1190" i="1"/>
  <c r="X204" i="1"/>
  <c r="X1878" i="1"/>
  <c r="X1677" i="1"/>
  <c r="X330" i="1"/>
  <c r="X1869" i="1"/>
  <c r="X769" i="1"/>
  <c r="X1186" i="1"/>
  <c r="X160" i="1"/>
  <c r="X559" i="1"/>
  <c r="X1670" i="1"/>
  <c r="X165" i="1"/>
  <c r="X132" i="1"/>
  <c r="X1349" i="1"/>
  <c r="X955" i="1"/>
  <c r="X1429" i="1"/>
  <c r="X82" i="1"/>
  <c r="X1598" i="1"/>
  <c r="X1416" i="1"/>
  <c r="X1526" i="1"/>
  <c r="X1262" i="1"/>
  <c r="X265" i="1"/>
  <c r="X1433" i="1"/>
  <c r="X725" i="1"/>
  <c r="X396" i="1"/>
  <c r="X1984" i="1"/>
  <c r="X636" i="1"/>
  <c r="X1277" i="1"/>
  <c r="X89" i="1"/>
  <c r="X1112" i="1"/>
  <c r="X1212" i="1"/>
  <c r="X1747" i="1"/>
  <c r="X1939" i="1"/>
  <c r="X1320" i="1"/>
  <c r="X1120" i="1"/>
  <c r="X333" i="1"/>
  <c r="X545" i="1"/>
  <c r="X355" i="1"/>
  <c r="X891" i="1"/>
  <c r="X1010" i="1"/>
  <c r="X579" i="1"/>
  <c r="X254" i="1"/>
  <c r="X1940" i="1"/>
  <c r="X755" i="1"/>
  <c r="X1404" i="1"/>
  <c r="X287" i="1"/>
  <c r="X923" i="1"/>
  <c r="X535" i="1"/>
  <c r="X1490" i="1"/>
  <c r="X632" i="1"/>
  <c r="X931" i="1"/>
  <c r="X465" i="1"/>
  <c r="X1969" i="1"/>
  <c r="X776" i="1"/>
  <c r="X1833" i="1"/>
  <c r="X492" i="1"/>
  <c r="X124" i="1"/>
  <c r="X1783" i="1"/>
  <c r="X487" i="1"/>
  <c r="X1960" i="1"/>
  <c r="X833" i="1"/>
  <c r="X373" i="1"/>
  <c r="X319" i="1"/>
  <c r="X990" i="1"/>
  <c r="X1709" i="1"/>
  <c r="X203" i="1"/>
  <c r="X600" i="1"/>
  <c r="X1080" i="1"/>
  <c r="X1015" i="1"/>
  <c r="X117" i="1"/>
  <c r="X480" i="1"/>
  <c r="X1387" i="1"/>
  <c r="X526" i="1"/>
  <c r="X322" i="1"/>
  <c r="X1019" i="1"/>
  <c r="X352" i="1"/>
  <c r="X1183" i="1"/>
  <c r="X996" i="1"/>
  <c r="X413" i="1"/>
  <c r="X182" i="1"/>
  <c r="X23" i="1"/>
  <c r="X947" i="1"/>
  <c r="X289" i="1"/>
  <c r="X965" i="1"/>
  <c r="X1230" i="1"/>
  <c r="X1726" i="1"/>
  <c r="X1391" i="1"/>
  <c r="X397" i="1"/>
  <c r="X1252" i="1"/>
  <c r="X33" i="1"/>
  <c r="X927" i="1"/>
  <c r="X1518" i="1"/>
  <c r="X695" i="1"/>
  <c r="X603" i="1"/>
  <c r="X1807" i="1"/>
  <c r="X1930" i="1"/>
  <c r="X509" i="1"/>
  <c r="X41" i="1"/>
  <c r="X1779" i="1"/>
  <c r="X1993" i="1"/>
  <c r="X1003" i="1"/>
  <c r="X1710" i="1"/>
  <c r="X353" i="1"/>
  <c r="X504" i="1"/>
  <c r="X1996" i="1"/>
  <c r="X1030" i="1"/>
  <c r="X1620" i="1"/>
  <c r="X1303" i="1"/>
  <c r="X1411" i="1"/>
  <c r="X458" i="1"/>
  <c r="X601" i="1"/>
  <c r="X592" i="1"/>
  <c r="X1361" i="1"/>
  <c r="X1898" i="1"/>
  <c r="X1936" i="1"/>
  <c r="X490" i="1"/>
  <c r="X1012" i="1"/>
  <c r="X1850" i="1"/>
  <c r="X1253" i="1"/>
  <c r="X73" i="1"/>
  <c r="X1324" i="1"/>
  <c r="X731" i="1"/>
  <c r="X1339" i="1"/>
  <c r="X1773" i="1"/>
  <c r="X1780" i="1"/>
  <c r="X1560" i="1"/>
  <c r="X1589" i="1"/>
  <c r="X2" i="1"/>
  <c r="X1692" i="1"/>
  <c r="X997" i="1"/>
  <c r="X1892" i="1"/>
  <c r="X1763" i="1"/>
  <c r="X1978" i="1"/>
  <c r="X1222" i="1"/>
  <c r="X971" i="1"/>
  <c r="X562" i="1"/>
  <c r="X741" i="1"/>
  <c r="X930" i="1"/>
  <c r="X796" i="1"/>
  <c r="X948" i="1"/>
  <c r="X804" i="1"/>
  <c r="X597" i="1"/>
  <c r="X514" i="1"/>
  <c r="X791" i="1"/>
  <c r="X474" i="1"/>
  <c r="X1055" i="1"/>
  <c r="X1294" i="1"/>
  <c r="X1378" i="1"/>
  <c r="X1953" i="1"/>
  <c r="X538" i="1"/>
  <c r="X1947" i="1"/>
  <c r="X1088" i="1"/>
  <c r="X312" i="1"/>
  <c r="X1998" i="1"/>
  <c r="X1795" i="1"/>
  <c r="X1325" i="1"/>
  <c r="X1588" i="1"/>
  <c r="X1366" i="1"/>
  <c r="X1854" i="1"/>
  <c r="X1810" i="1"/>
  <c r="X732" i="1"/>
  <c r="X1128" i="1"/>
  <c r="X1980" i="1"/>
  <c r="X1459" i="1"/>
  <c r="X1667" i="1"/>
  <c r="X407" i="1"/>
  <c r="X1478" i="1"/>
  <c r="X179" i="1"/>
  <c r="X438" i="1"/>
  <c r="X449" i="1"/>
  <c r="X1231" i="1"/>
  <c r="X1220" i="1"/>
  <c r="X1340" i="1"/>
  <c r="X1370" i="1"/>
  <c r="X580" i="1"/>
  <c r="X1069" i="1"/>
  <c r="X374" i="1"/>
  <c r="X1049" i="1"/>
  <c r="X21" i="1"/>
  <c r="X290" i="1"/>
  <c r="X1734" i="1"/>
  <c r="X849" i="1"/>
  <c r="X998" i="1"/>
  <c r="X1682" i="1"/>
  <c r="X233" i="1"/>
  <c r="X191" i="1"/>
  <c r="X192" i="1"/>
  <c r="X669" i="1"/>
  <c r="X1777" i="1"/>
  <c r="X37" i="1"/>
  <c r="X1214" i="1"/>
  <c r="X1561" i="1"/>
  <c r="X515" i="1"/>
  <c r="X510" i="1"/>
  <c r="X1790" i="1"/>
  <c r="X981" i="1"/>
  <c r="X1999" i="1"/>
  <c r="X1678" i="1"/>
  <c r="X767" i="1"/>
  <c r="X356" i="1"/>
  <c r="X1535" i="1"/>
  <c r="X552" i="1"/>
  <c r="X288" i="1"/>
  <c r="X1562" i="1"/>
  <c r="X393" i="1"/>
  <c r="X870" i="1"/>
  <c r="X541" i="1"/>
  <c r="X298" i="1"/>
  <c r="X1574" i="1"/>
  <c r="X1187" i="1"/>
  <c r="X850" i="1"/>
  <c r="X161" i="1"/>
  <c r="X1448" i="1"/>
  <c r="X928" i="1"/>
  <c r="X398" i="1"/>
  <c r="X1958" i="1"/>
  <c r="X1235" i="1"/>
  <c r="X1166" i="1"/>
  <c r="X657" i="1"/>
  <c r="X1590" i="1"/>
  <c r="X523" i="1"/>
  <c r="X762" i="1"/>
  <c r="X452" i="1"/>
  <c r="X334" i="1"/>
  <c r="X609" i="1"/>
  <c r="X387" i="1"/>
  <c r="X1342" i="1"/>
  <c r="X519" i="1"/>
  <c r="X1909" i="1"/>
  <c r="X824" i="1"/>
  <c r="X643" i="1"/>
  <c r="X17" i="1"/>
  <c r="X706" i="1"/>
  <c r="X817" i="1"/>
  <c r="X581" i="1"/>
  <c r="X429" i="1"/>
  <c r="X11" i="1"/>
  <c r="X688" i="1"/>
  <c r="X1845" i="1"/>
  <c r="X1152" i="1"/>
  <c r="X1900" i="1"/>
  <c r="X459" i="1"/>
  <c r="X1547" i="1"/>
  <c r="X208" i="1"/>
  <c r="X546" i="1"/>
  <c r="X493" i="1"/>
  <c r="X263" i="1"/>
  <c r="X1823" i="1"/>
  <c r="X1385" i="1"/>
  <c r="X1963" i="1"/>
  <c r="X1308" i="1"/>
  <c r="X1507" i="1"/>
  <c r="X868" i="1"/>
  <c r="X188" i="1"/>
  <c r="X222" i="1"/>
  <c r="X314" i="1"/>
  <c r="X1491" i="1"/>
  <c r="X18" i="1"/>
  <c r="X234" i="1"/>
  <c r="X1154" i="1"/>
  <c r="X1170" i="1"/>
  <c r="X1858" i="1"/>
  <c r="X1236" i="1"/>
  <c r="X709" i="1"/>
  <c r="X68" i="1"/>
  <c r="X1423" i="1"/>
  <c r="X446" i="1"/>
  <c r="X711" i="1"/>
  <c r="X1837" i="1"/>
  <c r="X1599" i="1"/>
  <c r="X251" i="1"/>
  <c r="X640" i="1"/>
  <c r="X658" i="1"/>
  <c r="X1621" i="1"/>
  <c r="X582" i="1"/>
  <c r="X1767" i="1"/>
  <c r="X1102" i="1"/>
  <c r="X1013" i="1"/>
  <c r="X1392" i="1"/>
  <c r="X805" i="1"/>
  <c r="X1627" i="1"/>
  <c r="X1007" i="1"/>
  <c r="X648" i="1"/>
  <c r="X816" i="1"/>
  <c r="X291" i="1"/>
  <c r="X1759" i="1"/>
  <c r="X339" i="1"/>
  <c r="X1139" i="1"/>
  <c r="X1859" i="1"/>
  <c r="X1450" i="1"/>
  <c r="X593" i="1"/>
  <c r="X1184" i="1"/>
  <c r="X1622" i="1"/>
  <c r="X986" i="1"/>
  <c r="X881" i="1"/>
  <c r="X1578" i="1"/>
  <c r="X610" i="1"/>
  <c r="X2000" i="1"/>
  <c r="X1460" i="1"/>
  <c r="X918" i="1"/>
  <c r="X455" i="1"/>
  <c r="X1798" i="1"/>
  <c r="X1784" i="1"/>
  <c r="X279" i="1"/>
  <c r="X952" i="1"/>
  <c r="X1455" i="1"/>
  <c r="X6" i="1"/>
  <c r="X698" i="1"/>
  <c r="X14" i="1"/>
  <c r="X919" i="1"/>
  <c r="X1430" i="1"/>
  <c r="X24" i="1"/>
  <c r="X819" i="1"/>
  <c r="X1523" i="1"/>
  <c r="X469" i="1"/>
  <c r="X659" i="1"/>
  <c r="X677" i="1"/>
  <c r="X1171" i="1"/>
  <c r="X866" i="1"/>
  <c r="X1441" i="1"/>
  <c r="X1299" i="1"/>
  <c r="X1350" i="1"/>
  <c r="X475" i="1"/>
  <c r="X780" i="1"/>
  <c r="X1664" i="1"/>
  <c r="X1278" i="1"/>
  <c r="X1050" i="1"/>
  <c r="X1333" i="1"/>
  <c r="X693" i="1"/>
  <c r="X1081" i="1"/>
  <c r="X1889" i="1"/>
  <c r="X1367" i="1"/>
  <c r="X1501" i="1"/>
  <c r="X1760" i="1"/>
  <c r="X1176" i="1"/>
  <c r="X1653" i="1"/>
  <c r="X456" i="1"/>
  <c r="X1140" i="1"/>
  <c r="X1861" i="1"/>
  <c r="X1287" i="1"/>
  <c r="X878" i="1"/>
  <c r="X932" i="1"/>
  <c r="X1335" i="1"/>
  <c r="X1113" i="1"/>
  <c r="X1379" i="1"/>
  <c r="X205" i="1"/>
  <c r="X1004" i="1"/>
  <c r="X1051" i="1"/>
  <c r="X166" i="1"/>
  <c r="X1541" i="1"/>
  <c r="X1091" i="1"/>
  <c r="X682" i="1"/>
  <c r="X1272" i="1"/>
  <c r="X1870" i="1"/>
  <c r="X357" i="1"/>
  <c r="X665" i="1"/>
  <c r="X1261" i="1"/>
  <c r="X1388" i="1"/>
  <c r="X92" i="1"/>
  <c r="X1631" i="1"/>
  <c r="X727" i="1"/>
  <c r="X1056" i="1"/>
  <c r="X1052" i="1"/>
  <c r="X987" i="1"/>
  <c r="X148" i="1"/>
  <c r="X700" i="1"/>
  <c r="X1654" i="1"/>
  <c r="X1956" i="1"/>
  <c r="X1768" i="1"/>
  <c r="X38" i="1"/>
  <c r="X733" i="1"/>
  <c r="X589" i="1"/>
  <c r="X1554" i="1"/>
  <c r="X1964" i="1"/>
  <c r="X1198" i="1"/>
  <c r="X1761" i="1"/>
  <c r="X1265" i="1"/>
  <c r="X43" i="1"/>
  <c r="X34" i="1"/>
  <c r="X529" i="1"/>
  <c r="X830" i="1"/>
  <c r="X560" i="1"/>
  <c r="X1295" i="1"/>
  <c r="X743" i="1"/>
  <c r="X1188" i="1"/>
  <c r="X1452" i="1"/>
  <c r="X1172" i="1"/>
  <c r="X768" i="1"/>
  <c r="X1716" i="1"/>
  <c r="X1808" i="1"/>
  <c r="X1814" i="1"/>
  <c r="X542" i="1"/>
  <c r="X1871" i="1"/>
  <c r="X869" i="1"/>
  <c r="X555" i="1"/>
  <c r="X1155" i="1"/>
  <c r="X651" i="1"/>
  <c r="X960" i="1"/>
  <c r="X1443" i="1"/>
  <c r="X292" i="1"/>
  <c r="X69" i="1"/>
  <c r="X1177" i="1"/>
  <c r="X1799" i="1"/>
  <c r="X1042" i="1"/>
  <c r="X1502" i="1"/>
  <c r="X104" i="1"/>
  <c r="X1456" i="1"/>
  <c r="X1512" i="1"/>
  <c r="X645" i="1"/>
  <c r="X1092" i="1"/>
  <c r="X1811" i="1"/>
  <c r="X766" i="1"/>
  <c r="X102" i="1"/>
  <c r="X1494" i="1"/>
  <c r="X400" i="1"/>
  <c r="X553" i="1"/>
  <c r="X354" i="1"/>
  <c r="X1675" i="1"/>
  <c r="X1354" i="1"/>
  <c r="X696" i="1"/>
  <c r="X1751" i="1"/>
  <c r="X549" i="1"/>
  <c r="X1161" i="1"/>
  <c r="X241" i="1"/>
  <c r="X873" i="1"/>
  <c r="X167" i="1"/>
  <c r="X494" i="1"/>
  <c r="X1668" i="1"/>
  <c r="X949" i="1"/>
  <c r="X1548" i="1"/>
  <c r="X1516" i="1"/>
  <c r="X284" i="1"/>
  <c r="X1985" i="1"/>
  <c r="X1457" i="1"/>
  <c r="X83" i="1"/>
  <c r="X572" i="1"/>
  <c r="X1948" i="1"/>
  <c r="X125" i="1"/>
  <c r="X1748" i="1"/>
  <c r="X746" i="1"/>
  <c r="X1060" i="1"/>
  <c r="X162" i="1"/>
  <c r="X120" i="1"/>
  <c r="X408" i="1"/>
  <c r="X376" i="1"/>
  <c r="X1180" i="1"/>
  <c r="X390" i="1"/>
  <c r="X39" i="1"/>
  <c r="X506" i="1"/>
  <c r="X53" i="1"/>
  <c r="X1800" i="1"/>
  <c r="X1341" i="1"/>
  <c r="X1424" i="1"/>
  <c r="X908" i="1"/>
  <c r="X994" i="1"/>
  <c r="X777" i="1"/>
  <c r="X414" i="1"/>
  <c r="X1944" i="1"/>
  <c r="X1997" i="1"/>
  <c r="X105" i="1"/>
  <c r="X1467" i="1"/>
  <c r="X1142" i="1"/>
  <c r="X1827" i="1"/>
  <c r="X585" i="1"/>
  <c r="X9" i="1"/>
  <c r="X707" i="1"/>
  <c r="X168" i="1"/>
  <c r="X1223" i="1"/>
  <c r="X1703" i="1"/>
  <c r="X982" i="1"/>
  <c r="X255" i="1"/>
  <c r="X1721" i="1"/>
  <c r="X937" i="1"/>
  <c r="X320" i="1"/>
  <c r="X785" i="1"/>
  <c r="X1536" i="1"/>
  <c r="X812" i="1"/>
  <c r="X806" i="1"/>
  <c r="X627" i="1"/>
  <c r="X1743" i="1"/>
  <c r="X340" i="1"/>
  <c r="X1280" i="1"/>
  <c r="X461" i="1"/>
  <c r="X1805" i="1"/>
  <c r="X1949" i="1"/>
  <c r="X380" i="1"/>
  <c r="X321" i="1"/>
  <c r="X1104" i="1"/>
  <c r="X79" i="1"/>
  <c r="X1533" i="1"/>
  <c r="X1735" i="1"/>
  <c r="X1981" i="1"/>
  <c r="X1579" i="1"/>
  <c r="X1753" i="1"/>
  <c r="X972" i="1"/>
  <c r="X1509" i="1"/>
  <c r="X143" i="1"/>
  <c r="X1129" i="1"/>
  <c r="X304" i="1"/>
  <c r="X906" i="1"/>
  <c r="X524" i="1"/>
  <c r="X1304" i="1"/>
  <c r="X860" i="1"/>
  <c r="X902" i="1"/>
  <c r="X1371" i="1"/>
  <c r="X122" i="1"/>
  <c r="X1650" i="1"/>
  <c r="X988" i="1"/>
  <c r="X484" i="1"/>
  <c r="X252" i="1"/>
  <c r="X1156" i="1"/>
  <c r="X491" i="1"/>
  <c r="X528" i="1"/>
  <c r="X896" i="1"/>
  <c r="X646" i="1"/>
  <c r="X1961" i="1"/>
  <c r="X1099" i="1"/>
  <c r="X1495" i="1"/>
  <c r="X1143" i="1"/>
  <c r="X875" i="1"/>
  <c r="X358" i="1"/>
  <c r="X1300" i="1"/>
  <c r="X1356" i="1"/>
  <c r="X1022" i="1"/>
  <c r="X1660" i="1"/>
  <c r="X242" i="1"/>
  <c r="X189" i="1"/>
  <c r="X531" i="1"/>
  <c r="X763" i="1"/>
  <c r="X831" i="1"/>
  <c r="X362" i="1"/>
  <c r="X1215" i="1"/>
  <c r="X1693" i="1"/>
  <c r="X1016" i="1"/>
  <c r="X1954" i="1"/>
  <c r="X64" i="1"/>
  <c r="X548" i="1"/>
  <c r="X1893" i="1"/>
  <c r="X920" i="1"/>
  <c r="X1765" i="1"/>
  <c r="X520" i="1"/>
  <c r="X453" i="1"/>
  <c r="X1397" i="1"/>
  <c r="X1950" i="1"/>
  <c r="X1722" i="1"/>
  <c r="X1174" i="1"/>
  <c r="X440" i="1"/>
  <c r="X1345" i="1"/>
  <c r="X1035" i="1"/>
  <c r="X341" i="1"/>
  <c r="X1095" i="1"/>
  <c r="X197" i="1"/>
  <c r="X470" i="1"/>
  <c r="X556" i="1"/>
  <c r="X999" i="1"/>
  <c r="X1741" i="1"/>
  <c r="X323" i="1"/>
  <c r="X770" i="1"/>
  <c r="X201" i="1"/>
  <c r="X1362" i="1"/>
  <c r="X1640" i="1"/>
  <c r="X1534" i="1"/>
  <c r="X1923" i="1"/>
  <c r="X1851" i="1"/>
  <c r="X29" i="1"/>
  <c r="X1910" i="1"/>
  <c r="X1818" i="1"/>
  <c r="X1591" i="1"/>
  <c r="X856" i="1"/>
  <c r="X1901" i="1"/>
  <c r="X40" i="1"/>
  <c r="X1436" i="1"/>
  <c r="X30" i="1"/>
  <c r="X498" i="1"/>
  <c r="X1812" i="1"/>
  <c r="X462" i="1"/>
  <c r="X1067" i="1"/>
  <c r="X236" i="1"/>
  <c r="X675" i="1"/>
  <c r="X282" i="1"/>
  <c r="X1937" i="1"/>
  <c r="X1894" i="1"/>
  <c r="X1100" i="1"/>
  <c r="X235" i="1"/>
  <c r="X1986" i="1"/>
  <c r="X1613" i="1"/>
  <c r="X991" i="1"/>
  <c r="X1266" i="1"/>
  <c r="X1445" i="1"/>
  <c r="X1057" i="1"/>
  <c r="X604" i="1"/>
  <c r="X966" i="1"/>
  <c r="X485" i="1"/>
  <c r="X1662" i="1"/>
  <c r="X1343" i="1"/>
  <c r="X704" i="1"/>
  <c r="X359" i="1"/>
  <c r="X921" i="1"/>
  <c r="X1924" i="1"/>
  <c r="X1283" i="1"/>
  <c r="X1876" i="1"/>
  <c r="X973" i="1"/>
  <c r="X1862" i="1"/>
  <c r="X256" i="1"/>
  <c r="X1475" i="1"/>
  <c r="X1321" i="1"/>
  <c r="X938" i="1"/>
  <c r="X1233" i="1"/>
  <c r="X1527" i="1"/>
  <c r="X1327" i="1"/>
  <c r="X471" i="1"/>
  <c r="X649" i="1"/>
  <c r="X1121" i="1"/>
  <c r="X1061" i="1"/>
  <c r="X633" i="1"/>
  <c r="X80" i="1"/>
  <c r="X1945" i="1"/>
  <c r="X844" i="1"/>
  <c r="X761" i="1"/>
  <c r="X1062" i="1"/>
  <c r="X880" i="1"/>
  <c r="X1848" i="1"/>
  <c r="X377" i="1"/>
  <c r="X1842" i="1"/>
  <c r="X335" i="1"/>
  <c r="X536" i="1"/>
  <c r="X108" i="1"/>
  <c r="X613" i="1"/>
  <c r="X939" i="1"/>
  <c r="X1405" i="1"/>
  <c r="X1610" i="1"/>
  <c r="X326" i="1"/>
  <c r="X1136" i="1"/>
  <c r="X1801" i="1"/>
  <c r="X133" i="1"/>
  <c r="X1638" i="1"/>
  <c r="X1723" i="1"/>
  <c r="X433" i="1"/>
  <c r="X230" i="1"/>
  <c r="X754" i="1"/>
  <c r="X1162" i="1"/>
  <c r="X712" i="1"/>
  <c r="X1209" i="1"/>
  <c r="X1105" i="1"/>
  <c r="X1603" i="1"/>
  <c r="X924" i="1"/>
  <c r="X1425" i="1"/>
  <c r="X266" i="1"/>
  <c r="X1070" i="1"/>
  <c r="X1965" i="1"/>
  <c r="X1263" i="1"/>
  <c r="X1144" i="1"/>
  <c r="X550" i="1"/>
  <c r="X532" i="1"/>
  <c r="X1458" i="1"/>
  <c r="X74" i="1"/>
  <c r="X1434" i="1"/>
  <c r="X370" i="1"/>
  <c r="X1563" i="1"/>
  <c r="X1291" i="1"/>
  <c r="X1135" i="1"/>
  <c r="X1683" i="1"/>
  <c r="X1191" i="1"/>
  <c r="X96" i="1"/>
  <c r="X315" i="1"/>
  <c r="X1476" i="1"/>
  <c r="X441" i="1"/>
  <c r="X58" i="1"/>
  <c r="X1600" i="1"/>
  <c r="X638" i="1"/>
  <c r="X1488" i="1"/>
  <c r="X1355" i="1"/>
  <c r="X1752" i="1"/>
  <c r="X12" i="1"/>
  <c r="X557" i="1"/>
  <c r="X183" i="1"/>
  <c r="X1824" i="1"/>
  <c r="X909" i="1"/>
  <c r="X808" i="1"/>
  <c r="X910" i="1"/>
  <c r="X1834" i="1"/>
  <c r="X1192" i="1"/>
  <c r="X1592" i="1"/>
  <c r="X1463" i="1"/>
  <c r="X1258" i="1"/>
  <c r="X1238" i="1"/>
  <c r="X1915" i="1"/>
  <c r="X1216" i="1"/>
  <c r="X1766" i="1"/>
  <c r="X1649" i="1"/>
  <c r="X1628" i="1"/>
  <c r="X1617" i="1"/>
  <c r="X25" i="1"/>
  <c r="X953" i="1"/>
  <c r="X1970" i="1"/>
  <c r="X813" i="1"/>
  <c r="X1203" i="1"/>
  <c r="X882" i="1"/>
  <c r="X1513" i="1"/>
  <c r="X684" i="1"/>
  <c r="X944" i="1"/>
  <c r="X15" i="1"/>
  <c r="X138" i="1"/>
  <c r="X415" i="1"/>
  <c r="X1866" i="1"/>
  <c r="X1701" i="1"/>
  <c r="X825" i="1"/>
  <c r="X257" i="1"/>
  <c r="X1122" i="1"/>
  <c r="X434" i="1"/>
  <c r="X521" i="1"/>
  <c r="X1267" i="1"/>
  <c r="X499" i="1"/>
  <c r="X1694" i="1"/>
  <c r="X383" i="1"/>
  <c r="X1537" i="1"/>
  <c r="X84" i="1"/>
  <c r="X1688" i="1"/>
  <c r="X539" i="1"/>
  <c r="X1159" i="1"/>
  <c r="X344" i="1"/>
  <c r="X620" i="1"/>
  <c r="X1884" i="1"/>
  <c r="X1181" i="1"/>
  <c r="X954" i="1"/>
  <c r="X1764" i="1"/>
  <c r="X1791" i="1"/>
  <c r="X1872" i="1"/>
  <c r="X286" i="1"/>
  <c r="X748" i="1"/>
  <c r="X747" i="1"/>
  <c r="X1979" i="1"/>
  <c r="X1023" i="1"/>
  <c r="X1273" i="1"/>
  <c r="X227" i="1"/>
  <c r="X1555" i="1"/>
  <c r="X174" i="1"/>
  <c r="X90" i="1"/>
  <c r="X605" i="1"/>
  <c r="X44" i="1"/>
  <c r="X424" i="1"/>
  <c r="X1611" i="1"/>
  <c r="X1058" i="1"/>
  <c r="X495" i="1"/>
  <c r="X1305" i="1"/>
  <c r="X342" i="1"/>
  <c r="X1038" i="1"/>
  <c r="X1873" i="1"/>
  <c r="X316" i="1"/>
  <c r="X1059" i="1"/>
  <c r="X801" i="1"/>
  <c r="X93" i="1"/>
  <c r="X1855" i="1"/>
  <c r="X345" i="1"/>
  <c r="X169" i="1"/>
  <c r="X1131" i="1"/>
  <c r="X1966" i="1"/>
  <c r="X1382" i="1"/>
  <c r="X1727" i="1"/>
  <c r="X660" i="1"/>
  <c r="X1053" i="1"/>
  <c r="X1082" i="1"/>
  <c r="X1990" i="1"/>
  <c r="X1641" i="1"/>
  <c r="X718" i="1"/>
  <c r="X114" i="1"/>
  <c r="X1925" i="1"/>
  <c r="X1259" i="1"/>
  <c r="X533" i="1"/>
  <c r="X213" i="1"/>
  <c r="X845" i="1"/>
  <c r="X1558" i="1"/>
  <c r="X1584" i="1"/>
  <c r="X3" i="1"/>
  <c r="X175" i="1"/>
  <c r="X628" i="1"/>
  <c r="X1268" i="1"/>
  <c r="X1941" i="1"/>
  <c r="X744" i="1"/>
  <c r="X172" i="1"/>
  <c r="X1601" i="1"/>
  <c r="X275" i="1"/>
  <c r="X152" i="1"/>
  <c r="X1614" i="1"/>
  <c r="X1110" i="1"/>
  <c r="X1632" i="1"/>
  <c r="X789" i="1"/>
  <c r="X685" i="1"/>
  <c r="X1014" i="1"/>
  <c r="X1485" i="1"/>
  <c r="X1383" i="1"/>
  <c r="X1210" i="1"/>
  <c r="X97" i="1"/>
  <c r="X280" i="1"/>
  <c r="X35" i="1"/>
  <c r="X276" i="1"/>
  <c r="X1031" i="1"/>
  <c r="X1111" i="1"/>
  <c r="X1096" i="1"/>
  <c r="X20" i="1"/>
  <c r="X511" i="1"/>
  <c r="X547" i="1"/>
  <c r="X1017" i="1"/>
  <c r="X863" i="1"/>
  <c r="X614" i="1"/>
  <c r="X1719" i="1"/>
  <c r="X1054" i="1"/>
  <c r="X1157" i="1"/>
  <c r="X898" i="1"/>
  <c r="X1982" i="1"/>
  <c r="X1938" i="1"/>
  <c r="X708" i="1"/>
  <c r="X1849" i="1"/>
  <c r="X661" i="1"/>
  <c r="X1676" i="1"/>
  <c r="X686" i="1"/>
  <c r="X1032" i="1"/>
  <c r="X1199" i="1"/>
  <c r="X332" i="1"/>
  <c r="X1514" i="1"/>
  <c r="X958" i="1"/>
  <c r="X1831" i="1"/>
  <c r="X1679" i="1"/>
  <c r="X378" i="1"/>
  <c r="X1556" i="1"/>
  <c r="X1604" i="1"/>
  <c r="X173" i="1"/>
  <c r="X1071" i="1"/>
  <c r="X828" i="1"/>
  <c r="X794" i="1"/>
  <c r="X1672" i="1"/>
  <c r="X267" i="1"/>
  <c r="X442" i="1"/>
  <c r="X244" i="1"/>
  <c r="X612" i="1"/>
  <c r="X1615" i="1"/>
  <c r="X1207" i="1"/>
  <c r="X281" i="1"/>
  <c r="X1412" i="1"/>
  <c r="X1856" i="1"/>
  <c r="X615" i="1"/>
  <c r="X1417" i="1"/>
  <c r="X1322" i="1"/>
  <c r="X764" i="1"/>
  <c r="X1011" i="1"/>
  <c r="X834" i="1"/>
  <c r="X1150" i="1"/>
  <c r="X135" i="1"/>
  <c r="X118" i="1"/>
  <c r="X1971" i="1"/>
  <c r="X853" i="1"/>
  <c r="X634" i="1"/>
  <c r="X644" i="1"/>
  <c r="X840" i="1"/>
  <c r="X749" i="1"/>
  <c r="X959" i="1"/>
  <c r="X854" i="1"/>
  <c r="X1684" i="1"/>
  <c r="X792" i="1"/>
  <c r="X1346" i="1"/>
  <c r="X956" i="1"/>
  <c r="X1301" i="1"/>
  <c r="X1647" i="1"/>
  <c r="X826" i="1"/>
  <c r="X231" i="1"/>
  <c r="X1439" i="1"/>
  <c r="X98" i="1"/>
  <c r="X775" i="1"/>
  <c r="X65" i="1"/>
  <c r="X1217" i="1"/>
  <c r="X1043" i="1"/>
  <c r="X348" i="1"/>
  <c r="X802" i="1"/>
  <c r="X85" i="1"/>
  <c r="X4" i="1"/>
  <c r="X7" i="1"/>
  <c r="X771" i="1"/>
  <c r="X1406" i="1"/>
  <c r="X336" i="1"/>
  <c r="X1754" i="1"/>
  <c r="X94" i="1"/>
  <c r="X153" i="1"/>
  <c r="X678" i="1"/>
  <c r="X720" i="1"/>
  <c r="X1570" i="1"/>
  <c r="X198" i="1"/>
  <c r="X184" i="1"/>
  <c r="X1288" i="1"/>
  <c r="X1399" i="1"/>
  <c r="X694" i="1"/>
  <c r="X1075" i="1"/>
  <c r="X1347" i="1"/>
  <c r="X911" i="1"/>
  <c r="X1440" i="1"/>
  <c r="X1957" i="1"/>
  <c r="X52" i="1"/>
  <c r="X419" i="1"/>
  <c r="X1239" i="1"/>
  <c r="X299" i="1"/>
  <c r="X846" i="1"/>
  <c r="X1489" i="1"/>
  <c r="X1724" i="1"/>
  <c r="X721" i="1"/>
  <c r="X1931" i="1"/>
  <c r="X1792" i="1"/>
  <c r="X995" i="1"/>
  <c r="X554" i="1"/>
  <c r="X1951" i="1"/>
  <c r="X1247" i="1"/>
  <c r="X1538" i="1"/>
  <c r="X861" i="1"/>
  <c r="X308" i="1"/>
  <c r="X857" i="1"/>
  <c r="X687" i="1"/>
  <c r="X1571" i="1"/>
  <c r="X423" i="1"/>
  <c r="X1486" i="1"/>
  <c r="X1639" i="1"/>
  <c r="X1072" i="1"/>
  <c r="X1114" i="1"/>
  <c r="X245" i="1"/>
  <c r="X1213" i="1"/>
  <c r="X1234" i="1"/>
  <c r="X1895" i="1"/>
  <c r="X1728" i="1"/>
  <c r="X1994" i="1"/>
  <c r="X611" i="1"/>
  <c r="X1380" i="1"/>
  <c r="X1655" i="1"/>
  <c r="X360" i="1"/>
  <c r="X1673" i="1"/>
  <c r="X206" i="1"/>
  <c r="X154" i="1"/>
  <c r="X1785" i="1"/>
  <c r="X277" i="1"/>
  <c r="X835" i="1"/>
  <c r="X1328" i="1"/>
  <c r="X472" i="1"/>
  <c r="X1329" i="1"/>
  <c r="X1564" i="1"/>
  <c r="X1860" i="1"/>
  <c r="X1093" i="1"/>
  <c r="X726" i="1"/>
  <c r="X1260" i="1"/>
  <c r="X1972" i="1"/>
  <c r="X892" i="1"/>
  <c r="X1281" i="1"/>
  <c r="X443" i="1"/>
  <c r="X1395" i="1"/>
  <c r="X652" i="1"/>
  <c r="X530" i="1"/>
  <c r="X155" i="1"/>
  <c r="X1284" i="1"/>
  <c r="X1928" i="1"/>
  <c r="X629" i="1"/>
  <c r="X283" i="1"/>
  <c r="X1045" i="1"/>
  <c r="X756" i="1"/>
  <c r="X757" i="1"/>
  <c r="X522" i="1"/>
  <c r="X228" i="1"/>
  <c r="X285" i="1"/>
  <c r="X583" i="1"/>
  <c r="X430" i="1"/>
  <c r="X54" i="1"/>
  <c r="X1008" i="1"/>
  <c r="X1802" i="1"/>
  <c r="X1000" i="1"/>
  <c r="X500" i="1"/>
  <c r="X1427" i="1"/>
  <c r="X1285" i="1"/>
  <c r="X983" i="1"/>
  <c r="X1189" i="1"/>
  <c r="X1755" i="1"/>
  <c r="X243" i="1"/>
  <c r="X1911" i="1"/>
  <c r="X1044" i="1"/>
  <c r="X1524" i="1"/>
  <c r="X1218" i="1"/>
  <c r="X444" i="1"/>
  <c r="X679" i="1"/>
  <c r="X363" i="1"/>
  <c r="X641" i="1"/>
  <c r="X1375" i="1"/>
  <c r="X31" i="1"/>
  <c r="X1469" i="1"/>
  <c r="X327" i="1"/>
  <c r="X543" i="1"/>
  <c r="X144" i="1"/>
  <c r="X822" i="1"/>
  <c r="X1240" i="1"/>
  <c r="X907" i="1"/>
  <c r="X1585" i="1"/>
  <c r="X1063" i="1"/>
  <c r="X1431" i="1"/>
  <c r="X827" i="1"/>
  <c r="X758" i="1"/>
  <c r="X820" i="1"/>
  <c r="X941" i="1"/>
  <c r="X1890" i="1"/>
  <c r="X26" i="1"/>
  <c r="X278" i="1"/>
  <c r="X10" i="1"/>
  <c r="X1566" i="1"/>
  <c r="X573" i="1"/>
  <c r="X1874" i="1"/>
  <c r="X1292" i="1"/>
  <c r="X760" i="1"/>
  <c r="X933" i="1"/>
  <c r="X737" i="1"/>
  <c r="X759" i="1"/>
  <c r="X1704" i="1"/>
  <c r="X1039" i="1"/>
  <c r="X786" i="1"/>
  <c r="X268" i="1"/>
  <c r="X246" i="1"/>
  <c r="X1955" i="1"/>
  <c r="X566" i="1"/>
  <c r="X713" i="1"/>
  <c r="X1926" i="1"/>
  <c r="X1769" i="1"/>
  <c r="X1665" i="1"/>
  <c r="X1774" i="1"/>
  <c r="X86" i="1"/>
  <c r="X427" i="1"/>
  <c r="X1400" i="1"/>
  <c r="X1334" i="1"/>
  <c r="X247" i="1"/>
  <c r="X1204" i="1"/>
  <c r="X1902" i="1"/>
  <c r="X486" i="1"/>
  <c r="X209" i="1"/>
  <c r="X349" i="1"/>
  <c r="X193" i="1"/>
  <c r="X692" i="1"/>
  <c r="X293" i="1"/>
  <c r="X1846" i="1"/>
  <c r="X1919" i="1"/>
  <c r="X217" i="1"/>
  <c r="X66" i="1"/>
  <c r="X626" i="1"/>
  <c r="X788" i="1"/>
  <c r="X715" i="1"/>
  <c r="X1446" i="1"/>
  <c r="X722" i="1"/>
  <c r="X1407" i="1"/>
  <c r="X260" i="1"/>
  <c r="X1115" i="1"/>
  <c r="X1720" i="1"/>
  <c r="X1077" i="1"/>
  <c r="X447" i="1"/>
  <c r="X501" i="1"/>
  <c r="X663" i="1"/>
  <c r="X697" i="1"/>
  <c r="X671" i="1"/>
  <c r="X1593" i="1"/>
  <c r="X1167" i="1"/>
  <c r="X496" i="1"/>
  <c r="X961" i="1"/>
  <c r="X1381" i="1"/>
  <c r="X836" i="1"/>
  <c r="X1256" i="1"/>
  <c r="X1642" i="1"/>
  <c r="X984" i="1"/>
  <c r="X1813" i="1"/>
  <c r="X1916" i="1"/>
  <c r="X106" i="1"/>
  <c r="X1163" i="1"/>
  <c r="X42" i="1"/>
  <c r="X1033" i="1"/>
  <c r="X992" i="1"/>
  <c r="X1736" i="1"/>
  <c r="X903" i="1"/>
  <c r="X1296" i="1"/>
  <c r="X1572" i="1"/>
  <c r="X1680" i="1"/>
  <c r="X985" i="1"/>
  <c r="X1543" i="1"/>
  <c r="X1544" i="1"/>
  <c r="X1896" i="1"/>
  <c r="X1078" i="1"/>
  <c r="X1468" i="1"/>
  <c r="X945" i="1"/>
  <c r="X1729" i="1"/>
  <c r="X328" i="1"/>
  <c r="X1549" i="1"/>
  <c r="X214" i="1"/>
  <c r="X1887" i="1"/>
  <c r="X590" i="1"/>
  <c r="X1705" i="1"/>
  <c r="X1553" i="1"/>
  <c r="X1123" i="1"/>
  <c r="X185" i="1"/>
  <c r="X27" i="1"/>
  <c r="X1713" i="1"/>
  <c r="X1912" i="1"/>
  <c r="X60" i="1"/>
  <c r="X130" i="1"/>
  <c r="X1089" i="1"/>
  <c r="X237" i="1"/>
  <c r="X425" i="1"/>
  <c r="X410" i="1"/>
  <c r="X1907" i="1"/>
  <c r="X1587" i="1"/>
  <c r="X1793" i="1"/>
  <c r="X1702" i="1"/>
  <c r="X1737" i="1"/>
  <c r="X1749" i="1"/>
  <c r="X1927" i="1"/>
  <c r="X1929" i="1"/>
  <c r="X99" i="1"/>
  <c r="X899" i="1"/>
  <c r="X1932" i="1"/>
  <c r="X832" i="1"/>
  <c r="X1656" i="1"/>
  <c r="X934" i="1"/>
  <c r="X624" i="1"/>
  <c r="X343" i="1"/>
  <c r="X1029" i="1"/>
  <c r="X563" i="1"/>
  <c r="X1809" i="1"/>
  <c r="X1076" i="1"/>
  <c r="X55" i="1"/>
  <c r="X781" i="1"/>
  <c r="X401" i="1"/>
  <c r="X61" i="1"/>
  <c r="X1794" i="1"/>
  <c r="X1750" i="1"/>
  <c r="X935" i="1"/>
  <c r="X2001" i="1"/>
  <c r="X1158" i="1"/>
  <c r="X468" i="1"/>
  <c r="X258" i="1"/>
  <c r="X366" i="1"/>
  <c r="X295" i="1"/>
  <c r="X1891" i="1"/>
  <c r="X1309" i="1"/>
  <c r="X670" i="1"/>
  <c r="X871" i="1"/>
  <c r="X1633" i="1"/>
  <c r="X1920" i="1"/>
  <c r="X1435" i="1"/>
  <c r="X186" i="1"/>
  <c r="X1771" i="1"/>
  <c r="X1880" i="1"/>
  <c r="X1477" i="1"/>
  <c r="X87" i="1"/>
  <c r="X962" i="1"/>
  <c r="X416" i="1"/>
  <c r="X1118" i="1"/>
  <c r="X1820" i="1"/>
  <c r="X1297" i="1"/>
  <c r="X141" i="1"/>
  <c r="X940" i="1"/>
  <c r="X1517" i="1"/>
  <c r="X1885" i="1"/>
  <c r="X565" i="1"/>
  <c r="X616" i="1"/>
  <c r="X1690" i="1"/>
  <c r="X672" i="1"/>
  <c r="X435" i="1"/>
  <c r="X734" i="1"/>
  <c r="X19" i="1"/>
  <c r="X1838" i="1"/>
  <c r="X1279" i="1"/>
  <c r="X56" i="1"/>
  <c r="X351" i="1"/>
  <c r="X1133" i="1"/>
  <c r="X750" i="1"/>
  <c r="X107" i="1"/>
  <c r="X1145" i="1"/>
  <c r="X454" i="1"/>
  <c r="X1241" i="1"/>
  <c r="X558" i="1"/>
  <c r="X476" i="1"/>
  <c r="X1991" i="1"/>
  <c r="X303" i="1"/>
  <c r="X1983" i="1"/>
  <c r="X1464" i="1"/>
  <c r="X1881" i="1"/>
  <c r="X59" i="1"/>
  <c r="X537" i="1"/>
  <c r="X309" i="1"/>
  <c r="X1685" i="1"/>
  <c r="X1775" i="1"/>
  <c r="X1942" i="1"/>
  <c r="X109" i="1"/>
  <c r="X1097" i="1"/>
  <c r="X482" i="1"/>
  <c r="X224" i="1"/>
  <c r="X1244" i="1"/>
  <c r="X728" i="1"/>
  <c r="X1106" i="1"/>
  <c r="X1714" i="1"/>
  <c r="X1465" i="1"/>
  <c r="X516" i="1"/>
  <c r="X294" i="1"/>
  <c r="X793" i="1"/>
  <c r="X1286" i="1"/>
  <c r="X1221" i="1"/>
  <c r="X1635" i="1"/>
  <c r="X1079" i="1"/>
  <c r="X1289" i="1"/>
  <c r="X156" i="1"/>
  <c r="X1138" i="1"/>
  <c r="X1602" i="1"/>
  <c r="X248" i="1"/>
  <c r="X270" i="1"/>
  <c r="X1073" i="1"/>
  <c r="X1695" i="1"/>
  <c r="X1580" i="1"/>
  <c r="X1575" i="1"/>
  <c r="X1623" i="1"/>
  <c r="X1659" i="1"/>
  <c r="X145" i="1"/>
  <c r="X1519" i="1"/>
  <c r="X1567" i="1"/>
  <c r="X1415" i="1"/>
  <c r="X1711" i="1"/>
  <c r="X176" i="1"/>
  <c r="X1888" i="1"/>
  <c r="X893" i="1"/>
  <c r="X249" i="1"/>
  <c r="X950" i="1"/>
  <c r="X22" i="1"/>
  <c r="X974" i="1"/>
  <c r="X809" i="1"/>
  <c r="X1581" i="1"/>
  <c r="X1921" i="1"/>
  <c r="X1107" i="1"/>
  <c r="X1922" i="1"/>
  <c r="X1116" i="1"/>
  <c r="X574" i="1"/>
  <c r="X1973" i="1"/>
  <c r="X1194" i="1"/>
  <c r="X1020" i="1"/>
  <c r="X149" i="1"/>
  <c r="X364" i="1"/>
  <c r="X1344" i="1"/>
  <c r="X1470" i="1"/>
  <c r="X527" i="1"/>
  <c r="X621" i="1"/>
  <c r="X1532" i="1"/>
  <c r="X1542" i="1"/>
  <c r="X1364" i="1"/>
  <c r="X78" i="1"/>
  <c r="X502" i="1"/>
  <c r="X1825" i="1"/>
  <c r="X450" i="1"/>
  <c r="X1661" i="1"/>
  <c r="X136" i="1"/>
  <c r="X218" i="1"/>
  <c r="X1178" i="1"/>
  <c r="X608" i="1"/>
  <c r="X1803" i="1"/>
  <c r="X1669" i="1"/>
  <c r="X1651" i="1"/>
  <c r="X904" i="1"/>
  <c r="X1047" i="1"/>
  <c r="X795" i="1"/>
  <c r="X855" i="1"/>
  <c r="X1021" i="1"/>
  <c r="X436" i="1"/>
  <c r="X975" i="1"/>
  <c r="X1372" i="1"/>
  <c r="X1691" i="1"/>
  <c r="X365" i="1"/>
  <c r="X1130" i="1"/>
  <c r="X680" i="1"/>
  <c r="X1905" i="1"/>
  <c r="X1337" i="1"/>
  <c r="X1357" i="1"/>
  <c r="X261" i="1"/>
  <c r="X45" i="1"/>
  <c r="X1224" i="1"/>
  <c r="X1877" i="1"/>
  <c r="X517" i="1"/>
  <c r="X405" i="1"/>
  <c r="X1863" i="1"/>
  <c r="X1503" i="1"/>
  <c r="X676" i="1"/>
  <c r="X1373" i="1"/>
  <c r="X194" i="1"/>
  <c r="X317" i="1"/>
  <c r="X1974" i="1"/>
  <c r="X1302" i="1"/>
  <c r="X1205" i="1"/>
  <c r="X219" i="1"/>
  <c r="X1852" i="1"/>
  <c r="X1269" i="1"/>
  <c r="X420" i="1"/>
  <c r="X310" i="1"/>
  <c r="X810" i="1"/>
  <c r="X337" i="1"/>
  <c r="X91" i="1"/>
  <c r="X630" i="1"/>
  <c r="X1471" i="1"/>
  <c r="X596" i="1"/>
  <c r="X1582" i="1"/>
  <c r="X473" i="1"/>
  <c r="X1068" i="1"/>
  <c r="X1001" i="1"/>
  <c r="X1853" i="1"/>
  <c r="X635" i="1"/>
  <c r="X1453" i="1"/>
  <c r="X57" i="1"/>
  <c r="X1681" i="1"/>
  <c r="X1525" i="1"/>
  <c r="X821" i="1"/>
  <c r="X1242" i="1"/>
  <c r="X1828" i="1"/>
  <c r="X121" i="1"/>
  <c r="X238" i="1"/>
  <c r="X1276" i="1"/>
  <c r="X1410" i="1"/>
  <c r="X567" i="1"/>
  <c r="X13" i="1"/>
  <c r="X1002" i="1"/>
  <c r="X126" i="1"/>
  <c r="X1738" i="1"/>
  <c r="X32" i="1"/>
  <c r="X1520" i="1"/>
  <c r="X1594" i="1"/>
  <c r="X1098" i="1"/>
  <c r="X807" i="1"/>
  <c r="X1739" i="1"/>
  <c r="X925" i="1"/>
  <c r="X1618" i="1"/>
  <c r="X837" i="1"/>
  <c r="X1124" i="1"/>
  <c r="X379" i="1"/>
  <c r="X915" i="1"/>
  <c r="X1306" i="1"/>
  <c r="X540" i="1"/>
  <c r="X300" i="1"/>
  <c r="X1778" i="1"/>
  <c r="X146" i="1"/>
  <c r="X371" i="1"/>
  <c r="X1933" i="1"/>
  <c r="X1756" i="1"/>
  <c r="X787" i="1"/>
  <c r="X957" i="1"/>
  <c r="X1671" i="1"/>
  <c r="X970" i="1"/>
  <c r="X1545" i="1"/>
  <c r="X1483" i="1"/>
  <c r="X1946" i="1"/>
  <c r="X1227" i="1"/>
  <c r="X602" i="1"/>
  <c r="X1046" i="1"/>
  <c r="X1608" i="1"/>
  <c r="X269" i="1"/>
  <c r="X885" i="1"/>
  <c r="X367" i="1"/>
  <c r="X575" i="1"/>
  <c r="X1426" i="1"/>
  <c r="X1730" i="1"/>
  <c r="X259" i="1"/>
  <c r="X1686" i="1"/>
  <c r="X16" i="1"/>
  <c r="X1776" i="1"/>
  <c r="X900" i="1"/>
  <c r="X884" i="1"/>
  <c r="X1313" i="1"/>
  <c r="X1636" i="1"/>
  <c r="X1696" i="1"/>
  <c r="X639" i="1"/>
  <c r="X1787" i="1"/>
  <c r="X1408" i="1"/>
  <c r="X1074" i="1"/>
  <c r="X463" i="1"/>
  <c r="X1657" i="1"/>
  <c r="X271" i="1"/>
  <c r="X129" i="1"/>
  <c r="X177" i="1"/>
  <c r="X361" i="1"/>
  <c r="X1307" i="1"/>
  <c r="X1101" i="1"/>
  <c r="X841" i="1"/>
  <c r="X1697" i="1"/>
  <c r="X1168" i="1"/>
  <c r="X1451" i="1"/>
  <c r="X1788" i="1"/>
  <c r="X1645" i="1"/>
  <c r="X127" i="1"/>
  <c r="X864" i="1"/>
  <c r="X202" i="1"/>
  <c r="X1806" i="1"/>
  <c r="X178" i="1"/>
  <c r="X1829" i="1"/>
  <c r="X350" i="1"/>
  <c r="X738" i="1"/>
  <c r="X1125" i="1"/>
  <c r="X942" i="1"/>
  <c r="X1274" i="1"/>
  <c r="X650" i="1"/>
  <c r="X1413" i="1"/>
  <c r="X503" i="1"/>
  <c r="X215" i="1"/>
  <c r="X569" i="1"/>
  <c r="X1875" i="1"/>
  <c r="X375" i="1"/>
  <c r="X301" i="1"/>
  <c r="X195" i="1"/>
  <c r="X1576" i="1"/>
  <c r="X324" i="1"/>
  <c r="X1275" i="1"/>
  <c r="X980" i="1"/>
  <c r="X1528" i="1"/>
  <c r="X1843" i="1"/>
  <c r="X1479" i="1"/>
  <c r="X1444" i="1"/>
  <c r="X338" i="1"/>
  <c r="X1398" i="1"/>
  <c r="X1311" i="1"/>
  <c r="X110" i="1"/>
  <c r="X1666" i="1"/>
  <c r="X1508" i="1"/>
  <c r="X1141" i="1"/>
  <c r="X1698" i="1"/>
  <c r="X158" i="1"/>
  <c r="X1699" i="1"/>
  <c r="X1796" i="1"/>
  <c r="X739" i="1"/>
  <c r="X851" i="1"/>
  <c r="X929" i="1"/>
  <c r="X642" i="1"/>
  <c r="X598" i="1"/>
  <c r="X1134" i="1"/>
  <c r="X790" i="1"/>
  <c r="X576" i="1"/>
  <c r="X723" i="1"/>
  <c r="X311" i="1"/>
  <c r="X431" i="1"/>
  <c r="X1036" i="1"/>
  <c r="X1454" i="1"/>
  <c r="X1374" i="1"/>
  <c r="X111" i="1"/>
  <c r="X1090" i="1"/>
  <c r="X829" i="1"/>
  <c r="X170" i="1"/>
  <c r="X409" i="1"/>
  <c r="X617" i="1"/>
  <c r="X1568" i="1"/>
  <c r="X889" i="1"/>
  <c r="X388" i="1"/>
  <c r="X1026" i="1"/>
  <c r="X967" i="1"/>
  <c r="X1510" i="1"/>
  <c r="X1420" i="1"/>
  <c r="X1832" i="1"/>
  <c r="X115" i="1"/>
  <c r="X100" i="1"/>
  <c r="X1819" i="1"/>
  <c r="X1899" i="1"/>
  <c r="X666" i="1"/>
  <c r="X1393" i="1"/>
  <c r="X1270" i="1"/>
  <c r="X28" i="1"/>
  <c r="X1934" i="1"/>
  <c r="X1643" i="1"/>
  <c r="X1913" i="1"/>
  <c r="X594" i="1"/>
  <c r="X391" i="1"/>
  <c r="X199" i="1"/>
  <c r="X439" i="1"/>
  <c r="X667" i="1"/>
  <c r="X1351" i="1"/>
  <c r="X1040" i="1"/>
  <c r="X534" i="1"/>
  <c r="X1975" i="1"/>
  <c r="X778" i="1"/>
  <c r="X1232" i="1"/>
  <c r="X1987" i="1"/>
  <c r="X751" i="1"/>
  <c r="X1314" i="1"/>
  <c r="X701" i="1"/>
  <c r="X1389" i="1"/>
  <c r="X1108" i="1"/>
  <c r="X1316" i="1"/>
  <c r="X139" i="1"/>
  <c r="X220" i="1"/>
  <c r="X318" i="1"/>
  <c r="X384" i="1"/>
  <c r="X735" i="1"/>
  <c r="X872" i="1"/>
  <c r="X1789" i="1"/>
  <c r="X1480" i="1"/>
  <c r="X210" i="1"/>
  <c r="X1442" i="1"/>
  <c r="X1550" i="1"/>
  <c r="X716" i="1"/>
  <c r="X798" i="1"/>
  <c r="X1879" i="1"/>
  <c r="X1967" i="1"/>
  <c r="X1438" i="1"/>
  <c r="X1126" i="1"/>
  <c r="X389" i="1"/>
  <c r="X862" i="1"/>
  <c r="X1005" i="1"/>
  <c r="X568" i="1"/>
  <c r="X968" i="1"/>
  <c r="X922" i="1"/>
  <c r="X779" i="1"/>
  <c r="X406" i="1"/>
  <c r="X1009" i="1"/>
  <c r="X262" i="1"/>
  <c r="X1243" i="1"/>
  <c r="X1757" i="1"/>
  <c r="X1835" i="1"/>
  <c r="X1706" i="1"/>
  <c r="X1786" i="1"/>
  <c r="X719" i="1"/>
  <c r="X811" i="1"/>
  <c r="X1422" i="1"/>
  <c r="X264" i="1"/>
  <c r="X1595" i="1"/>
  <c r="X1149" i="1"/>
  <c r="X385" i="1"/>
  <c r="X977" i="1"/>
  <c r="X232" i="1"/>
  <c r="X512" i="1"/>
  <c r="X1815" i="1"/>
  <c r="X1707" i="1"/>
  <c r="X702" i="1"/>
  <c r="X1254" i="1"/>
  <c r="X1024" i="1"/>
  <c r="X157" i="1"/>
  <c r="X417" i="1"/>
  <c r="X1363" i="1"/>
  <c r="X1624" i="1"/>
  <c r="X1597" i="1"/>
  <c r="X847" i="1"/>
  <c r="X1390" i="1"/>
  <c r="X187" i="1"/>
  <c r="X180" i="1"/>
  <c r="X577" i="1"/>
  <c r="X1708" i="1"/>
  <c r="X1041" i="1"/>
  <c r="X876" i="1"/>
  <c r="X1064" i="1"/>
  <c r="X1472" i="1"/>
  <c r="X772" i="1"/>
  <c r="X119" i="1"/>
  <c r="X1515" i="1"/>
  <c r="X1414" i="1"/>
  <c r="X1619" i="1"/>
  <c r="X823" i="1"/>
  <c r="X1546" i="1"/>
  <c r="X1368" i="1"/>
  <c r="X668" i="1"/>
  <c r="X1867" i="1"/>
  <c r="X71" i="1"/>
  <c r="X331" i="1"/>
  <c r="X742" i="1"/>
  <c r="X1521" i="1"/>
  <c r="X481" i="1"/>
  <c r="X1731" i="1"/>
  <c r="X1310" i="1"/>
  <c r="X1616" i="1"/>
  <c r="X689" i="1"/>
  <c r="X1674" i="1"/>
  <c r="X591" i="1"/>
  <c r="X163" i="1"/>
  <c r="X159" i="1"/>
  <c r="X181" i="1"/>
  <c r="X1644" i="1"/>
  <c r="X1504" i="1"/>
  <c r="X477" i="1"/>
  <c r="X1083" i="1"/>
  <c r="X1449" i="1"/>
  <c r="X1744" i="1"/>
  <c r="X1529" i="1"/>
  <c r="X1317" i="1"/>
  <c r="X978" i="1"/>
  <c r="X67" i="1"/>
  <c r="X1612" i="1"/>
  <c r="X622" i="1"/>
  <c r="X1804" i="1"/>
  <c r="X1917" i="1"/>
  <c r="X207" i="1"/>
  <c r="X1200" i="1"/>
  <c r="X368" i="1"/>
  <c r="X1882" i="1"/>
  <c r="X618" i="1"/>
  <c r="X464" i="1"/>
  <c r="X81" i="1"/>
  <c r="X437" i="1"/>
  <c r="X1229" i="1"/>
  <c r="X1437" i="1"/>
  <c r="X765" i="1"/>
  <c r="X1298" i="1"/>
  <c r="X140" i="1"/>
  <c r="X595" i="1"/>
  <c r="X969" i="1"/>
  <c r="X196" i="1"/>
  <c r="X394" i="1"/>
  <c r="X1629" i="1"/>
  <c r="X1976" i="1"/>
  <c r="X729" i="1"/>
  <c r="X313" i="1"/>
  <c r="X211" i="1"/>
  <c r="X654" i="1"/>
  <c r="X799" i="1"/>
  <c r="X421" i="1"/>
  <c r="X36" i="1"/>
  <c r="X1530" i="1"/>
  <c r="X1137" i="1"/>
  <c r="X1401" i="1"/>
  <c r="X1248" i="1"/>
  <c r="X460" i="1"/>
  <c r="X714" i="1"/>
  <c r="X47" i="1"/>
  <c r="X1857" i="1"/>
  <c r="X1428" i="1"/>
  <c r="X48" i="1"/>
  <c r="X1330" i="1"/>
  <c r="X70" i="1"/>
  <c r="X1318" i="1"/>
  <c r="X673" i="1"/>
  <c r="X1484" i="1"/>
  <c r="X253" i="1"/>
  <c r="X943" i="1"/>
  <c r="X979" i="1"/>
  <c r="X1146" i="1"/>
  <c r="X1336" i="1"/>
  <c r="X963" i="1"/>
  <c r="X1772" i="1"/>
  <c r="X1770" i="1"/>
  <c r="X1037" i="1"/>
  <c r="X411" i="1"/>
  <c r="X699" i="1"/>
  <c r="X1836" i="1"/>
  <c r="X451" i="1"/>
  <c r="X1394" i="1"/>
  <c r="X239" i="1"/>
  <c r="X1732" i="1"/>
  <c r="X703" i="1"/>
  <c r="X1481" i="1"/>
  <c r="X75" i="1"/>
  <c r="X858" i="1"/>
  <c r="X428" i="1"/>
  <c r="X1195" i="1"/>
  <c r="X1883" i="1"/>
  <c r="X346" i="1"/>
  <c r="X150" i="1"/>
  <c r="X599" i="1"/>
  <c r="X426" i="1"/>
  <c r="X1312" i="1"/>
  <c r="X1085" i="1"/>
  <c r="X1282" i="1"/>
  <c r="X1147" i="1"/>
  <c r="X478" i="1"/>
  <c r="X1175" i="1"/>
  <c r="X607" i="1"/>
  <c r="X570" i="1"/>
  <c r="X134" i="1"/>
  <c r="X1169" i="1"/>
  <c r="X1742" i="1"/>
  <c r="X842" i="1"/>
  <c r="X1396" i="1"/>
  <c r="X46" i="1"/>
  <c r="X1432" i="1"/>
  <c r="X1196" i="1"/>
  <c r="X814" i="1"/>
  <c r="X1717" i="1"/>
  <c r="X886" i="1"/>
  <c r="X1959" i="1"/>
  <c r="X212" i="1"/>
  <c r="X1182" i="1"/>
  <c r="X418" i="1"/>
  <c r="X717" i="1"/>
  <c r="X329" i="1"/>
  <c r="X250" i="1"/>
  <c r="X664" i="1"/>
  <c r="X1839" i="1"/>
  <c r="X88" i="1"/>
  <c r="X1988" i="1"/>
  <c r="X1596" i="1"/>
  <c r="X710" i="1"/>
  <c r="X890" i="1"/>
  <c r="X1745" i="1"/>
  <c r="X912" i="1"/>
  <c r="X305" i="1"/>
  <c r="X112" i="1"/>
  <c r="X1084" i="1"/>
  <c r="X623" i="1"/>
  <c r="X507" i="1"/>
  <c r="X1583" i="1"/>
  <c r="X1781" i="1"/>
  <c r="X901" i="1"/>
  <c r="X586" i="1"/>
  <c r="X5" i="1"/>
  <c r="X272" i="1"/>
  <c r="X1352" i="1"/>
  <c r="X1211" i="1"/>
  <c r="X782" i="1"/>
  <c r="X1103" i="1"/>
  <c r="X1816" i="1"/>
  <c r="X561" i="1"/>
  <c r="X1868" i="1"/>
  <c r="X1315" i="1"/>
  <c r="X1847" i="1"/>
  <c r="X190" i="1"/>
  <c r="X1326" i="1"/>
  <c r="X1225" i="1"/>
  <c r="X306" i="1"/>
  <c r="X1117" i="1"/>
  <c r="X128" i="1"/>
  <c r="X564" i="1"/>
  <c r="X1725" i="1"/>
  <c r="X1531" i="1"/>
  <c r="X1482" i="1"/>
  <c r="X1935" i="1"/>
  <c r="X1027" i="1"/>
  <c r="X1551" i="1"/>
  <c r="X1758" i="1"/>
  <c r="X72" i="1"/>
  <c r="X1830" i="1"/>
  <c r="X883" i="1"/>
  <c r="X655" i="1"/>
  <c r="X1762" i="1"/>
  <c r="X606" i="1"/>
  <c r="X838" i="1"/>
  <c r="X683" i="1"/>
  <c r="X887" i="1"/>
  <c r="X402" i="1"/>
  <c r="X913" i="1"/>
  <c r="X1255" i="1"/>
  <c r="X1646" i="1"/>
  <c r="X8" i="1"/>
  <c r="X302" i="1"/>
  <c r="X916" i="1"/>
  <c r="X1505" i="1"/>
  <c r="X225" i="1"/>
  <c r="X1821" i="1"/>
  <c r="X1293" i="1"/>
  <c r="X200" i="1"/>
  <c r="X647" i="1"/>
  <c r="X1323" i="1"/>
  <c r="X1496" i="1"/>
  <c r="X1539" i="1"/>
  <c r="X1498" i="1"/>
  <c r="X372" i="1"/>
  <c r="X1492" i="1"/>
  <c r="X137" i="1"/>
  <c r="X1840" i="1"/>
  <c r="X976" i="1"/>
  <c r="X1402" i="1"/>
  <c r="X631" i="1"/>
  <c r="X508" i="1"/>
  <c r="X1249" i="1"/>
  <c r="X479" i="1"/>
  <c r="X49" i="1"/>
  <c r="X653" i="1"/>
  <c r="X724" i="1"/>
  <c r="X1577" i="1"/>
  <c r="X1376" i="1"/>
  <c r="X1086" i="1"/>
  <c r="X803" i="1"/>
  <c r="X1700" i="1"/>
  <c r="X448" i="1"/>
  <c r="X1461" i="1"/>
  <c r="X1250" i="1"/>
  <c r="X216" i="1"/>
  <c r="X619" i="1"/>
  <c r="X993" i="1"/>
  <c r="X1201" i="1"/>
  <c r="X1197" i="1"/>
  <c r="X1648" i="1"/>
  <c r="X1193" i="1"/>
  <c r="X1497" i="1"/>
  <c r="X76" i="1"/>
  <c r="X773" i="1"/>
  <c r="X50" i="1"/>
  <c r="X1018" i="1"/>
  <c r="X1418" i="1"/>
  <c r="X525" i="1"/>
  <c r="X77" i="1"/>
  <c r="X752" i="1"/>
  <c r="X1466" i="1"/>
  <c r="X1353" i="1"/>
  <c r="X1903" i="1"/>
  <c r="X815" i="1"/>
  <c r="X1109" i="1"/>
  <c r="X1569" i="1"/>
  <c r="X587" i="1"/>
  <c r="X1386" i="1"/>
  <c r="X1228" i="1"/>
  <c r="X1962" i="1"/>
  <c r="X1160" i="1"/>
  <c r="X1968" i="1"/>
  <c r="X123" i="1"/>
  <c r="X151" i="1"/>
  <c r="X1826" i="1"/>
  <c r="X879" i="1"/>
  <c r="X625" i="1"/>
  <c r="X51" i="1"/>
  <c r="X103" i="1"/>
  <c r="X1586" i="1"/>
  <c r="X1487" i="1"/>
  <c r="X226" i="1"/>
  <c r="X1609" i="1"/>
  <c r="X674" i="1"/>
  <c r="X116" i="1"/>
  <c r="X1264" i="1"/>
  <c r="X1634" i="1"/>
  <c r="X399" i="1"/>
  <c r="X1369" i="1"/>
  <c r="X1065" i="1"/>
  <c r="X1652" i="1"/>
  <c r="X1365" i="1"/>
  <c r="X1637" i="1"/>
  <c r="X386" i="1"/>
  <c r="X1403" i="1"/>
  <c r="X1409" i="1"/>
  <c r="X1995" i="1"/>
  <c r="X62" i="1"/>
  <c r="X497" i="1"/>
  <c r="X1565" i="1"/>
  <c r="X859" i="1"/>
  <c r="X325" i="1"/>
  <c r="X147" i="1"/>
  <c r="X1331" i="1"/>
  <c r="X296" i="1"/>
  <c r="X1914" i="1"/>
  <c r="X1028" i="1"/>
  <c r="X894" i="1"/>
  <c r="X392" i="1"/>
  <c r="X1817" i="1"/>
  <c r="X730" i="1"/>
  <c r="X1087" i="1"/>
  <c r="X1332" i="1"/>
  <c r="X422" i="1"/>
  <c r="X1989" i="1"/>
  <c r="X1119" i="1"/>
  <c r="X1625" i="1"/>
  <c r="X705" i="1"/>
  <c r="X874" i="1"/>
  <c r="X877" i="1"/>
  <c r="X1797" i="1"/>
  <c r="X681" i="1"/>
  <c r="X1153" i="1"/>
  <c r="X895" i="1"/>
  <c r="X1048" i="1"/>
  <c r="X865" i="1"/>
  <c r="X897" i="1"/>
  <c r="X1844" i="1"/>
  <c r="X818" i="1"/>
  <c r="X1208" i="1"/>
  <c r="X1151" i="1"/>
  <c r="X381" i="1"/>
  <c r="X1377" i="1"/>
  <c r="X1164" i="1"/>
  <c r="X1473" i="1"/>
  <c r="X1348" i="1"/>
  <c r="X1206" i="1"/>
  <c r="X1237" i="1"/>
  <c r="X395" i="1"/>
  <c r="X382" i="1"/>
  <c r="X1319" i="1"/>
  <c r="X551" i="1"/>
  <c r="X783" i="1"/>
  <c r="X1006" i="1"/>
  <c r="X1419" i="1"/>
  <c r="X1605" i="1"/>
  <c r="X1943" i="1"/>
  <c r="X1908" i="1"/>
  <c r="X951" i="1"/>
  <c r="X964" i="1"/>
  <c r="X1864" i="1"/>
  <c r="X839" i="1"/>
  <c r="X1906" i="1"/>
  <c r="X1782" i="1"/>
  <c r="X1506" i="1"/>
  <c r="X1094" i="1"/>
  <c r="X1034" i="1"/>
  <c r="X917" i="1"/>
  <c r="X1658" i="1"/>
  <c r="X171" i="1"/>
  <c r="X1290" i="1"/>
  <c r="X1165" i="1"/>
  <c r="X848" i="1"/>
  <c r="X412" i="1"/>
  <c r="X1557" i="1"/>
  <c r="X1841" i="1"/>
  <c r="X142" i="1"/>
  <c r="X571" i="1"/>
  <c r="X403" i="1"/>
  <c r="X1358" i="1"/>
  <c r="X1245" i="1"/>
  <c r="X483" i="1"/>
  <c r="X1897" i="1"/>
  <c r="X753" i="1"/>
  <c r="X445" i="1"/>
  <c r="X1246" i="1"/>
  <c r="X1499" i="1"/>
  <c r="X989" i="1"/>
  <c r="X1865" i="1"/>
  <c r="X1173" i="1"/>
  <c r="X1511" i="1"/>
  <c r="X63" i="1"/>
  <c r="X690" i="1"/>
  <c r="X905" i="1"/>
  <c r="X240" i="1"/>
  <c r="X1462" i="1"/>
  <c r="X1712" i="1"/>
  <c r="X1687" i="1"/>
  <c r="X1202" i="1"/>
  <c r="X1493" i="1"/>
  <c r="X1338" i="1"/>
  <c r="X1746" i="1"/>
  <c r="X1606" i="1"/>
  <c r="X505" i="1"/>
  <c r="X1992" i="1"/>
  <c r="X1226" i="1"/>
  <c r="X307" i="1"/>
  <c r="X297" i="1"/>
  <c r="X223" i="1"/>
  <c r="X113" i="1"/>
  <c r="X584" i="1"/>
  <c r="X637" i="1"/>
  <c r="X488" i="1"/>
  <c r="X946" i="1"/>
</calcChain>
</file>

<file path=xl/sharedStrings.xml><?xml version="1.0" encoding="utf-8"?>
<sst xmlns="http://schemas.openxmlformats.org/spreadsheetml/2006/main" count="24537" uniqueCount="2308">
  <si>
    <t>Employee ID</t>
  </si>
  <si>
    <t>Employee Name</t>
  </si>
  <si>
    <t>Gender</t>
  </si>
  <si>
    <t>Age</t>
  </si>
  <si>
    <t>Department</t>
  </si>
  <si>
    <t>Designation</t>
  </si>
  <si>
    <t>Joining Date</t>
  </si>
  <si>
    <t>Employment Status</t>
  </si>
  <si>
    <t>Work Mode</t>
  </si>
  <si>
    <t>Education</t>
  </si>
  <si>
    <t>Hire Source</t>
  </si>
  <si>
    <t>City</t>
  </si>
  <si>
    <t>Manager</t>
  </si>
  <si>
    <t>Salary</t>
  </si>
  <si>
    <t>Bonus</t>
  </si>
  <si>
    <t>Attendance %</t>
  </si>
  <si>
    <t>Leave Days</t>
  </si>
  <si>
    <t>Overtime Hours</t>
  </si>
  <si>
    <t>Performance Rating</t>
  </si>
  <si>
    <t>Training Hours</t>
  </si>
  <si>
    <t>Satisfaction Score</t>
  </si>
  <si>
    <t>Promotion</t>
  </si>
  <si>
    <t>Attrition Reason</t>
  </si>
  <si>
    <t>EMP00001</t>
  </si>
  <si>
    <t>Saad Qureshi</t>
  </si>
  <si>
    <t>Male</t>
  </si>
  <si>
    <t>Active</t>
  </si>
  <si>
    <t>Remote</t>
  </si>
  <si>
    <t>Referral</t>
  </si>
  <si>
    <t>Lahore</t>
  </si>
  <si>
    <t>Ahmed Raza</t>
  </si>
  <si>
    <t>No</t>
  </si>
  <si>
    <t>EMP00002</t>
  </si>
  <si>
    <t>Iqra Ahmed</t>
  </si>
  <si>
    <t>Female</t>
  </si>
  <si>
    <t>Sr Manager</t>
  </si>
  <si>
    <t>Hybrid</t>
  </si>
  <si>
    <t>Campus</t>
  </si>
  <si>
    <t>Karachi</t>
  </si>
  <si>
    <t>Usman Tariq</t>
  </si>
  <si>
    <t>EMP00003</t>
  </si>
  <si>
    <t>Hamza Qureshi</t>
  </si>
  <si>
    <t>Sales</t>
  </si>
  <si>
    <t>Assistant</t>
  </si>
  <si>
    <t>Faisalabad</t>
  </si>
  <si>
    <t>Fatima Noor</t>
  </si>
  <si>
    <t>EMP00004</t>
  </si>
  <si>
    <t>Hamza Raza</t>
  </si>
  <si>
    <t>Master</t>
  </si>
  <si>
    <t>Multan</t>
  </si>
  <si>
    <t>EMP00005</t>
  </si>
  <si>
    <t>Usman Iqbal</t>
  </si>
  <si>
    <t>Marketing</t>
  </si>
  <si>
    <t>Sr Executive</t>
  </si>
  <si>
    <t>Resigned</t>
  </si>
  <si>
    <t>Agency</t>
  </si>
  <si>
    <t>Peshawar</t>
  </si>
  <si>
    <t>Personal</t>
  </si>
  <si>
    <t>EMP00006</t>
  </si>
  <si>
    <t>Ali Ahmed</t>
  </si>
  <si>
    <t>Sara Ali</t>
  </si>
  <si>
    <t>EMP00007</t>
  </si>
  <si>
    <t>Noor Ahmed</t>
  </si>
  <si>
    <t>Finance</t>
  </si>
  <si>
    <t>Bilal Khan</t>
  </si>
  <si>
    <t>EMP00008</t>
  </si>
  <si>
    <t>Ayesha Aslam</t>
  </si>
  <si>
    <t>Support</t>
  </si>
  <si>
    <t>Rawalpindi</t>
  </si>
  <si>
    <t>Yes</t>
  </si>
  <si>
    <t>EMP00009</t>
  </si>
  <si>
    <t>Hina Ahmed</t>
  </si>
  <si>
    <t>Team Lead</t>
  </si>
  <si>
    <t>Website</t>
  </si>
  <si>
    <t>EMP00010</t>
  </si>
  <si>
    <t>Umar Ahmed</t>
  </si>
  <si>
    <t>Executive</t>
  </si>
  <si>
    <t>EMP00011</t>
  </si>
  <si>
    <t>Ahmed Javed</t>
  </si>
  <si>
    <t>Intern</t>
  </si>
  <si>
    <t>Bachelor</t>
  </si>
  <si>
    <t>EMP00012</t>
  </si>
  <si>
    <t>Zain Butt</t>
  </si>
  <si>
    <t>Performance</t>
  </si>
  <si>
    <t>EMP00013</t>
  </si>
  <si>
    <t>Zain Ahmed</t>
  </si>
  <si>
    <t>Operations</t>
  </si>
  <si>
    <t>Sialkot</t>
  </si>
  <si>
    <t>EMP00014</t>
  </si>
  <si>
    <t>Daniyal Khan</t>
  </si>
  <si>
    <t>Supervisor</t>
  </si>
  <si>
    <t>EMP00015</t>
  </si>
  <si>
    <t>Hamza Butt</t>
  </si>
  <si>
    <t>Administration</t>
  </si>
  <si>
    <t>EMP00016</t>
  </si>
  <si>
    <t>Ayesha Qureshi</t>
  </si>
  <si>
    <t>Relocation</t>
  </si>
  <si>
    <t>EMP00017</t>
  </si>
  <si>
    <t>Daniyal Ahmed</t>
  </si>
  <si>
    <t>EMP00018</t>
  </si>
  <si>
    <t>Hassan Khan</t>
  </si>
  <si>
    <t>EMP00019</t>
  </si>
  <si>
    <t>Maryam Javed</t>
  </si>
  <si>
    <t>EMP00020</t>
  </si>
  <si>
    <t>Ayesha Raza</t>
  </si>
  <si>
    <t>EMP00021</t>
  </si>
  <si>
    <t>Iqra Khan</t>
  </si>
  <si>
    <t>EMP00022</t>
  </si>
  <si>
    <t>Umar Qureshi</t>
  </si>
  <si>
    <t>Procurement</t>
  </si>
  <si>
    <t>EMP00023</t>
  </si>
  <si>
    <t>Maryam Khan</t>
  </si>
  <si>
    <t>EMP00024</t>
  </si>
  <si>
    <t>Usman Butt</t>
  </si>
  <si>
    <t>EMP00025</t>
  </si>
  <si>
    <t>Hassan Iqbal</t>
  </si>
  <si>
    <t>Islamabad</t>
  </si>
  <si>
    <t>EMP00026</t>
  </si>
  <si>
    <t>Zain Malik</t>
  </si>
  <si>
    <t>EMP00027</t>
  </si>
  <si>
    <t>Fatima Qureshi</t>
  </si>
  <si>
    <t>EMP00028</t>
  </si>
  <si>
    <t>EMP00029</t>
  </si>
  <si>
    <t>Higher Studies</t>
  </si>
  <si>
    <t>EMP00030</t>
  </si>
  <si>
    <t>Noor Qureshi</t>
  </si>
  <si>
    <t>EMP00031</t>
  </si>
  <si>
    <t>Zain Aslam</t>
  </si>
  <si>
    <t>EMP00032</t>
  </si>
  <si>
    <t>Ayesha Khan</t>
  </si>
  <si>
    <t>EMP00033</t>
  </si>
  <si>
    <t>Fatima Raza</t>
  </si>
  <si>
    <t>EMP00034</t>
  </si>
  <si>
    <t>EMP00035</t>
  </si>
  <si>
    <t>Hina Butt</t>
  </si>
  <si>
    <t>EMP00036</t>
  </si>
  <si>
    <t>Saad Khan</t>
  </si>
  <si>
    <t>EMP00037</t>
  </si>
  <si>
    <t>Ahmed Sheikh</t>
  </si>
  <si>
    <t>EMP00038</t>
  </si>
  <si>
    <t>Iqra Iqbal</t>
  </si>
  <si>
    <t>EMP00039</t>
  </si>
  <si>
    <t>Iqra Malik</t>
  </si>
  <si>
    <t>EMP00040</t>
  </si>
  <si>
    <t>Ali Raza</t>
  </si>
  <si>
    <t>EMP00041</t>
  </si>
  <si>
    <t>Ahmed Aslam</t>
  </si>
  <si>
    <t>EMP00042</t>
  </si>
  <si>
    <t>EMP00043</t>
  </si>
  <si>
    <t>Umar Raza</t>
  </si>
  <si>
    <t>EMP00044</t>
  </si>
  <si>
    <t>Usman Sheikh</t>
  </si>
  <si>
    <t>EMP00045</t>
  </si>
  <si>
    <t>Maryam Iqbal</t>
  </si>
  <si>
    <t>EMP00046</t>
  </si>
  <si>
    <t>Umar Malik</t>
  </si>
  <si>
    <t>EMP00047</t>
  </si>
  <si>
    <t>Sara Aslam</t>
  </si>
  <si>
    <t>EMP00048</t>
  </si>
  <si>
    <t>EMP00049</t>
  </si>
  <si>
    <t>Iqra Raza</t>
  </si>
  <si>
    <t>EMP00050</t>
  </si>
  <si>
    <t>Usman Ahmed</t>
  </si>
  <si>
    <t>EMP00051</t>
  </si>
  <si>
    <t>EMP00052</t>
  </si>
  <si>
    <t>Ali Javed</t>
  </si>
  <si>
    <t>EMP00053</t>
  </si>
  <si>
    <t>Laiba Javed</t>
  </si>
  <si>
    <t>EMP00054</t>
  </si>
  <si>
    <t>Amna Butt</t>
  </si>
  <si>
    <t>EMP00055</t>
  </si>
  <si>
    <t>Sara Qureshi</t>
  </si>
  <si>
    <t>EMP00056</t>
  </si>
  <si>
    <t>Saad Raza</t>
  </si>
  <si>
    <t>EMP00057</t>
  </si>
  <si>
    <t>Saad Iqbal</t>
  </si>
  <si>
    <t>EMP00058</t>
  </si>
  <si>
    <t>Iqra Butt</t>
  </si>
  <si>
    <t>EMP00059</t>
  </si>
  <si>
    <t>Ahmed Iqbal</t>
  </si>
  <si>
    <t>EMP00060</t>
  </si>
  <si>
    <t>Ahmed Khan</t>
  </si>
  <si>
    <t>EMP00061</t>
  </si>
  <si>
    <t>EMP00062</t>
  </si>
  <si>
    <t>Areeba Qureshi</t>
  </si>
  <si>
    <t>EMP00063</t>
  </si>
  <si>
    <t>Maryam Butt</t>
  </si>
  <si>
    <t>EMP00064</t>
  </si>
  <si>
    <t>EMP00065</t>
  </si>
  <si>
    <t>Ali Aslam</t>
  </si>
  <si>
    <t>EMP00066</t>
  </si>
  <si>
    <t>Hassan Qureshi</t>
  </si>
  <si>
    <t>EMP00067</t>
  </si>
  <si>
    <t>Maryam Sheikh</t>
  </si>
  <si>
    <t>EMP00068</t>
  </si>
  <si>
    <t>Hamza Aslam</t>
  </si>
  <si>
    <t>EMP00069</t>
  </si>
  <si>
    <t>Umar Aslam</t>
  </si>
  <si>
    <t>EMP00070</t>
  </si>
  <si>
    <t>Ahmed Malik</t>
  </si>
  <si>
    <t>EMP00071</t>
  </si>
  <si>
    <t>Zain Javed</t>
  </si>
  <si>
    <t>EMP00072</t>
  </si>
  <si>
    <t>Laiba Butt</t>
  </si>
  <si>
    <t>EMP00073</t>
  </si>
  <si>
    <t>Better Opportunity</t>
  </si>
  <si>
    <t>EMP00074</t>
  </si>
  <si>
    <t>Zain Khan</t>
  </si>
  <si>
    <t>EMP00075</t>
  </si>
  <si>
    <t>EMP00076</t>
  </si>
  <si>
    <t>Maryam Raza</t>
  </si>
  <si>
    <t>EMP00077</t>
  </si>
  <si>
    <t>EMP00078</t>
  </si>
  <si>
    <t>EMP00079</t>
  </si>
  <si>
    <t>EMP00080</t>
  </si>
  <si>
    <t>Hassan Raza</t>
  </si>
  <si>
    <t>EMP00081</t>
  </si>
  <si>
    <t>EMP00082</t>
  </si>
  <si>
    <t>Areeba Sheikh</t>
  </si>
  <si>
    <t>EMP00083</t>
  </si>
  <si>
    <t>Hamza Khan</t>
  </si>
  <si>
    <t>EMP00084</t>
  </si>
  <si>
    <t>Bilal Aslam</t>
  </si>
  <si>
    <t>EMP00085</t>
  </si>
  <si>
    <t>Areeba Butt</t>
  </si>
  <si>
    <t>EMP00086</t>
  </si>
  <si>
    <t>Saad Javed</t>
  </si>
  <si>
    <t>EMP00087</t>
  </si>
  <si>
    <t>Fatima Javed</t>
  </si>
  <si>
    <t>EMP00088</t>
  </si>
  <si>
    <t>Bilal Raza</t>
  </si>
  <si>
    <t>EMP00089</t>
  </si>
  <si>
    <t>Hina Qureshi</t>
  </si>
  <si>
    <t>EMP00090</t>
  </si>
  <si>
    <t>Daniyal Butt</t>
  </si>
  <si>
    <t>EMP00091</t>
  </si>
  <si>
    <t>EMP00092</t>
  </si>
  <si>
    <t>Amna Sheikh</t>
  </si>
  <si>
    <t>EMP00093</t>
  </si>
  <si>
    <t>EMP00094</t>
  </si>
  <si>
    <t>Hassan Sheikh</t>
  </si>
  <si>
    <t>EMP00095</t>
  </si>
  <si>
    <t>EMP00096</t>
  </si>
  <si>
    <t>EMP00097</t>
  </si>
  <si>
    <t>Hassan Aslam</t>
  </si>
  <si>
    <t>EMP00098</t>
  </si>
  <si>
    <t>Ayesha Javed</t>
  </si>
  <si>
    <t>EMP00099</t>
  </si>
  <si>
    <t>Sara Raza</t>
  </si>
  <si>
    <t>EMP00100</t>
  </si>
  <si>
    <t>Amna Aslam</t>
  </si>
  <si>
    <t>EMP00101</t>
  </si>
  <si>
    <t>Iqra Sheikh</t>
  </si>
  <si>
    <t>EMP00102</t>
  </si>
  <si>
    <t>Maryam Qureshi</t>
  </si>
  <si>
    <t>EMP00103</t>
  </si>
  <si>
    <t>Amna Khan</t>
  </si>
  <si>
    <t>EMP00104</t>
  </si>
  <si>
    <t>Maryam Aslam</t>
  </si>
  <si>
    <t>EMP00105</t>
  </si>
  <si>
    <t>EMP00106</t>
  </si>
  <si>
    <t>Areeba Raza</t>
  </si>
  <si>
    <t>EMP00107</t>
  </si>
  <si>
    <t>Bilal Butt</t>
  </si>
  <si>
    <t>EMP00108</t>
  </si>
  <si>
    <t>Hina Khan</t>
  </si>
  <si>
    <t>EMP00109</t>
  </si>
  <si>
    <t>Laiba Ahmed</t>
  </si>
  <si>
    <t>EMP00110</t>
  </si>
  <si>
    <t>EMP00111</t>
  </si>
  <si>
    <t>Zain Sheikh</t>
  </si>
  <si>
    <t>EMP00112</t>
  </si>
  <si>
    <t>EMP00113</t>
  </si>
  <si>
    <t>EMP00114</t>
  </si>
  <si>
    <t>Noor Iqbal</t>
  </si>
  <si>
    <t>EMP00115</t>
  </si>
  <si>
    <t>EMP00116</t>
  </si>
  <si>
    <t>EMP00117</t>
  </si>
  <si>
    <t>Hassan Malik</t>
  </si>
  <si>
    <t>EMP00118</t>
  </si>
  <si>
    <t>Areeba Aslam</t>
  </si>
  <si>
    <t>EMP00119</t>
  </si>
  <si>
    <t>EMP00120</t>
  </si>
  <si>
    <t>EMP00121</t>
  </si>
  <si>
    <t>EMP00122</t>
  </si>
  <si>
    <t>Sara Iqbal</t>
  </si>
  <si>
    <t>EMP00123</t>
  </si>
  <si>
    <t>EMP00124</t>
  </si>
  <si>
    <t>Bilal Malik</t>
  </si>
  <si>
    <t>EMP00125</t>
  </si>
  <si>
    <t>EMP00126</t>
  </si>
  <si>
    <t>Noor Khan</t>
  </si>
  <si>
    <t>EMP00127</t>
  </si>
  <si>
    <t>Saad Malik</t>
  </si>
  <si>
    <t>EMP00128</t>
  </si>
  <si>
    <t>Amna Ahmed</t>
  </si>
  <si>
    <t>EMP00129</t>
  </si>
  <si>
    <t>Bilal Ahmed</t>
  </si>
  <si>
    <t>EMP00130</t>
  </si>
  <si>
    <t>EMP00131</t>
  </si>
  <si>
    <t>Hassan Javed</t>
  </si>
  <si>
    <t>EMP00132</t>
  </si>
  <si>
    <t>Umar Iqbal</t>
  </si>
  <si>
    <t>EMP00133</t>
  </si>
  <si>
    <t>EMP00134</t>
  </si>
  <si>
    <t>Usman Aslam</t>
  </si>
  <si>
    <t>EMP00135</t>
  </si>
  <si>
    <t>EMP00136</t>
  </si>
  <si>
    <t>Umar Butt</t>
  </si>
  <si>
    <t>EMP00137</t>
  </si>
  <si>
    <t>EMP00138</t>
  </si>
  <si>
    <t>Hina Sheikh</t>
  </si>
  <si>
    <t>EMP00139</t>
  </si>
  <si>
    <t>EMP00140</t>
  </si>
  <si>
    <t>Amna Qureshi</t>
  </si>
  <si>
    <t>EMP00141</t>
  </si>
  <si>
    <t>EMP00142</t>
  </si>
  <si>
    <t>EMP00143</t>
  </si>
  <si>
    <t>Maryam Ahmed</t>
  </si>
  <si>
    <t>EMP00144</t>
  </si>
  <si>
    <t>EMP00145</t>
  </si>
  <si>
    <t>EMP00146</t>
  </si>
  <si>
    <t>EMP00147</t>
  </si>
  <si>
    <t>Ali Iqbal</t>
  </si>
  <si>
    <t>EMP00148</t>
  </si>
  <si>
    <t>EMP00149</t>
  </si>
  <si>
    <t>EMP00150</t>
  </si>
  <si>
    <t>Areeba Khan</t>
  </si>
  <si>
    <t>EMP00151</t>
  </si>
  <si>
    <t>Ahmed Butt</t>
  </si>
  <si>
    <t>EMP00152</t>
  </si>
  <si>
    <t>EMP00153</t>
  </si>
  <si>
    <t>EMP00154</t>
  </si>
  <si>
    <t>Fatima Sheikh</t>
  </si>
  <si>
    <t>EMP00155</t>
  </si>
  <si>
    <t>EMP00156</t>
  </si>
  <si>
    <t>EMP00157</t>
  </si>
  <si>
    <t>EMP00158</t>
  </si>
  <si>
    <t>EMP00159</t>
  </si>
  <si>
    <t>Usman Javed</t>
  </si>
  <si>
    <t>EMP00160</t>
  </si>
  <si>
    <t>Bilal Qureshi</t>
  </si>
  <si>
    <t>EMP00161</t>
  </si>
  <si>
    <t>EMP00162</t>
  </si>
  <si>
    <t>Laiba Sheikh</t>
  </si>
  <si>
    <t>EMP00163</t>
  </si>
  <si>
    <t>EMP00164</t>
  </si>
  <si>
    <t>Daniyal Aslam</t>
  </si>
  <si>
    <t>EMP00165</t>
  </si>
  <si>
    <t>Maryam Malik</t>
  </si>
  <si>
    <t>EMP00166</t>
  </si>
  <si>
    <t>EMP00167</t>
  </si>
  <si>
    <t>EMP00168</t>
  </si>
  <si>
    <t>Ayesha Iqbal</t>
  </si>
  <si>
    <t>EMP00169</t>
  </si>
  <si>
    <t>EMP00170</t>
  </si>
  <si>
    <t>Noor Malik</t>
  </si>
  <si>
    <t>EMP00171</t>
  </si>
  <si>
    <t>Fatima Ahmed</t>
  </si>
  <si>
    <t>EMP00172</t>
  </si>
  <si>
    <t>EMP00173</t>
  </si>
  <si>
    <t>EMP00174</t>
  </si>
  <si>
    <t>Hamza Malik</t>
  </si>
  <si>
    <t>EMP00175</t>
  </si>
  <si>
    <t>EMP00176</t>
  </si>
  <si>
    <t>EMP00177</t>
  </si>
  <si>
    <t>EMP00178</t>
  </si>
  <si>
    <t>Zain Qureshi</t>
  </si>
  <si>
    <t>EMP00179</t>
  </si>
  <si>
    <t>EMP00180</t>
  </si>
  <si>
    <t>Ali Sheikh</t>
  </si>
  <si>
    <t>EMP00181</t>
  </si>
  <si>
    <t>Ali Butt</t>
  </si>
  <si>
    <t>EMP00182</t>
  </si>
  <si>
    <t>EMP00183</t>
  </si>
  <si>
    <t>EMP00184</t>
  </si>
  <si>
    <t>EMP00185</t>
  </si>
  <si>
    <t>EMP00186</t>
  </si>
  <si>
    <t>EMP00187</t>
  </si>
  <si>
    <t>Bilal Sheikh</t>
  </si>
  <si>
    <t>EMP00188</t>
  </si>
  <si>
    <t>EMP00189</t>
  </si>
  <si>
    <t>EMP00190</t>
  </si>
  <si>
    <t>EMP00191</t>
  </si>
  <si>
    <t>Ayesha Malik</t>
  </si>
  <si>
    <t>EMP00192</t>
  </si>
  <si>
    <t>Ahmed Ahmed</t>
  </si>
  <si>
    <t>EMP00193</t>
  </si>
  <si>
    <t>Areeba Javed</t>
  </si>
  <si>
    <t>EMP00194</t>
  </si>
  <si>
    <t>Sara Khan</t>
  </si>
  <si>
    <t>EMP00195</t>
  </si>
  <si>
    <t>EMP00196</t>
  </si>
  <si>
    <t>Bilal Iqbal</t>
  </si>
  <si>
    <t>EMP00197</t>
  </si>
  <si>
    <t>EMP00198</t>
  </si>
  <si>
    <t>EMP00199</t>
  </si>
  <si>
    <t>EMP00200</t>
  </si>
  <si>
    <t>EMP00201</t>
  </si>
  <si>
    <t>Umar Khan</t>
  </si>
  <si>
    <t>EMP00202</t>
  </si>
  <si>
    <t>EMP00203</t>
  </si>
  <si>
    <t>EMP00204</t>
  </si>
  <si>
    <t>Areeba Malik</t>
  </si>
  <si>
    <t>EMP00205</t>
  </si>
  <si>
    <t>Sara Javed</t>
  </si>
  <si>
    <t>EMP00206</t>
  </si>
  <si>
    <t>EMP00207</t>
  </si>
  <si>
    <t>EMP00208</t>
  </si>
  <si>
    <t>Laiba Khan</t>
  </si>
  <si>
    <t>EMP00209</t>
  </si>
  <si>
    <t>EMP00210</t>
  </si>
  <si>
    <t>EMP00211</t>
  </si>
  <si>
    <t>Daniyal Malik</t>
  </si>
  <si>
    <t>EMP00212</t>
  </si>
  <si>
    <t>EMP00213</t>
  </si>
  <si>
    <t>EMP00214</t>
  </si>
  <si>
    <t>EMP00215</t>
  </si>
  <si>
    <t>EMP00216</t>
  </si>
  <si>
    <t>EMP00217</t>
  </si>
  <si>
    <t>EMP00218</t>
  </si>
  <si>
    <t>EMP00219</t>
  </si>
  <si>
    <t>Iqra Javed</t>
  </si>
  <si>
    <t>EMP00220</t>
  </si>
  <si>
    <t>Hina Malik</t>
  </si>
  <si>
    <t>EMP00221</t>
  </si>
  <si>
    <t>EMP00222</t>
  </si>
  <si>
    <t>EMP00223</t>
  </si>
  <si>
    <t>EMP00224</t>
  </si>
  <si>
    <t>Usman Khan</t>
  </si>
  <si>
    <t>EMP00225</t>
  </si>
  <si>
    <t>EMP00226</t>
  </si>
  <si>
    <t>Laiba Raza</t>
  </si>
  <si>
    <t>EMP00227</t>
  </si>
  <si>
    <t>EMP00228</t>
  </si>
  <si>
    <t>Fatima Aslam</t>
  </si>
  <si>
    <t>EMP00229</t>
  </si>
  <si>
    <t>EMP00230</t>
  </si>
  <si>
    <t>EMP00231</t>
  </si>
  <si>
    <t>Zain Iqbal</t>
  </si>
  <si>
    <t>EMP00232</t>
  </si>
  <si>
    <t>EMP00233</t>
  </si>
  <si>
    <t>EMP00234</t>
  </si>
  <si>
    <t>Saad Ahmed</t>
  </si>
  <si>
    <t>EMP00235</t>
  </si>
  <si>
    <t>Noor Butt</t>
  </si>
  <si>
    <t>EMP00236</t>
  </si>
  <si>
    <t>Sara Butt</t>
  </si>
  <si>
    <t>EMP00237</t>
  </si>
  <si>
    <t>EMP00238</t>
  </si>
  <si>
    <t>EMP00239</t>
  </si>
  <si>
    <t>EMP00240</t>
  </si>
  <si>
    <t>EMP00241</t>
  </si>
  <si>
    <t>EMP00242</t>
  </si>
  <si>
    <t>Hamza Iqbal</t>
  </si>
  <si>
    <t>EMP00243</t>
  </si>
  <si>
    <t>EMP00244</t>
  </si>
  <si>
    <t>EMP00245</t>
  </si>
  <si>
    <t>Hamza Javed</t>
  </si>
  <si>
    <t>EMP00246</t>
  </si>
  <si>
    <t>EMP00247</t>
  </si>
  <si>
    <t>Hina Iqbal</t>
  </si>
  <si>
    <t>EMP00248</t>
  </si>
  <si>
    <t>EMP00249</t>
  </si>
  <si>
    <t>Hina Javed</t>
  </si>
  <si>
    <t>EMP00250</t>
  </si>
  <si>
    <t>EMP00251</t>
  </si>
  <si>
    <t>Usman Qureshi</t>
  </si>
  <si>
    <t>EMP00252</t>
  </si>
  <si>
    <t>EMP00253</t>
  </si>
  <si>
    <t>EMP00254</t>
  </si>
  <si>
    <t>Daniyal Qureshi</t>
  </si>
  <si>
    <t>EMP00255</t>
  </si>
  <si>
    <t>EMP00256</t>
  </si>
  <si>
    <t>EMP00257</t>
  </si>
  <si>
    <t>Saad Aslam</t>
  </si>
  <si>
    <t>EMP00258</t>
  </si>
  <si>
    <t>EMP00259</t>
  </si>
  <si>
    <t>EMP00260</t>
  </si>
  <si>
    <t>EMP00261</t>
  </si>
  <si>
    <t>EMP00262</t>
  </si>
  <si>
    <t>EMP00263</t>
  </si>
  <si>
    <t>EMP00264</t>
  </si>
  <si>
    <t>EMP00265</t>
  </si>
  <si>
    <t>EMP00266</t>
  </si>
  <si>
    <t>Ahmed Qureshi</t>
  </si>
  <si>
    <t>EMP00267</t>
  </si>
  <si>
    <t>EMP00268</t>
  </si>
  <si>
    <t>EMP00269</t>
  </si>
  <si>
    <t>EMP00270</t>
  </si>
  <si>
    <t>EMP00271</t>
  </si>
  <si>
    <t>EMP00272</t>
  </si>
  <si>
    <t>EMP00273</t>
  </si>
  <si>
    <t>EMP00274</t>
  </si>
  <si>
    <t>EMP00275</t>
  </si>
  <si>
    <t>EMP00276</t>
  </si>
  <si>
    <t>EMP00277</t>
  </si>
  <si>
    <t>Areeba Iqbal</t>
  </si>
  <si>
    <t>EMP00278</t>
  </si>
  <si>
    <t>EMP00279</t>
  </si>
  <si>
    <t>EMP00280</t>
  </si>
  <si>
    <t>EMP00281</t>
  </si>
  <si>
    <t>EMP00282</t>
  </si>
  <si>
    <t>EMP00283</t>
  </si>
  <si>
    <t>EMP00284</t>
  </si>
  <si>
    <t>EMP00285</t>
  </si>
  <si>
    <t>Noor Aslam</t>
  </si>
  <si>
    <t>EMP00286</t>
  </si>
  <si>
    <t>EMP00287</t>
  </si>
  <si>
    <t>EMP00288</t>
  </si>
  <si>
    <t>EMP00289</t>
  </si>
  <si>
    <t>EMP00290</t>
  </si>
  <si>
    <t>EMP00291</t>
  </si>
  <si>
    <t>EMP00292</t>
  </si>
  <si>
    <t>Fatima Butt</t>
  </si>
  <si>
    <t>EMP00293</t>
  </si>
  <si>
    <t>Usman Raza</t>
  </si>
  <si>
    <t>EMP00294</t>
  </si>
  <si>
    <t>Laiba Malik</t>
  </si>
  <si>
    <t>EMP00295</t>
  </si>
  <si>
    <t>Amna Malik</t>
  </si>
  <si>
    <t>EMP00296</t>
  </si>
  <si>
    <t>EMP00297</t>
  </si>
  <si>
    <t>EMP00298</t>
  </si>
  <si>
    <t>EMP00299</t>
  </si>
  <si>
    <t>EMP00300</t>
  </si>
  <si>
    <t>Laiba Qureshi</t>
  </si>
  <si>
    <t>EMP00301</t>
  </si>
  <si>
    <t>EMP00302</t>
  </si>
  <si>
    <t>EMP00303</t>
  </si>
  <si>
    <t>EMP00304</t>
  </si>
  <si>
    <t>Daniyal Iqbal</t>
  </si>
  <si>
    <t>EMP00305</t>
  </si>
  <si>
    <t>EMP00306</t>
  </si>
  <si>
    <t>EMP00307</t>
  </si>
  <si>
    <t>EMP00308</t>
  </si>
  <si>
    <t>EMP00309</t>
  </si>
  <si>
    <t>Daniyal Raza</t>
  </si>
  <si>
    <t>EMP00310</t>
  </si>
  <si>
    <t>EMP00311</t>
  </si>
  <si>
    <t>Saad Butt</t>
  </si>
  <si>
    <t>EMP00312</t>
  </si>
  <si>
    <t>EMP00313</t>
  </si>
  <si>
    <t>EMP00314</t>
  </si>
  <si>
    <t>EMP00315</t>
  </si>
  <si>
    <t>EMP00316</t>
  </si>
  <si>
    <t>EMP00317</t>
  </si>
  <si>
    <t>EMP00318</t>
  </si>
  <si>
    <t>Fatima Iqbal</t>
  </si>
  <si>
    <t>EMP00319</t>
  </si>
  <si>
    <t>EMP00320</t>
  </si>
  <si>
    <t>Ali Khan</t>
  </si>
  <si>
    <t>EMP00321</t>
  </si>
  <si>
    <t>Umar Javed</t>
  </si>
  <si>
    <t>EMP00322</t>
  </si>
  <si>
    <t>EMP00323</t>
  </si>
  <si>
    <t>Daniyal Sheikh</t>
  </si>
  <si>
    <t>EMP00324</t>
  </si>
  <si>
    <t>EMP00325</t>
  </si>
  <si>
    <t>Amna Raza</t>
  </si>
  <si>
    <t>EMP00326</t>
  </si>
  <si>
    <t>EMP00327</t>
  </si>
  <si>
    <t>EMP00328</t>
  </si>
  <si>
    <t>EMP00329</t>
  </si>
  <si>
    <t>EMP00330</t>
  </si>
  <si>
    <t>EMP00331</t>
  </si>
  <si>
    <t>EMP00332</t>
  </si>
  <si>
    <t>Laiba Aslam</t>
  </si>
  <si>
    <t>EMP00333</t>
  </si>
  <si>
    <t>EMP00334</t>
  </si>
  <si>
    <t>EMP00335</t>
  </si>
  <si>
    <t>EMP00336</t>
  </si>
  <si>
    <t>EMP00337</t>
  </si>
  <si>
    <t>EMP00338</t>
  </si>
  <si>
    <t>EMP00339</t>
  </si>
  <si>
    <t>EMP00340</t>
  </si>
  <si>
    <t>EMP00341</t>
  </si>
  <si>
    <t>EMP00342</t>
  </si>
  <si>
    <t>EMP00343</t>
  </si>
  <si>
    <t>EMP00344</t>
  </si>
  <si>
    <t>EMP00345</t>
  </si>
  <si>
    <t>Ayesha Sheikh</t>
  </si>
  <si>
    <t>EMP00346</t>
  </si>
  <si>
    <t>Sara Malik</t>
  </si>
  <si>
    <t>EMP00347</t>
  </si>
  <si>
    <t>EMP00348</t>
  </si>
  <si>
    <t>EMP00349</t>
  </si>
  <si>
    <t>Bilal Javed</t>
  </si>
  <si>
    <t>EMP00350</t>
  </si>
  <si>
    <t>EMP00351</t>
  </si>
  <si>
    <t>EMP00352</t>
  </si>
  <si>
    <t>Noor Sheikh</t>
  </si>
  <si>
    <t>EMP00353</t>
  </si>
  <si>
    <t>EMP00354</t>
  </si>
  <si>
    <t>EMP00355</t>
  </si>
  <si>
    <t>EMP00356</t>
  </si>
  <si>
    <t>EMP00357</t>
  </si>
  <si>
    <t>EMP00358</t>
  </si>
  <si>
    <t>EMP00359</t>
  </si>
  <si>
    <t>EMP00360</t>
  </si>
  <si>
    <t>EMP00361</t>
  </si>
  <si>
    <t>EMP00362</t>
  </si>
  <si>
    <t>EMP00363</t>
  </si>
  <si>
    <t>EMP00364</t>
  </si>
  <si>
    <t>EMP00365</t>
  </si>
  <si>
    <t>EMP00366</t>
  </si>
  <si>
    <t>EMP00367</t>
  </si>
  <si>
    <t>EMP00368</t>
  </si>
  <si>
    <t>EMP00369</t>
  </si>
  <si>
    <t>EMP00370</t>
  </si>
  <si>
    <t>EMP00371</t>
  </si>
  <si>
    <t>EMP00372</t>
  </si>
  <si>
    <t>EMP00373</t>
  </si>
  <si>
    <t>EMP00374</t>
  </si>
  <si>
    <t>EMP00375</t>
  </si>
  <si>
    <t>EMP00376</t>
  </si>
  <si>
    <t>EMP00377</t>
  </si>
  <si>
    <t>EMP00378</t>
  </si>
  <si>
    <t>EMP00379</t>
  </si>
  <si>
    <t>Hamza Sheikh</t>
  </si>
  <si>
    <t>EMP00380</t>
  </si>
  <si>
    <t>EMP00381</t>
  </si>
  <si>
    <t>EMP00382</t>
  </si>
  <si>
    <t>EMP00383</t>
  </si>
  <si>
    <t>Hina Aslam</t>
  </si>
  <si>
    <t>EMP00384</t>
  </si>
  <si>
    <t>EMP00385</t>
  </si>
  <si>
    <t>EMP00386</t>
  </si>
  <si>
    <t>EMP00387</t>
  </si>
  <si>
    <t>EMP00388</t>
  </si>
  <si>
    <t>Saad Sheikh</t>
  </si>
  <si>
    <t>EMP00389</t>
  </si>
  <si>
    <t>EMP00390</t>
  </si>
  <si>
    <t>EMP00391</t>
  </si>
  <si>
    <t>EMP00392</t>
  </si>
  <si>
    <t>EMP00393</t>
  </si>
  <si>
    <t>EMP00394</t>
  </si>
  <si>
    <t>EMP00395</t>
  </si>
  <si>
    <t>Daniyal Javed</t>
  </si>
  <si>
    <t>EMP00396</t>
  </si>
  <si>
    <t>EMP00397</t>
  </si>
  <si>
    <t>EMP00398</t>
  </si>
  <si>
    <t>EMP00399</t>
  </si>
  <si>
    <t>EMP00400</t>
  </si>
  <si>
    <t>EMP00401</t>
  </si>
  <si>
    <t>EMP00402</t>
  </si>
  <si>
    <t>Fatima Malik</t>
  </si>
  <si>
    <t>EMP00403</t>
  </si>
  <si>
    <t>EMP00404</t>
  </si>
  <si>
    <t>EMP00405</t>
  </si>
  <si>
    <t>EMP00406</t>
  </si>
  <si>
    <t>EMP00407</t>
  </si>
  <si>
    <t>EMP00408</t>
  </si>
  <si>
    <t>EMP00409</t>
  </si>
  <si>
    <t>EMP00410</t>
  </si>
  <si>
    <t>EMP00411</t>
  </si>
  <si>
    <t>EMP00412</t>
  </si>
  <si>
    <t>EMP00413</t>
  </si>
  <si>
    <t>EMP00414</t>
  </si>
  <si>
    <t>EMP00415</t>
  </si>
  <si>
    <t>EMP00416</t>
  </si>
  <si>
    <t>Hassan Butt</t>
  </si>
  <si>
    <t>EMP00417</t>
  </si>
  <si>
    <t>EMP00418</t>
  </si>
  <si>
    <t>EMP00419</t>
  </si>
  <si>
    <t>EMP00420</t>
  </si>
  <si>
    <t>EMP00421</t>
  </si>
  <si>
    <t>EMP00422</t>
  </si>
  <si>
    <t>EMP00423</t>
  </si>
  <si>
    <t>EMP00424</t>
  </si>
  <si>
    <t>EMP00425</t>
  </si>
  <si>
    <t>EMP00426</t>
  </si>
  <si>
    <t>Iqra Qureshi</t>
  </si>
  <si>
    <t>EMP00427</t>
  </si>
  <si>
    <t>EMP00428</t>
  </si>
  <si>
    <t>EMP00429</t>
  </si>
  <si>
    <t>EMP00430</t>
  </si>
  <si>
    <t>EMP00431</t>
  </si>
  <si>
    <t>EMP00432</t>
  </si>
  <si>
    <t>EMP00433</t>
  </si>
  <si>
    <t>EMP00434</t>
  </si>
  <si>
    <t>EMP00435</t>
  </si>
  <si>
    <t>EMP00436</t>
  </si>
  <si>
    <t>EMP00437</t>
  </si>
  <si>
    <t>EMP00438</t>
  </si>
  <si>
    <t>EMP00439</t>
  </si>
  <si>
    <t>EMP00440</t>
  </si>
  <si>
    <t>EMP00441</t>
  </si>
  <si>
    <t>EMP00442</t>
  </si>
  <si>
    <t>EMP00443</t>
  </si>
  <si>
    <t>EMP00444</t>
  </si>
  <si>
    <t>EMP00445</t>
  </si>
  <si>
    <t>EMP00446</t>
  </si>
  <si>
    <t>EMP00447</t>
  </si>
  <si>
    <t>Hassan Ahmed</t>
  </si>
  <si>
    <t>EMP00448</t>
  </si>
  <si>
    <t>EMP00449</t>
  </si>
  <si>
    <t>EMP00450</t>
  </si>
  <si>
    <t>EMP00451</t>
  </si>
  <si>
    <t>EMP00452</t>
  </si>
  <si>
    <t>EMP00453</t>
  </si>
  <si>
    <t>Ayesha Butt</t>
  </si>
  <si>
    <t>EMP00454</t>
  </si>
  <si>
    <t>EMP00455</t>
  </si>
  <si>
    <t>EMP00456</t>
  </si>
  <si>
    <t>EMP00457</t>
  </si>
  <si>
    <t>EMP00458</t>
  </si>
  <si>
    <t>EMP00459</t>
  </si>
  <si>
    <t>EMP00460</t>
  </si>
  <si>
    <t>Iqra Aslam</t>
  </si>
  <si>
    <t>EMP00461</t>
  </si>
  <si>
    <t>EMP00462</t>
  </si>
  <si>
    <t>EMP00463</t>
  </si>
  <si>
    <t>EMP00464</t>
  </si>
  <si>
    <t>Ayesha Ahmed</t>
  </si>
  <si>
    <t>EMP00465</t>
  </si>
  <si>
    <t>EMP00466</t>
  </si>
  <si>
    <t>EMP00467</t>
  </si>
  <si>
    <t>Amna Iqbal</t>
  </si>
  <si>
    <t>EMP00468</t>
  </si>
  <si>
    <t>EMP00469</t>
  </si>
  <si>
    <t>EMP00470</t>
  </si>
  <si>
    <t>EMP00471</t>
  </si>
  <si>
    <t>EMP00472</t>
  </si>
  <si>
    <t>EMP00473</t>
  </si>
  <si>
    <t>EMP00474</t>
  </si>
  <si>
    <t>EMP00475</t>
  </si>
  <si>
    <t>EMP00476</t>
  </si>
  <si>
    <t>EMP00477</t>
  </si>
  <si>
    <t>EMP00478</t>
  </si>
  <si>
    <t>EMP00479</t>
  </si>
  <si>
    <t>EMP00480</t>
  </si>
  <si>
    <t>EMP00481</t>
  </si>
  <si>
    <t>EMP00482</t>
  </si>
  <si>
    <t>EMP00483</t>
  </si>
  <si>
    <t>EMP00484</t>
  </si>
  <si>
    <t>EMP00485</t>
  </si>
  <si>
    <t>EMP00486</t>
  </si>
  <si>
    <t>EMP00487</t>
  </si>
  <si>
    <t>EMP00488</t>
  </si>
  <si>
    <t>EMP00489</t>
  </si>
  <si>
    <t>EMP00490</t>
  </si>
  <si>
    <t>Hamza Ahmed</t>
  </si>
  <si>
    <t>EMP00491</t>
  </si>
  <si>
    <t>EMP00492</t>
  </si>
  <si>
    <t>EMP00493</t>
  </si>
  <si>
    <t>EMP00494</t>
  </si>
  <si>
    <t>EMP00495</t>
  </si>
  <si>
    <t>EMP00496</t>
  </si>
  <si>
    <t>EMP00497</t>
  </si>
  <si>
    <t>EMP00498</t>
  </si>
  <si>
    <t>EMP00499</t>
  </si>
  <si>
    <t>EMP00500</t>
  </si>
  <si>
    <t>EMP00501</t>
  </si>
  <si>
    <t>EMP00502</t>
  </si>
  <si>
    <t>EMP00503</t>
  </si>
  <si>
    <t>EMP00504</t>
  </si>
  <si>
    <t>EMP00505</t>
  </si>
  <si>
    <t>EMP00506</t>
  </si>
  <si>
    <t>EMP00507</t>
  </si>
  <si>
    <t>EMP00508</t>
  </si>
  <si>
    <t>EMP00509</t>
  </si>
  <si>
    <t>EMP00510</t>
  </si>
  <si>
    <t>EMP00511</t>
  </si>
  <si>
    <t>EMP00512</t>
  </si>
  <si>
    <t>EMP00513</t>
  </si>
  <si>
    <t>EMP00514</t>
  </si>
  <si>
    <t>EMP00515</t>
  </si>
  <si>
    <t>EMP00516</t>
  </si>
  <si>
    <t>EMP00517</t>
  </si>
  <si>
    <t>EMP00518</t>
  </si>
  <si>
    <t>EMP00519</t>
  </si>
  <si>
    <t>EMP00520</t>
  </si>
  <si>
    <t>EMP00521</t>
  </si>
  <si>
    <t>EMP00522</t>
  </si>
  <si>
    <t>EMP00523</t>
  </si>
  <si>
    <t>EMP00524</t>
  </si>
  <si>
    <t>EMP00525</t>
  </si>
  <si>
    <t>EMP00526</t>
  </si>
  <si>
    <t>EMP00527</t>
  </si>
  <si>
    <t>EMP00528</t>
  </si>
  <si>
    <t>EMP00529</t>
  </si>
  <si>
    <t>EMP00530</t>
  </si>
  <si>
    <t>EMP00531</t>
  </si>
  <si>
    <t>EMP00532</t>
  </si>
  <si>
    <t>EMP00533</t>
  </si>
  <si>
    <t>EMP00534</t>
  </si>
  <si>
    <t>EMP00535</t>
  </si>
  <si>
    <t>EMP00536</t>
  </si>
  <si>
    <t>Ali Malik</t>
  </si>
  <si>
    <t>EMP00537</t>
  </si>
  <si>
    <t>EMP00538</t>
  </si>
  <si>
    <t>Amna Javed</t>
  </si>
  <si>
    <t>EMP00539</t>
  </si>
  <si>
    <t>EMP00540</t>
  </si>
  <si>
    <t>EMP00541</t>
  </si>
  <si>
    <t>EMP00542</t>
  </si>
  <si>
    <t>EMP00543</t>
  </si>
  <si>
    <t>EMP00544</t>
  </si>
  <si>
    <t>EMP00545</t>
  </si>
  <si>
    <t>EMP00546</t>
  </si>
  <si>
    <t>EMP00547</t>
  </si>
  <si>
    <t>EMP00548</t>
  </si>
  <si>
    <t>EMP00549</t>
  </si>
  <si>
    <t>EMP00550</t>
  </si>
  <si>
    <t>EMP00551</t>
  </si>
  <si>
    <t>Areeba Ahmed</t>
  </si>
  <si>
    <t>EMP00552</t>
  </si>
  <si>
    <t>EMP00553</t>
  </si>
  <si>
    <t>EMP00554</t>
  </si>
  <si>
    <t>EMP00555</t>
  </si>
  <si>
    <t>EMP00556</t>
  </si>
  <si>
    <t>EMP00557</t>
  </si>
  <si>
    <t>EMP00558</t>
  </si>
  <si>
    <t>EMP00559</t>
  </si>
  <si>
    <t>Zain Raza</t>
  </si>
  <si>
    <t>EMP00560</t>
  </si>
  <si>
    <t>Fatima Khan</t>
  </si>
  <si>
    <t>EMP00561</t>
  </si>
  <si>
    <t>EMP00562</t>
  </si>
  <si>
    <t>EMP00563</t>
  </si>
  <si>
    <t>EMP00564</t>
  </si>
  <si>
    <t>EMP00565</t>
  </si>
  <si>
    <t>EMP00566</t>
  </si>
  <si>
    <t>EMP00567</t>
  </si>
  <si>
    <t>EMP00568</t>
  </si>
  <si>
    <t>EMP00569</t>
  </si>
  <si>
    <t>EMP00570</t>
  </si>
  <si>
    <t>EMP00571</t>
  </si>
  <si>
    <t>EMP00572</t>
  </si>
  <si>
    <t>EMP00573</t>
  </si>
  <si>
    <t>EMP00574</t>
  </si>
  <si>
    <t>EMP00575</t>
  </si>
  <si>
    <t>EMP00576</t>
  </si>
  <si>
    <t>EMP00577</t>
  </si>
  <si>
    <t>EMP00578</t>
  </si>
  <si>
    <t>EMP00579</t>
  </si>
  <si>
    <t>Hina Raza</t>
  </si>
  <si>
    <t>EMP00580</t>
  </si>
  <si>
    <t>EMP00581</t>
  </si>
  <si>
    <t>EMP00582</t>
  </si>
  <si>
    <t>EMP00583</t>
  </si>
  <si>
    <t>EMP00584</t>
  </si>
  <si>
    <t>EMP00585</t>
  </si>
  <si>
    <t>EMP00586</t>
  </si>
  <si>
    <t>EMP00587</t>
  </si>
  <si>
    <t>EMP00588</t>
  </si>
  <si>
    <t>EMP00589</t>
  </si>
  <si>
    <t>EMP00590</t>
  </si>
  <si>
    <t>EMP00591</t>
  </si>
  <si>
    <t>EMP00592</t>
  </si>
  <si>
    <t>EMP00593</t>
  </si>
  <si>
    <t>EMP00594</t>
  </si>
  <si>
    <t>EMP00595</t>
  </si>
  <si>
    <t>EMP00596</t>
  </si>
  <si>
    <t>EMP00597</t>
  </si>
  <si>
    <t>EMP00598</t>
  </si>
  <si>
    <t>EMP00599</t>
  </si>
  <si>
    <t>EMP00600</t>
  </si>
  <si>
    <t>EMP00601</t>
  </si>
  <si>
    <t>EMP00602</t>
  </si>
  <si>
    <t>EMP00603</t>
  </si>
  <si>
    <t>EMP00604</t>
  </si>
  <si>
    <t>EMP00605</t>
  </si>
  <si>
    <t>EMP00606</t>
  </si>
  <si>
    <t>EMP00607</t>
  </si>
  <si>
    <t>EMP00608</t>
  </si>
  <si>
    <t>EMP00609</t>
  </si>
  <si>
    <t>EMP00610</t>
  </si>
  <si>
    <t>EMP00611</t>
  </si>
  <si>
    <t>EMP00612</t>
  </si>
  <si>
    <t>EMP00613</t>
  </si>
  <si>
    <t>Ali Qureshi</t>
  </si>
  <si>
    <t>EMP00614</t>
  </si>
  <si>
    <t>EMP00615</t>
  </si>
  <si>
    <t>EMP00616</t>
  </si>
  <si>
    <t>EMP00617</t>
  </si>
  <si>
    <t>Sara Ahmed</t>
  </si>
  <si>
    <t>EMP00618</t>
  </si>
  <si>
    <t>EMP00619</t>
  </si>
  <si>
    <t>Noor Raza</t>
  </si>
  <si>
    <t>EMP00620</t>
  </si>
  <si>
    <t>EMP00621</t>
  </si>
  <si>
    <t>EMP00622</t>
  </si>
  <si>
    <t>EMP00623</t>
  </si>
  <si>
    <t>EMP00624</t>
  </si>
  <si>
    <t>EMP00625</t>
  </si>
  <si>
    <t>EMP00626</t>
  </si>
  <si>
    <t>EMP00627</t>
  </si>
  <si>
    <t>EMP00628</t>
  </si>
  <si>
    <t>EMP00629</t>
  </si>
  <si>
    <t>EMP00630</t>
  </si>
  <si>
    <t>EMP00631</t>
  </si>
  <si>
    <t>EMP00632</t>
  </si>
  <si>
    <t>EMP00633</t>
  </si>
  <si>
    <t>EMP00634</t>
  </si>
  <si>
    <t>EMP00635</t>
  </si>
  <si>
    <t>EMP00636</t>
  </si>
  <si>
    <t>EMP00637</t>
  </si>
  <si>
    <t>EMP00638</t>
  </si>
  <si>
    <t>EMP00639</t>
  </si>
  <si>
    <t>EMP00640</t>
  </si>
  <si>
    <t>EMP00641</t>
  </si>
  <si>
    <t>EMP00642</t>
  </si>
  <si>
    <t>EMP00643</t>
  </si>
  <si>
    <t>EMP00644</t>
  </si>
  <si>
    <t>EMP00645</t>
  </si>
  <si>
    <t>EMP00646</t>
  </si>
  <si>
    <t>EMP00647</t>
  </si>
  <si>
    <t>EMP00648</t>
  </si>
  <si>
    <t>EMP00649</t>
  </si>
  <si>
    <t>EMP00650</t>
  </si>
  <si>
    <t>EMP00651</t>
  </si>
  <si>
    <t>EMP00652</t>
  </si>
  <si>
    <t>EMP00653</t>
  </si>
  <si>
    <t>EMP00654</t>
  </si>
  <si>
    <t>EMP00655</t>
  </si>
  <si>
    <t>EMP00656</t>
  </si>
  <si>
    <t>EMP00657</t>
  </si>
  <si>
    <t>EMP00658</t>
  </si>
  <si>
    <t>EMP00659</t>
  </si>
  <si>
    <t>EMP00660</t>
  </si>
  <si>
    <t>EMP00661</t>
  </si>
  <si>
    <t>EMP00662</t>
  </si>
  <si>
    <t>EMP00663</t>
  </si>
  <si>
    <t>EMP00664</t>
  </si>
  <si>
    <t>EMP00665</t>
  </si>
  <si>
    <t>EMP00666</t>
  </si>
  <si>
    <t>EMP00667</t>
  </si>
  <si>
    <t>EMP00668</t>
  </si>
  <si>
    <t>EMP00669</t>
  </si>
  <si>
    <t>EMP00670</t>
  </si>
  <si>
    <t>EMP00671</t>
  </si>
  <si>
    <t>EMP00672</t>
  </si>
  <si>
    <t>EMP00673</t>
  </si>
  <si>
    <t>EMP00674</t>
  </si>
  <si>
    <t>EMP00675</t>
  </si>
  <si>
    <t>EMP00676</t>
  </si>
  <si>
    <t>EMP00677</t>
  </si>
  <si>
    <t>EMP00678</t>
  </si>
  <si>
    <t>EMP00679</t>
  </si>
  <si>
    <t>EMP00680</t>
  </si>
  <si>
    <t>EMP00681</t>
  </si>
  <si>
    <t>EMP00682</t>
  </si>
  <si>
    <t>EMP00683</t>
  </si>
  <si>
    <t>EMP00684</t>
  </si>
  <si>
    <t>EMP00685</t>
  </si>
  <si>
    <t>EMP00686</t>
  </si>
  <si>
    <t>EMP00687</t>
  </si>
  <si>
    <t>EMP00688</t>
  </si>
  <si>
    <t>EMP00689</t>
  </si>
  <si>
    <t>EMP00690</t>
  </si>
  <si>
    <t>EMP00691</t>
  </si>
  <si>
    <t>EMP00692</t>
  </si>
  <si>
    <t>EMP00693</t>
  </si>
  <si>
    <t>EMP00694</t>
  </si>
  <si>
    <t>EMP00695</t>
  </si>
  <si>
    <t>EMP00696</t>
  </si>
  <si>
    <t>EMP00697</t>
  </si>
  <si>
    <t>EMP00698</t>
  </si>
  <si>
    <t>EMP00699</t>
  </si>
  <si>
    <t>EMP00700</t>
  </si>
  <si>
    <t>EMP00701</t>
  </si>
  <si>
    <t>EMP00702</t>
  </si>
  <si>
    <t>EMP00703</t>
  </si>
  <si>
    <t>EMP00704</t>
  </si>
  <si>
    <t>EMP00705</t>
  </si>
  <si>
    <t>EMP00706</t>
  </si>
  <si>
    <t>EMP00707</t>
  </si>
  <si>
    <t>EMP00708</t>
  </si>
  <si>
    <t>EMP00709</t>
  </si>
  <si>
    <t>EMP00710</t>
  </si>
  <si>
    <t>EMP00711</t>
  </si>
  <si>
    <t>EMP00712</t>
  </si>
  <si>
    <t>Usman Malik</t>
  </si>
  <si>
    <t>EMP00713</t>
  </si>
  <si>
    <t>EMP00714</t>
  </si>
  <si>
    <t>EMP00715</t>
  </si>
  <si>
    <t>EMP00716</t>
  </si>
  <si>
    <t>EMP00717</t>
  </si>
  <si>
    <t>EMP00718</t>
  </si>
  <si>
    <t>EMP00719</t>
  </si>
  <si>
    <t>EMP00720</t>
  </si>
  <si>
    <t>EMP00721</t>
  </si>
  <si>
    <t>EMP00722</t>
  </si>
  <si>
    <t>EMP00723</t>
  </si>
  <si>
    <t>EMP00724</t>
  </si>
  <si>
    <t>EMP00725</t>
  </si>
  <si>
    <t>EMP00726</t>
  </si>
  <si>
    <t>EMP00727</t>
  </si>
  <si>
    <t>EMP00728</t>
  </si>
  <si>
    <t>EMP00729</t>
  </si>
  <si>
    <t>EMP00730</t>
  </si>
  <si>
    <t>EMP00731</t>
  </si>
  <si>
    <t>EMP00732</t>
  </si>
  <si>
    <t>EMP00733</t>
  </si>
  <si>
    <t>EMP00734</t>
  </si>
  <si>
    <t>EMP00735</t>
  </si>
  <si>
    <t>EMP00736</t>
  </si>
  <si>
    <t>EMP00737</t>
  </si>
  <si>
    <t>EMP00738</t>
  </si>
  <si>
    <t>EMP00739</t>
  </si>
  <si>
    <t>EMP00740</t>
  </si>
  <si>
    <t>EMP00741</t>
  </si>
  <si>
    <t>EMP00742</t>
  </si>
  <si>
    <t>EMP00743</t>
  </si>
  <si>
    <t>EMP00744</t>
  </si>
  <si>
    <t>EMP00745</t>
  </si>
  <si>
    <t>EMP00746</t>
  </si>
  <si>
    <t>EMP00747</t>
  </si>
  <si>
    <t>Noor Javed</t>
  </si>
  <si>
    <t>EMP00748</t>
  </si>
  <si>
    <t>EMP00749</t>
  </si>
  <si>
    <t>EMP00750</t>
  </si>
  <si>
    <t>EMP00751</t>
  </si>
  <si>
    <t>Laiba Iqbal</t>
  </si>
  <si>
    <t>EMP00752</t>
  </si>
  <si>
    <t>EMP00753</t>
  </si>
  <si>
    <t>EMP00754</t>
  </si>
  <si>
    <t>EMP00755</t>
  </si>
  <si>
    <t>EMP00756</t>
  </si>
  <si>
    <t>EMP00757</t>
  </si>
  <si>
    <t>EMP00758</t>
  </si>
  <si>
    <t>EMP00759</t>
  </si>
  <si>
    <t>EMP00760</t>
  </si>
  <si>
    <t>EMP00761</t>
  </si>
  <si>
    <t>EMP00762</t>
  </si>
  <si>
    <t>EMP00763</t>
  </si>
  <si>
    <t>EMP00764</t>
  </si>
  <si>
    <t>EMP00765</t>
  </si>
  <si>
    <t>EMP00766</t>
  </si>
  <si>
    <t>EMP00767</t>
  </si>
  <si>
    <t>EMP00768</t>
  </si>
  <si>
    <t>EMP00769</t>
  </si>
  <si>
    <t>EMP00770</t>
  </si>
  <si>
    <t>EMP00771</t>
  </si>
  <si>
    <t>EMP00772</t>
  </si>
  <si>
    <t>EMP00773</t>
  </si>
  <si>
    <t>EMP00774</t>
  </si>
  <si>
    <t>EMP00775</t>
  </si>
  <si>
    <t>EMP00776</t>
  </si>
  <si>
    <t>EMP00777</t>
  </si>
  <si>
    <t>EMP00778</t>
  </si>
  <si>
    <t>EMP00779</t>
  </si>
  <si>
    <t>EMP00780</t>
  </si>
  <si>
    <t>EMP00781</t>
  </si>
  <si>
    <t>EMP00782</t>
  </si>
  <si>
    <t>EMP00783</t>
  </si>
  <si>
    <t>EMP00784</t>
  </si>
  <si>
    <t>EMP00785</t>
  </si>
  <si>
    <t>EMP00786</t>
  </si>
  <si>
    <t>EMP00787</t>
  </si>
  <si>
    <t>EMP00788</t>
  </si>
  <si>
    <t>EMP00789</t>
  </si>
  <si>
    <t>EMP00790</t>
  </si>
  <si>
    <t>EMP00791</t>
  </si>
  <si>
    <t>EMP00792</t>
  </si>
  <si>
    <t>EMP00793</t>
  </si>
  <si>
    <t>EMP00794</t>
  </si>
  <si>
    <t>EMP00795</t>
  </si>
  <si>
    <t>EMP00796</t>
  </si>
  <si>
    <t>EMP00797</t>
  </si>
  <si>
    <t>EMP00798</t>
  </si>
  <si>
    <t>EMP00799</t>
  </si>
  <si>
    <t>EMP00800</t>
  </si>
  <si>
    <t>EMP00801</t>
  </si>
  <si>
    <t>EMP00802</t>
  </si>
  <si>
    <t>EMP00803</t>
  </si>
  <si>
    <t>EMP00804</t>
  </si>
  <si>
    <t>EMP00805</t>
  </si>
  <si>
    <t>EMP00806</t>
  </si>
  <si>
    <t>EMP00807</t>
  </si>
  <si>
    <t>EMP00808</t>
  </si>
  <si>
    <t>EMP00809</t>
  </si>
  <si>
    <t>EMP00810</t>
  </si>
  <si>
    <t>EMP00811</t>
  </si>
  <si>
    <t>EMP00812</t>
  </si>
  <si>
    <t>EMP00813</t>
  </si>
  <si>
    <t>EMP00814</t>
  </si>
  <si>
    <t>EMP00815</t>
  </si>
  <si>
    <t>EMP00816</t>
  </si>
  <si>
    <t>EMP00817</t>
  </si>
  <si>
    <t>EMP00818</t>
  </si>
  <si>
    <t>EMP00819</t>
  </si>
  <si>
    <t>EMP00820</t>
  </si>
  <si>
    <t>EMP00821</t>
  </si>
  <si>
    <t>EMP00822</t>
  </si>
  <si>
    <t>EMP00823</t>
  </si>
  <si>
    <t>EMP00824</t>
  </si>
  <si>
    <t>EMP00825</t>
  </si>
  <si>
    <t>EMP00826</t>
  </si>
  <si>
    <t>EMP00827</t>
  </si>
  <si>
    <t>EMP00828</t>
  </si>
  <si>
    <t>EMP00829</t>
  </si>
  <si>
    <t>EMP00830</t>
  </si>
  <si>
    <t>EMP00831</t>
  </si>
  <si>
    <t>EMP00832</t>
  </si>
  <si>
    <t>EMP00833</t>
  </si>
  <si>
    <t>EMP00834</t>
  </si>
  <si>
    <t>EMP00835</t>
  </si>
  <si>
    <t>EMP00836</t>
  </si>
  <si>
    <t>EMP00837</t>
  </si>
  <si>
    <t>EMP00838</t>
  </si>
  <si>
    <t>EMP00839</t>
  </si>
  <si>
    <t>EMP00840</t>
  </si>
  <si>
    <t>EMP00841</t>
  </si>
  <si>
    <t>EMP00842</t>
  </si>
  <si>
    <t>EMP00843</t>
  </si>
  <si>
    <t>EMP00844</t>
  </si>
  <si>
    <t>EMP00845</t>
  </si>
  <si>
    <t>EMP00846</t>
  </si>
  <si>
    <t>EMP00847</t>
  </si>
  <si>
    <t>EMP00848</t>
  </si>
  <si>
    <t>EMP00849</t>
  </si>
  <si>
    <t>EMP00850</t>
  </si>
  <si>
    <t>EMP00851</t>
  </si>
  <si>
    <t>EMP00852</t>
  </si>
  <si>
    <t>EMP00853</t>
  </si>
  <si>
    <t>EMP00854</t>
  </si>
  <si>
    <t>EMP00855</t>
  </si>
  <si>
    <t>EMP00856</t>
  </si>
  <si>
    <t>EMP00857</t>
  </si>
  <si>
    <t>EMP00858</t>
  </si>
  <si>
    <t>EMP00859</t>
  </si>
  <si>
    <t>EMP00860</t>
  </si>
  <si>
    <t>EMP00861</t>
  </si>
  <si>
    <t>EMP00862</t>
  </si>
  <si>
    <t>EMP00863</t>
  </si>
  <si>
    <t>EMP00864</t>
  </si>
  <si>
    <t>EMP00865</t>
  </si>
  <si>
    <t>EMP00866</t>
  </si>
  <si>
    <t>EMP00867</t>
  </si>
  <si>
    <t>EMP00868</t>
  </si>
  <si>
    <t>EMP00869</t>
  </si>
  <si>
    <t>EMP00870</t>
  </si>
  <si>
    <t>EMP00871</t>
  </si>
  <si>
    <t>EMP00872</t>
  </si>
  <si>
    <t>EMP00873</t>
  </si>
  <si>
    <t>EMP00874</t>
  </si>
  <si>
    <t>EMP00875</t>
  </si>
  <si>
    <t>EMP00876</t>
  </si>
  <si>
    <t>EMP00877</t>
  </si>
  <si>
    <t>EMP00878</t>
  </si>
  <si>
    <t>EMP00879</t>
  </si>
  <si>
    <t>EMP00880</t>
  </si>
  <si>
    <t>EMP00881</t>
  </si>
  <si>
    <t>EMP00882</t>
  </si>
  <si>
    <t>EMP00883</t>
  </si>
  <si>
    <t>EMP00884</t>
  </si>
  <si>
    <t>EMP00885</t>
  </si>
  <si>
    <t>EMP00886</t>
  </si>
  <si>
    <t>EMP00887</t>
  </si>
  <si>
    <t>EMP00888</t>
  </si>
  <si>
    <t>EMP00889</t>
  </si>
  <si>
    <t>EMP00890</t>
  </si>
  <si>
    <t>Umar Sheikh</t>
  </si>
  <si>
    <t>EMP00891</t>
  </si>
  <si>
    <t>EMP00892</t>
  </si>
  <si>
    <t>EMP00893</t>
  </si>
  <si>
    <t>EMP00894</t>
  </si>
  <si>
    <t>EMP00895</t>
  </si>
  <si>
    <t>EMP00896</t>
  </si>
  <si>
    <t>EMP00897</t>
  </si>
  <si>
    <t>EMP00898</t>
  </si>
  <si>
    <t>EMP00899</t>
  </si>
  <si>
    <t>EMP00900</t>
  </si>
  <si>
    <t>EMP00901</t>
  </si>
  <si>
    <t>EMP00902</t>
  </si>
  <si>
    <t>EMP00903</t>
  </si>
  <si>
    <t>EMP00904</t>
  </si>
  <si>
    <t>EMP00905</t>
  </si>
  <si>
    <t>EMP00906</t>
  </si>
  <si>
    <t>EMP00907</t>
  </si>
  <si>
    <t>EMP00908</t>
  </si>
  <si>
    <t>EMP00909</t>
  </si>
  <si>
    <t>EMP00910</t>
  </si>
  <si>
    <t>EMP00911</t>
  </si>
  <si>
    <t>EMP00912</t>
  </si>
  <si>
    <t>EMP00913</t>
  </si>
  <si>
    <t>EMP00914</t>
  </si>
  <si>
    <t>EMP00915</t>
  </si>
  <si>
    <t>EMP00916</t>
  </si>
  <si>
    <t>EMP00917</t>
  </si>
  <si>
    <t>EMP00918</t>
  </si>
  <si>
    <t>EMP00919</t>
  </si>
  <si>
    <t>EMP00920</t>
  </si>
  <si>
    <t>EMP00921</t>
  </si>
  <si>
    <t>EMP00922</t>
  </si>
  <si>
    <t>EMP00923</t>
  </si>
  <si>
    <t>EMP00924</t>
  </si>
  <si>
    <t>EMP00925</t>
  </si>
  <si>
    <t>EMP00926</t>
  </si>
  <si>
    <t>EMP00927</t>
  </si>
  <si>
    <t>EMP00928</t>
  </si>
  <si>
    <t>EMP00929</t>
  </si>
  <si>
    <t>EMP00930</t>
  </si>
  <si>
    <t>EMP00931</t>
  </si>
  <si>
    <t>EMP00932</t>
  </si>
  <si>
    <t>EMP00933</t>
  </si>
  <si>
    <t>EMP00934</t>
  </si>
  <si>
    <t>EMP00935</t>
  </si>
  <si>
    <t>EMP00936</t>
  </si>
  <si>
    <t>EMP00937</t>
  </si>
  <si>
    <t>EMP00938</t>
  </si>
  <si>
    <t>EMP00939</t>
  </si>
  <si>
    <t>EMP00940</t>
  </si>
  <si>
    <t>EMP00941</t>
  </si>
  <si>
    <t>EMP00942</t>
  </si>
  <si>
    <t>EMP00943</t>
  </si>
  <si>
    <t>EMP00944</t>
  </si>
  <si>
    <t>EMP00945</t>
  </si>
  <si>
    <t>EMP00946</t>
  </si>
  <si>
    <t>EMP00947</t>
  </si>
  <si>
    <t>EMP00948</t>
  </si>
  <si>
    <t>EMP00949</t>
  </si>
  <si>
    <t>EMP00950</t>
  </si>
  <si>
    <t>EMP00951</t>
  </si>
  <si>
    <t>EMP00952</t>
  </si>
  <si>
    <t>EMP00953</t>
  </si>
  <si>
    <t>EMP00954</t>
  </si>
  <si>
    <t>EMP00955</t>
  </si>
  <si>
    <t>EMP00956</t>
  </si>
  <si>
    <t>EMP00957</t>
  </si>
  <si>
    <t>EMP00958</t>
  </si>
  <si>
    <t>EMP00959</t>
  </si>
  <si>
    <t>EMP00960</t>
  </si>
  <si>
    <t>EMP00961</t>
  </si>
  <si>
    <t>EMP00962</t>
  </si>
  <si>
    <t>EMP00963</t>
  </si>
  <si>
    <t>EMP00964</t>
  </si>
  <si>
    <t>EMP00965</t>
  </si>
  <si>
    <t>EMP00966</t>
  </si>
  <si>
    <t>EMP00967</t>
  </si>
  <si>
    <t>EMP00968</t>
  </si>
  <si>
    <t>EMP00969</t>
  </si>
  <si>
    <t>Sara Sheikh</t>
  </si>
  <si>
    <t>EMP00970</t>
  </si>
  <si>
    <t>EMP00971</t>
  </si>
  <si>
    <t>EMP00972</t>
  </si>
  <si>
    <t>EMP00973</t>
  </si>
  <si>
    <t>EMP00974</t>
  </si>
  <si>
    <t>EMP00975</t>
  </si>
  <si>
    <t>EMP00976</t>
  </si>
  <si>
    <t>EMP00977</t>
  </si>
  <si>
    <t>EMP00978</t>
  </si>
  <si>
    <t>EMP00979</t>
  </si>
  <si>
    <t>EMP00980</t>
  </si>
  <si>
    <t>EMP00981</t>
  </si>
  <si>
    <t>EMP00982</t>
  </si>
  <si>
    <t>EMP00983</t>
  </si>
  <si>
    <t>EMP00984</t>
  </si>
  <si>
    <t>EMP00985</t>
  </si>
  <si>
    <t>EMP00986</t>
  </si>
  <si>
    <t>EMP00987</t>
  </si>
  <si>
    <t>EMP00988</t>
  </si>
  <si>
    <t>EMP00989</t>
  </si>
  <si>
    <t>EMP00990</t>
  </si>
  <si>
    <t>EMP00991</t>
  </si>
  <si>
    <t>EMP00992</t>
  </si>
  <si>
    <t>EMP00993</t>
  </si>
  <si>
    <t>EMP00994</t>
  </si>
  <si>
    <t>EMP00995</t>
  </si>
  <si>
    <t>EMP00996</t>
  </si>
  <si>
    <t>EMP00997</t>
  </si>
  <si>
    <t>EMP00998</t>
  </si>
  <si>
    <t>EMP00999</t>
  </si>
  <si>
    <t>EMP01000</t>
  </si>
  <si>
    <t>EMP01001</t>
  </si>
  <si>
    <t>EMP01002</t>
  </si>
  <si>
    <t>EMP01003</t>
  </si>
  <si>
    <t>EMP01004</t>
  </si>
  <si>
    <t>EMP01005</t>
  </si>
  <si>
    <t>EMP01006</t>
  </si>
  <si>
    <t>EMP01007</t>
  </si>
  <si>
    <t>EMP01008</t>
  </si>
  <si>
    <t>EMP01009</t>
  </si>
  <si>
    <t>EMP01010</t>
  </si>
  <si>
    <t>EMP01011</t>
  </si>
  <si>
    <t>EMP01012</t>
  </si>
  <si>
    <t>EMP01013</t>
  </si>
  <si>
    <t>EMP01014</t>
  </si>
  <si>
    <t>EMP01015</t>
  </si>
  <si>
    <t>EMP01016</t>
  </si>
  <si>
    <t>EMP01017</t>
  </si>
  <si>
    <t>EMP01018</t>
  </si>
  <si>
    <t>EMP01019</t>
  </si>
  <si>
    <t>EMP01020</t>
  </si>
  <si>
    <t>EMP01021</t>
  </si>
  <si>
    <t>EMP01022</t>
  </si>
  <si>
    <t>EMP01023</t>
  </si>
  <si>
    <t>EMP01024</t>
  </si>
  <si>
    <t>EMP01025</t>
  </si>
  <si>
    <t>EMP01026</t>
  </si>
  <si>
    <t>EMP01027</t>
  </si>
  <si>
    <t>EMP01028</t>
  </si>
  <si>
    <t>EMP01029</t>
  </si>
  <si>
    <t>EMP01030</t>
  </si>
  <si>
    <t>EMP01031</t>
  </si>
  <si>
    <t>EMP01032</t>
  </si>
  <si>
    <t>EMP01033</t>
  </si>
  <si>
    <t>EMP01034</t>
  </si>
  <si>
    <t>EMP01035</t>
  </si>
  <si>
    <t>EMP01036</t>
  </si>
  <si>
    <t>EMP01037</t>
  </si>
  <si>
    <t>EMP01038</t>
  </si>
  <si>
    <t>EMP01039</t>
  </si>
  <si>
    <t>EMP01040</t>
  </si>
  <si>
    <t>EMP01041</t>
  </si>
  <si>
    <t>EMP01042</t>
  </si>
  <si>
    <t>EMP01043</t>
  </si>
  <si>
    <t>EMP01044</t>
  </si>
  <si>
    <t>EMP01045</t>
  </si>
  <si>
    <t>EMP01046</t>
  </si>
  <si>
    <t>EMP01047</t>
  </si>
  <si>
    <t>EMP01048</t>
  </si>
  <si>
    <t>EMP01049</t>
  </si>
  <si>
    <t>EMP01050</t>
  </si>
  <si>
    <t>EMP01051</t>
  </si>
  <si>
    <t>EMP01052</t>
  </si>
  <si>
    <t>EMP01053</t>
  </si>
  <si>
    <t>EMP01054</t>
  </si>
  <si>
    <t>EMP01055</t>
  </si>
  <si>
    <t>EMP01056</t>
  </si>
  <si>
    <t>EMP01057</t>
  </si>
  <si>
    <t>EMP01058</t>
  </si>
  <si>
    <t>EMP01059</t>
  </si>
  <si>
    <t>EMP01060</t>
  </si>
  <si>
    <t>EMP01061</t>
  </si>
  <si>
    <t>EMP01062</t>
  </si>
  <si>
    <t>EMP01063</t>
  </si>
  <si>
    <t>EMP01064</t>
  </si>
  <si>
    <t>EMP01065</t>
  </si>
  <si>
    <t>EMP01066</t>
  </si>
  <si>
    <t>EMP01067</t>
  </si>
  <si>
    <t>EMP01068</t>
  </si>
  <si>
    <t>EMP01069</t>
  </si>
  <si>
    <t>EMP01070</t>
  </si>
  <si>
    <t>EMP01071</t>
  </si>
  <si>
    <t>EMP01072</t>
  </si>
  <si>
    <t>EMP01073</t>
  </si>
  <si>
    <t>EMP01074</t>
  </si>
  <si>
    <t>EMP01075</t>
  </si>
  <si>
    <t>EMP01076</t>
  </si>
  <si>
    <t>EMP01077</t>
  </si>
  <si>
    <t>EMP01078</t>
  </si>
  <si>
    <t>EMP01079</t>
  </si>
  <si>
    <t>EMP01080</t>
  </si>
  <si>
    <t>EMP01081</t>
  </si>
  <si>
    <t>EMP01082</t>
  </si>
  <si>
    <t>EMP01083</t>
  </si>
  <si>
    <t>EMP01084</t>
  </si>
  <si>
    <t>EMP01085</t>
  </si>
  <si>
    <t>EMP01086</t>
  </si>
  <si>
    <t>EMP01087</t>
  </si>
  <si>
    <t>EMP01088</t>
  </si>
  <si>
    <t>EMP01089</t>
  </si>
  <si>
    <t>EMP01090</t>
  </si>
  <si>
    <t>EMP01091</t>
  </si>
  <si>
    <t>EMP01092</t>
  </si>
  <si>
    <t>EMP01093</t>
  </si>
  <si>
    <t>EMP01094</t>
  </si>
  <si>
    <t>EMP01095</t>
  </si>
  <si>
    <t>EMP01096</t>
  </si>
  <si>
    <t>EMP01097</t>
  </si>
  <si>
    <t>EMP01098</t>
  </si>
  <si>
    <t>EMP01099</t>
  </si>
  <si>
    <t>EMP01100</t>
  </si>
  <si>
    <t>EMP01101</t>
  </si>
  <si>
    <t>EMP01102</t>
  </si>
  <si>
    <t>EMP01103</t>
  </si>
  <si>
    <t>EMP01104</t>
  </si>
  <si>
    <t>EMP01105</t>
  </si>
  <si>
    <t>EMP01106</t>
  </si>
  <si>
    <t>EMP01107</t>
  </si>
  <si>
    <t>EMP01108</t>
  </si>
  <si>
    <t>EMP01109</t>
  </si>
  <si>
    <t>EMP01110</t>
  </si>
  <si>
    <t>EMP01111</t>
  </si>
  <si>
    <t>EMP01112</t>
  </si>
  <si>
    <t>EMP01113</t>
  </si>
  <si>
    <t>EMP01114</t>
  </si>
  <si>
    <t>EMP01115</t>
  </si>
  <si>
    <t>EMP01116</t>
  </si>
  <si>
    <t>EMP01117</t>
  </si>
  <si>
    <t>EMP01118</t>
  </si>
  <si>
    <t>EMP01119</t>
  </si>
  <si>
    <t>EMP01120</t>
  </si>
  <si>
    <t>EMP01121</t>
  </si>
  <si>
    <t>EMP01122</t>
  </si>
  <si>
    <t>EMP01123</t>
  </si>
  <si>
    <t>EMP01124</t>
  </si>
  <si>
    <t>EMP01125</t>
  </si>
  <si>
    <t>EMP01126</t>
  </si>
  <si>
    <t>EMP01127</t>
  </si>
  <si>
    <t>EMP01128</t>
  </si>
  <si>
    <t>EMP01129</t>
  </si>
  <si>
    <t>EMP01130</t>
  </si>
  <si>
    <t>EMP01131</t>
  </si>
  <si>
    <t>EMP01132</t>
  </si>
  <si>
    <t>EMP01133</t>
  </si>
  <si>
    <t>EMP01134</t>
  </si>
  <si>
    <t>EMP01135</t>
  </si>
  <si>
    <t>EMP01136</t>
  </si>
  <si>
    <t>EMP01137</t>
  </si>
  <si>
    <t>EMP01138</t>
  </si>
  <si>
    <t>EMP01139</t>
  </si>
  <si>
    <t>EMP01140</t>
  </si>
  <si>
    <t>EMP01141</t>
  </si>
  <si>
    <t>EMP01142</t>
  </si>
  <si>
    <t>EMP01143</t>
  </si>
  <si>
    <t>EMP01144</t>
  </si>
  <si>
    <t>EMP01145</t>
  </si>
  <si>
    <t>EMP01146</t>
  </si>
  <si>
    <t>EMP01147</t>
  </si>
  <si>
    <t>EMP01148</t>
  </si>
  <si>
    <t>EMP01149</t>
  </si>
  <si>
    <t>EMP01150</t>
  </si>
  <si>
    <t>EMP01151</t>
  </si>
  <si>
    <t>EMP01152</t>
  </si>
  <si>
    <t>EMP01153</t>
  </si>
  <si>
    <t>EMP01154</t>
  </si>
  <si>
    <t>EMP01155</t>
  </si>
  <si>
    <t>EMP01156</t>
  </si>
  <si>
    <t>EMP01157</t>
  </si>
  <si>
    <t>EMP01158</t>
  </si>
  <si>
    <t>EMP01159</t>
  </si>
  <si>
    <t>EMP01160</t>
  </si>
  <si>
    <t>EMP01161</t>
  </si>
  <si>
    <t>EMP01162</t>
  </si>
  <si>
    <t>EMP01163</t>
  </si>
  <si>
    <t>EMP01164</t>
  </si>
  <si>
    <t>EMP01165</t>
  </si>
  <si>
    <t>EMP01166</t>
  </si>
  <si>
    <t>EMP01167</t>
  </si>
  <si>
    <t>EMP01168</t>
  </si>
  <si>
    <t>EMP01169</t>
  </si>
  <si>
    <t>EMP01170</t>
  </si>
  <si>
    <t>EMP01171</t>
  </si>
  <si>
    <t>EMP01172</t>
  </si>
  <si>
    <t>EMP01173</t>
  </si>
  <si>
    <t>EMP01174</t>
  </si>
  <si>
    <t>EMP01175</t>
  </si>
  <si>
    <t>EMP01176</t>
  </si>
  <si>
    <t>EMP01177</t>
  </si>
  <si>
    <t>EMP01178</t>
  </si>
  <si>
    <t>EMP01179</t>
  </si>
  <si>
    <t>EMP01180</t>
  </si>
  <si>
    <t>EMP01181</t>
  </si>
  <si>
    <t>EMP01182</t>
  </si>
  <si>
    <t>EMP01183</t>
  </si>
  <si>
    <t>EMP01184</t>
  </si>
  <si>
    <t>EMP01185</t>
  </si>
  <si>
    <t>EMP01186</t>
  </si>
  <si>
    <t>EMP01187</t>
  </si>
  <si>
    <t>EMP01188</t>
  </si>
  <si>
    <t>EMP01189</t>
  </si>
  <si>
    <t>EMP01190</t>
  </si>
  <si>
    <t>EMP01191</t>
  </si>
  <si>
    <t>EMP01192</t>
  </si>
  <si>
    <t>EMP01193</t>
  </si>
  <si>
    <t>EMP01194</t>
  </si>
  <si>
    <t>EMP01195</t>
  </si>
  <si>
    <t>EMP01196</t>
  </si>
  <si>
    <t>EMP01197</t>
  </si>
  <si>
    <t>EMP01198</t>
  </si>
  <si>
    <t>EMP01199</t>
  </si>
  <si>
    <t>EMP01200</t>
  </si>
  <si>
    <t>EMP01201</t>
  </si>
  <si>
    <t>EMP01202</t>
  </si>
  <si>
    <t>EMP01203</t>
  </si>
  <si>
    <t>EMP01204</t>
  </si>
  <si>
    <t>EMP01205</t>
  </si>
  <si>
    <t>EMP01206</t>
  </si>
  <si>
    <t>EMP01207</t>
  </si>
  <si>
    <t>EMP01208</t>
  </si>
  <si>
    <t>EMP01209</t>
  </si>
  <si>
    <t>EMP01210</t>
  </si>
  <si>
    <t>EMP01211</t>
  </si>
  <si>
    <t>EMP01212</t>
  </si>
  <si>
    <t>EMP01213</t>
  </si>
  <si>
    <t>EMP01214</t>
  </si>
  <si>
    <t>EMP01215</t>
  </si>
  <si>
    <t>EMP01216</t>
  </si>
  <si>
    <t>EMP01217</t>
  </si>
  <si>
    <t>EMP01218</t>
  </si>
  <si>
    <t>EMP01219</t>
  </si>
  <si>
    <t>EMP01220</t>
  </si>
  <si>
    <t>EMP01221</t>
  </si>
  <si>
    <t>EMP01222</t>
  </si>
  <si>
    <t>EMP01223</t>
  </si>
  <si>
    <t>EMP01224</t>
  </si>
  <si>
    <t>EMP01225</t>
  </si>
  <si>
    <t>EMP01226</t>
  </si>
  <si>
    <t>EMP01227</t>
  </si>
  <si>
    <t>EMP01228</t>
  </si>
  <si>
    <t>EMP01229</t>
  </si>
  <si>
    <t>EMP01230</t>
  </si>
  <si>
    <t>EMP01231</t>
  </si>
  <si>
    <t>EMP01232</t>
  </si>
  <si>
    <t>EMP01233</t>
  </si>
  <si>
    <t>EMP01234</t>
  </si>
  <si>
    <t>EMP01235</t>
  </si>
  <si>
    <t>EMP01236</t>
  </si>
  <si>
    <t>EMP01237</t>
  </si>
  <si>
    <t>EMP01238</t>
  </si>
  <si>
    <t>EMP01239</t>
  </si>
  <si>
    <t>EMP01240</t>
  </si>
  <si>
    <t>EMP01241</t>
  </si>
  <si>
    <t>EMP01242</t>
  </si>
  <si>
    <t>EMP01243</t>
  </si>
  <si>
    <t>EMP01244</t>
  </si>
  <si>
    <t>EMP01245</t>
  </si>
  <si>
    <t>EMP01246</t>
  </si>
  <si>
    <t>EMP01247</t>
  </si>
  <si>
    <t>EMP01248</t>
  </si>
  <si>
    <t>EMP01249</t>
  </si>
  <si>
    <t>EMP01250</t>
  </si>
  <si>
    <t>EMP01251</t>
  </si>
  <si>
    <t>EMP01252</t>
  </si>
  <si>
    <t>EMP01253</t>
  </si>
  <si>
    <t>EMP01254</t>
  </si>
  <si>
    <t>EMP01255</t>
  </si>
  <si>
    <t>EMP01256</t>
  </si>
  <si>
    <t>EMP01257</t>
  </si>
  <si>
    <t>EMP01258</t>
  </si>
  <si>
    <t>EMP01259</t>
  </si>
  <si>
    <t>EMP01260</t>
  </si>
  <si>
    <t>EMP01261</t>
  </si>
  <si>
    <t>EMP01262</t>
  </si>
  <si>
    <t>EMP01263</t>
  </si>
  <si>
    <t>EMP01264</t>
  </si>
  <si>
    <t>EMP01265</t>
  </si>
  <si>
    <t>EMP01266</t>
  </si>
  <si>
    <t>EMP01267</t>
  </si>
  <si>
    <t>EMP01268</t>
  </si>
  <si>
    <t>EMP01269</t>
  </si>
  <si>
    <t>EMP01270</t>
  </si>
  <si>
    <t>EMP01271</t>
  </si>
  <si>
    <t>EMP01272</t>
  </si>
  <si>
    <t>EMP01273</t>
  </si>
  <si>
    <t>EMP01274</t>
  </si>
  <si>
    <t>EMP01275</t>
  </si>
  <si>
    <t>EMP01276</t>
  </si>
  <si>
    <t>EMP01277</t>
  </si>
  <si>
    <t>EMP01278</t>
  </si>
  <si>
    <t>EMP01279</t>
  </si>
  <si>
    <t>EMP01280</t>
  </si>
  <si>
    <t>EMP01281</t>
  </si>
  <si>
    <t>EMP01282</t>
  </si>
  <si>
    <t>EMP01283</t>
  </si>
  <si>
    <t>EMP01284</t>
  </si>
  <si>
    <t>EMP01285</t>
  </si>
  <si>
    <t>EMP01286</t>
  </si>
  <si>
    <t>EMP01287</t>
  </si>
  <si>
    <t>EMP01288</t>
  </si>
  <si>
    <t>EMP01289</t>
  </si>
  <si>
    <t>EMP01290</t>
  </si>
  <si>
    <t>EMP01291</t>
  </si>
  <si>
    <t>EMP01292</t>
  </si>
  <si>
    <t>EMP01293</t>
  </si>
  <si>
    <t>EMP01294</t>
  </si>
  <si>
    <t>EMP01295</t>
  </si>
  <si>
    <t>EMP01296</t>
  </si>
  <si>
    <t>EMP01297</t>
  </si>
  <si>
    <t>EMP01298</t>
  </si>
  <si>
    <t>EMP01299</t>
  </si>
  <si>
    <t>EMP01300</t>
  </si>
  <si>
    <t>EMP01301</t>
  </si>
  <si>
    <t>EMP01302</t>
  </si>
  <si>
    <t>EMP01303</t>
  </si>
  <si>
    <t>EMP01304</t>
  </si>
  <si>
    <t>EMP01305</t>
  </si>
  <si>
    <t>EMP01306</t>
  </si>
  <si>
    <t>EMP01307</t>
  </si>
  <si>
    <t>EMP01308</t>
  </si>
  <si>
    <t>EMP01309</t>
  </si>
  <si>
    <t>EMP01310</t>
  </si>
  <si>
    <t>EMP01311</t>
  </si>
  <si>
    <t>EMP01312</t>
  </si>
  <si>
    <t>EMP01313</t>
  </si>
  <si>
    <t>EMP01314</t>
  </si>
  <si>
    <t>EMP01315</t>
  </si>
  <si>
    <t>EMP01316</t>
  </si>
  <si>
    <t>EMP01317</t>
  </si>
  <si>
    <t>EMP01318</t>
  </si>
  <si>
    <t>EMP01319</t>
  </si>
  <si>
    <t>EMP01320</t>
  </si>
  <si>
    <t>EMP01321</t>
  </si>
  <si>
    <t>EMP01322</t>
  </si>
  <si>
    <t>EMP01323</t>
  </si>
  <si>
    <t>EMP01324</t>
  </si>
  <si>
    <t>EMP01325</t>
  </si>
  <si>
    <t>EMP01326</t>
  </si>
  <si>
    <t>EMP01327</t>
  </si>
  <si>
    <t>EMP01328</t>
  </si>
  <si>
    <t>EMP01329</t>
  </si>
  <si>
    <t>EMP01330</t>
  </si>
  <si>
    <t>EMP01331</t>
  </si>
  <si>
    <t>EMP01332</t>
  </si>
  <si>
    <t>EMP01333</t>
  </si>
  <si>
    <t>EMP01334</t>
  </si>
  <si>
    <t>EMP01335</t>
  </si>
  <si>
    <t>EMP01336</t>
  </si>
  <si>
    <t>EMP01337</t>
  </si>
  <si>
    <t>EMP01338</t>
  </si>
  <si>
    <t>EMP01339</t>
  </si>
  <si>
    <t>EMP01340</t>
  </si>
  <si>
    <t>EMP01341</t>
  </si>
  <si>
    <t>EMP01342</t>
  </si>
  <si>
    <t>EMP01343</t>
  </si>
  <si>
    <t>EMP01344</t>
  </si>
  <si>
    <t>EMP01345</t>
  </si>
  <si>
    <t>EMP01346</t>
  </si>
  <si>
    <t>EMP01347</t>
  </si>
  <si>
    <t>EMP01348</t>
  </si>
  <si>
    <t>EMP01349</t>
  </si>
  <si>
    <t>EMP01350</t>
  </si>
  <si>
    <t>EMP01351</t>
  </si>
  <si>
    <t>EMP01352</t>
  </si>
  <si>
    <t>EMP01353</t>
  </si>
  <si>
    <t>EMP01354</t>
  </si>
  <si>
    <t>EMP01355</t>
  </si>
  <si>
    <t>EMP01356</t>
  </si>
  <si>
    <t>EMP01357</t>
  </si>
  <si>
    <t>EMP01358</t>
  </si>
  <si>
    <t>EMP01359</t>
  </si>
  <si>
    <t>EMP01360</t>
  </si>
  <si>
    <t>EMP01361</t>
  </si>
  <si>
    <t>EMP01362</t>
  </si>
  <si>
    <t>EMP01363</t>
  </si>
  <si>
    <t>EMP01364</t>
  </si>
  <si>
    <t>EMP01365</t>
  </si>
  <si>
    <t>EMP01366</t>
  </si>
  <si>
    <t>EMP01367</t>
  </si>
  <si>
    <t>EMP01368</t>
  </si>
  <si>
    <t>EMP01369</t>
  </si>
  <si>
    <t>EMP01370</t>
  </si>
  <si>
    <t>EMP01371</t>
  </si>
  <si>
    <t>EMP01372</t>
  </si>
  <si>
    <t>EMP01373</t>
  </si>
  <si>
    <t>EMP01374</t>
  </si>
  <si>
    <t>EMP01375</t>
  </si>
  <si>
    <t>EMP01376</t>
  </si>
  <si>
    <t>EMP01377</t>
  </si>
  <si>
    <t>EMP01378</t>
  </si>
  <si>
    <t>EMP01379</t>
  </si>
  <si>
    <t>EMP01380</t>
  </si>
  <si>
    <t>EMP01381</t>
  </si>
  <si>
    <t>EMP01382</t>
  </si>
  <si>
    <t>EMP01383</t>
  </si>
  <si>
    <t>EMP01384</t>
  </si>
  <si>
    <t>EMP01385</t>
  </si>
  <si>
    <t>EMP01386</t>
  </si>
  <si>
    <t>EMP01387</t>
  </si>
  <si>
    <t>EMP01388</t>
  </si>
  <si>
    <t>EMP01389</t>
  </si>
  <si>
    <t>EMP01390</t>
  </si>
  <si>
    <t>EMP01391</t>
  </si>
  <si>
    <t>EMP01392</t>
  </si>
  <si>
    <t>EMP01393</t>
  </si>
  <si>
    <t>EMP01394</t>
  </si>
  <si>
    <t>EMP01395</t>
  </si>
  <si>
    <t>EMP01396</t>
  </si>
  <si>
    <t>EMP01397</t>
  </si>
  <si>
    <t>EMP01398</t>
  </si>
  <si>
    <t>EMP01399</t>
  </si>
  <si>
    <t>EMP01400</t>
  </si>
  <si>
    <t>EMP01401</t>
  </si>
  <si>
    <t>EMP01402</t>
  </si>
  <si>
    <t>EMP01403</t>
  </si>
  <si>
    <t>EMP01404</t>
  </si>
  <si>
    <t>EMP01405</t>
  </si>
  <si>
    <t>EMP01406</t>
  </si>
  <si>
    <t>EMP01407</t>
  </si>
  <si>
    <t>EMP01408</t>
  </si>
  <si>
    <t>EMP01409</t>
  </si>
  <si>
    <t>EMP01410</t>
  </si>
  <si>
    <t>EMP01411</t>
  </si>
  <si>
    <t>EMP01412</t>
  </si>
  <si>
    <t>EMP01413</t>
  </si>
  <si>
    <t>EMP01414</t>
  </si>
  <si>
    <t>EMP01415</t>
  </si>
  <si>
    <t>EMP01416</t>
  </si>
  <si>
    <t>EMP01417</t>
  </si>
  <si>
    <t>EMP01418</t>
  </si>
  <si>
    <t>EMP01419</t>
  </si>
  <si>
    <t>EMP01420</t>
  </si>
  <si>
    <t>EMP01421</t>
  </si>
  <si>
    <t>EMP01422</t>
  </si>
  <si>
    <t>EMP01423</t>
  </si>
  <si>
    <t>EMP01424</t>
  </si>
  <si>
    <t>EMP01425</t>
  </si>
  <si>
    <t>EMP01426</t>
  </si>
  <si>
    <t>EMP01427</t>
  </si>
  <si>
    <t>EMP01428</t>
  </si>
  <si>
    <t>EMP01429</t>
  </si>
  <si>
    <t>EMP01430</t>
  </si>
  <si>
    <t>EMP01431</t>
  </si>
  <si>
    <t>EMP01432</t>
  </si>
  <si>
    <t>EMP01433</t>
  </si>
  <si>
    <t>EMP01434</t>
  </si>
  <si>
    <t>EMP01435</t>
  </si>
  <si>
    <t>EMP01436</t>
  </si>
  <si>
    <t>EMP01437</t>
  </si>
  <si>
    <t>EMP01438</t>
  </si>
  <si>
    <t>EMP01439</t>
  </si>
  <si>
    <t>EMP01440</t>
  </si>
  <si>
    <t>EMP01441</t>
  </si>
  <si>
    <t>EMP01442</t>
  </si>
  <si>
    <t>EMP01443</t>
  </si>
  <si>
    <t>EMP01444</t>
  </si>
  <si>
    <t>EMP01445</t>
  </si>
  <si>
    <t>EMP01446</t>
  </si>
  <si>
    <t>EMP01447</t>
  </si>
  <si>
    <t>EMP01448</t>
  </si>
  <si>
    <t>EMP01449</t>
  </si>
  <si>
    <t>EMP01450</t>
  </si>
  <si>
    <t>EMP01451</t>
  </si>
  <si>
    <t>EMP01452</t>
  </si>
  <si>
    <t>EMP01453</t>
  </si>
  <si>
    <t>EMP01454</t>
  </si>
  <si>
    <t>EMP01455</t>
  </si>
  <si>
    <t>EMP01456</t>
  </si>
  <si>
    <t>EMP01457</t>
  </si>
  <si>
    <t>EMP01458</t>
  </si>
  <si>
    <t>EMP01459</t>
  </si>
  <si>
    <t>EMP01460</t>
  </si>
  <si>
    <t>EMP01461</t>
  </si>
  <si>
    <t>EMP01462</t>
  </si>
  <si>
    <t>EMP01463</t>
  </si>
  <si>
    <t>EMP01464</t>
  </si>
  <si>
    <t>EMP01465</t>
  </si>
  <si>
    <t>EMP01466</t>
  </si>
  <si>
    <t>EMP01467</t>
  </si>
  <si>
    <t>EMP01468</t>
  </si>
  <si>
    <t>EMP01469</t>
  </si>
  <si>
    <t>EMP01470</t>
  </si>
  <si>
    <t>EMP01471</t>
  </si>
  <si>
    <t>EMP01472</t>
  </si>
  <si>
    <t>EMP01473</t>
  </si>
  <si>
    <t>EMP01474</t>
  </si>
  <si>
    <t>EMP01475</t>
  </si>
  <si>
    <t>EMP01476</t>
  </si>
  <si>
    <t>EMP01477</t>
  </si>
  <si>
    <t>EMP01478</t>
  </si>
  <si>
    <t>EMP01479</t>
  </si>
  <si>
    <t>EMP01480</t>
  </si>
  <si>
    <t>EMP01481</t>
  </si>
  <si>
    <t>EMP01482</t>
  </si>
  <si>
    <t>EMP01483</t>
  </si>
  <si>
    <t>EMP01484</t>
  </si>
  <si>
    <t>EMP01485</t>
  </si>
  <si>
    <t>EMP01486</t>
  </si>
  <si>
    <t>EMP01487</t>
  </si>
  <si>
    <t>EMP01488</t>
  </si>
  <si>
    <t>EMP01489</t>
  </si>
  <si>
    <t>EMP01490</t>
  </si>
  <si>
    <t>EMP01491</t>
  </si>
  <si>
    <t>EMP01492</t>
  </si>
  <si>
    <t>EMP01493</t>
  </si>
  <si>
    <t>EMP01494</t>
  </si>
  <si>
    <t>EMP01495</t>
  </si>
  <si>
    <t>EMP01496</t>
  </si>
  <si>
    <t>EMP01497</t>
  </si>
  <si>
    <t>EMP01498</t>
  </si>
  <si>
    <t>EMP01499</t>
  </si>
  <si>
    <t>EMP01500</t>
  </si>
  <si>
    <t>EMP01501</t>
  </si>
  <si>
    <t>EMP01502</t>
  </si>
  <si>
    <t>EMP01503</t>
  </si>
  <si>
    <t>EMP01504</t>
  </si>
  <si>
    <t>EMP01505</t>
  </si>
  <si>
    <t>EMP01506</t>
  </si>
  <si>
    <t>EMP01507</t>
  </si>
  <si>
    <t>EMP01508</t>
  </si>
  <si>
    <t>EMP01509</t>
  </si>
  <si>
    <t>EMP01510</t>
  </si>
  <si>
    <t>EMP01511</t>
  </si>
  <si>
    <t>EMP01512</t>
  </si>
  <si>
    <t>EMP01513</t>
  </si>
  <si>
    <t>EMP01514</t>
  </si>
  <si>
    <t>EMP01515</t>
  </si>
  <si>
    <t>EMP01516</t>
  </si>
  <si>
    <t>EMP01517</t>
  </si>
  <si>
    <t>EMP01518</t>
  </si>
  <si>
    <t>EMP01519</t>
  </si>
  <si>
    <t>EMP01520</t>
  </si>
  <si>
    <t>EMP01521</t>
  </si>
  <si>
    <t>EMP01522</t>
  </si>
  <si>
    <t>EMP01523</t>
  </si>
  <si>
    <t>EMP01524</t>
  </si>
  <si>
    <t>EMP01525</t>
  </si>
  <si>
    <t>EMP01526</t>
  </si>
  <si>
    <t>EMP01527</t>
  </si>
  <si>
    <t>EMP01528</t>
  </si>
  <si>
    <t>EMP01529</t>
  </si>
  <si>
    <t>EMP01530</t>
  </si>
  <si>
    <t>EMP01531</t>
  </si>
  <si>
    <t>EMP01532</t>
  </si>
  <si>
    <t>EMP01533</t>
  </si>
  <si>
    <t>EMP01534</t>
  </si>
  <si>
    <t>EMP01535</t>
  </si>
  <si>
    <t>EMP01536</t>
  </si>
  <si>
    <t>EMP01537</t>
  </si>
  <si>
    <t>EMP01538</t>
  </si>
  <si>
    <t>EMP01539</t>
  </si>
  <si>
    <t>EMP01540</t>
  </si>
  <si>
    <t>EMP01541</t>
  </si>
  <si>
    <t>EMP01542</t>
  </si>
  <si>
    <t>EMP01543</t>
  </si>
  <si>
    <t>EMP01544</t>
  </si>
  <si>
    <t>EMP01545</t>
  </si>
  <si>
    <t>EMP01546</t>
  </si>
  <si>
    <t>EMP01547</t>
  </si>
  <si>
    <t>EMP01548</t>
  </si>
  <si>
    <t>EMP01549</t>
  </si>
  <si>
    <t>EMP01550</t>
  </si>
  <si>
    <t>EMP01551</t>
  </si>
  <si>
    <t>EMP01552</t>
  </si>
  <si>
    <t>EMP01553</t>
  </si>
  <si>
    <t>EMP01554</t>
  </si>
  <si>
    <t>EMP01555</t>
  </si>
  <si>
    <t>EMP01556</t>
  </si>
  <si>
    <t>EMP01557</t>
  </si>
  <si>
    <t>EMP01558</t>
  </si>
  <si>
    <t>EMP01559</t>
  </si>
  <si>
    <t>EMP01560</t>
  </si>
  <si>
    <t>EMP01561</t>
  </si>
  <si>
    <t>EMP01562</t>
  </si>
  <si>
    <t>EMP01563</t>
  </si>
  <si>
    <t>EMP01564</t>
  </si>
  <si>
    <t>EMP01565</t>
  </si>
  <si>
    <t>EMP01566</t>
  </si>
  <si>
    <t>EMP01567</t>
  </si>
  <si>
    <t>EMP01568</t>
  </si>
  <si>
    <t>EMP01569</t>
  </si>
  <si>
    <t>EMP01570</t>
  </si>
  <si>
    <t>EMP01571</t>
  </si>
  <si>
    <t>EMP01572</t>
  </si>
  <si>
    <t>EMP01573</t>
  </si>
  <si>
    <t>EMP01574</t>
  </si>
  <si>
    <t>EMP01575</t>
  </si>
  <si>
    <t>EMP01576</t>
  </si>
  <si>
    <t>EMP01577</t>
  </si>
  <si>
    <t>EMP01578</t>
  </si>
  <si>
    <t>EMP01579</t>
  </si>
  <si>
    <t>EMP01580</t>
  </si>
  <si>
    <t>EMP01581</t>
  </si>
  <si>
    <t>EMP01582</t>
  </si>
  <si>
    <t>EMP01583</t>
  </si>
  <si>
    <t>EMP01584</t>
  </si>
  <si>
    <t>EMP01585</t>
  </si>
  <si>
    <t>EMP01586</t>
  </si>
  <si>
    <t>EMP01587</t>
  </si>
  <si>
    <t>EMP01588</t>
  </si>
  <si>
    <t>EMP01589</t>
  </si>
  <si>
    <t>EMP01590</t>
  </si>
  <si>
    <t>EMP01591</t>
  </si>
  <si>
    <t>EMP01592</t>
  </si>
  <si>
    <t>EMP01593</t>
  </si>
  <si>
    <t>EMP01594</t>
  </si>
  <si>
    <t>EMP01595</t>
  </si>
  <si>
    <t>EMP01596</t>
  </si>
  <si>
    <t>EMP01597</t>
  </si>
  <si>
    <t>EMP01598</t>
  </si>
  <si>
    <t>EMP01599</t>
  </si>
  <si>
    <t>EMP01600</t>
  </si>
  <si>
    <t>EMP01601</t>
  </si>
  <si>
    <t>EMP01602</t>
  </si>
  <si>
    <t>EMP01603</t>
  </si>
  <si>
    <t>EMP01604</t>
  </si>
  <si>
    <t>EMP01605</t>
  </si>
  <si>
    <t>EMP01606</t>
  </si>
  <si>
    <t>EMP01607</t>
  </si>
  <si>
    <t>EMP01608</t>
  </si>
  <si>
    <t>EMP01609</t>
  </si>
  <si>
    <t>EMP01610</t>
  </si>
  <si>
    <t>EMP01611</t>
  </si>
  <si>
    <t>EMP01612</t>
  </si>
  <si>
    <t>EMP01613</t>
  </si>
  <si>
    <t>EMP01614</t>
  </si>
  <si>
    <t>EMP01615</t>
  </si>
  <si>
    <t>EMP01616</t>
  </si>
  <si>
    <t>EMP01617</t>
  </si>
  <si>
    <t>EMP01618</t>
  </si>
  <si>
    <t>EMP01619</t>
  </si>
  <si>
    <t>EMP01620</t>
  </si>
  <si>
    <t>EMP01621</t>
  </si>
  <si>
    <t>EMP01622</t>
  </si>
  <si>
    <t>EMP01623</t>
  </si>
  <si>
    <t>EMP01624</t>
  </si>
  <si>
    <t>EMP01625</t>
  </si>
  <si>
    <t>EMP01626</t>
  </si>
  <si>
    <t>EMP01627</t>
  </si>
  <si>
    <t>EMP01628</t>
  </si>
  <si>
    <t>EMP01629</t>
  </si>
  <si>
    <t>EMP01630</t>
  </si>
  <si>
    <t>EMP01631</t>
  </si>
  <si>
    <t>EMP01632</t>
  </si>
  <si>
    <t>EMP01633</t>
  </si>
  <si>
    <t>EMP01634</t>
  </si>
  <si>
    <t>EMP01635</t>
  </si>
  <si>
    <t>EMP01636</t>
  </si>
  <si>
    <t>EMP01637</t>
  </si>
  <si>
    <t>EMP01638</t>
  </si>
  <si>
    <t>EMP01639</t>
  </si>
  <si>
    <t>EMP01640</t>
  </si>
  <si>
    <t>EMP01641</t>
  </si>
  <si>
    <t>EMP01642</t>
  </si>
  <si>
    <t>EMP01643</t>
  </si>
  <si>
    <t>EMP01644</t>
  </si>
  <si>
    <t>EMP01645</t>
  </si>
  <si>
    <t>EMP01646</t>
  </si>
  <si>
    <t>EMP01647</t>
  </si>
  <si>
    <t>EMP01648</t>
  </si>
  <si>
    <t>EMP01649</t>
  </si>
  <si>
    <t>EMP01650</t>
  </si>
  <si>
    <t>EMP01651</t>
  </si>
  <si>
    <t>EMP01652</t>
  </si>
  <si>
    <t>EMP01653</t>
  </si>
  <si>
    <t>EMP01654</t>
  </si>
  <si>
    <t>EMP01655</t>
  </si>
  <si>
    <t>EMP01656</t>
  </si>
  <si>
    <t>EMP01657</t>
  </si>
  <si>
    <t>EMP01658</t>
  </si>
  <si>
    <t>EMP01659</t>
  </si>
  <si>
    <t>EMP01660</t>
  </si>
  <si>
    <t>EMP01661</t>
  </si>
  <si>
    <t>EMP01662</t>
  </si>
  <si>
    <t>EMP01663</t>
  </si>
  <si>
    <t>EMP01664</t>
  </si>
  <si>
    <t>EMP01665</t>
  </si>
  <si>
    <t>EMP01666</t>
  </si>
  <si>
    <t>EMP01667</t>
  </si>
  <si>
    <t>EMP01668</t>
  </si>
  <si>
    <t>EMP01669</t>
  </si>
  <si>
    <t>EMP01670</t>
  </si>
  <si>
    <t>EMP01671</t>
  </si>
  <si>
    <t>EMP01672</t>
  </si>
  <si>
    <t>EMP01673</t>
  </si>
  <si>
    <t>EMP01674</t>
  </si>
  <si>
    <t>EMP01675</t>
  </si>
  <si>
    <t>EMP01676</t>
  </si>
  <si>
    <t>EMP01677</t>
  </si>
  <si>
    <t>EMP01678</t>
  </si>
  <si>
    <t>EMP01679</t>
  </si>
  <si>
    <t>EMP01680</t>
  </si>
  <si>
    <t>EMP01681</t>
  </si>
  <si>
    <t>EMP01682</t>
  </si>
  <si>
    <t>EMP01683</t>
  </si>
  <si>
    <t>EMP01684</t>
  </si>
  <si>
    <t>EMP01685</t>
  </si>
  <si>
    <t>EMP01686</t>
  </si>
  <si>
    <t>EMP01687</t>
  </si>
  <si>
    <t>EMP01688</t>
  </si>
  <si>
    <t>EMP01689</t>
  </si>
  <si>
    <t>EMP01690</t>
  </si>
  <si>
    <t>EMP01691</t>
  </si>
  <si>
    <t>EMP01692</t>
  </si>
  <si>
    <t>EMP01693</t>
  </si>
  <si>
    <t>EMP01694</t>
  </si>
  <si>
    <t>EMP01695</t>
  </si>
  <si>
    <t>EMP01696</t>
  </si>
  <si>
    <t>EMP01697</t>
  </si>
  <si>
    <t>EMP01698</t>
  </si>
  <si>
    <t>EMP01699</t>
  </si>
  <si>
    <t>EMP01700</t>
  </si>
  <si>
    <t>EMP01701</t>
  </si>
  <si>
    <t>EMP01702</t>
  </si>
  <si>
    <t>EMP01703</t>
  </si>
  <si>
    <t>EMP01704</t>
  </si>
  <si>
    <t>EMP01705</t>
  </si>
  <si>
    <t>EMP01706</t>
  </si>
  <si>
    <t>EMP01707</t>
  </si>
  <si>
    <t>EMP01708</t>
  </si>
  <si>
    <t>EMP01709</t>
  </si>
  <si>
    <t>EMP01710</t>
  </si>
  <si>
    <t>EMP01711</t>
  </si>
  <si>
    <t>EMP01712</t>
  </si>
  <si>
    <t>EMP01713</t>
  </si>
  <si>
    <t>EMP01714</t>
  </si>
  <si>
    <t>EMP01715</t>
  </si>
  <si>
    <t>EMP01716</t>
  </si>
  <si>
    <t>EMP01717</t>
  </si>
  <si>
    <t>EMP01718</t>
  </si>
  <si>
    <t>EMP01719</t>
  </si>
  <si>
    <t>EMP01720</t>
  </si>
  <si>
    <t>EMP01721</t>
  </si>
  <si>
    <t>EMP01722</t>
  </si>
  <si>
    <t>EMP01723</t>
  </si>
  <si>
    <t>EMP01724</t>
  </si>
  <si>
    <t>EMP01725</t>
  </si>
  <si>
    <t>EMP01726</t>
  </si>
  <si>
    <t>EMP01727</t>
  </si>
  <si>
    <t>EMP01728</t>
  </si>
  <si>
    <t>EMP01729</t>
  </si>
  <si>
    <t>EMP01730</t>
  </si>
  <si>
    <t>EMP01731</t>
  </si>
  <si>
    <t>EMP01732</t>
  </si>
  <si>
    <t>EMP01733</t>
  </si>
  <si>
    <t>EMP01734</t>
  </si>
  <si>
    <t>EMP01735</t>
  </si>
  <si>
    <t>EMP01736</t>
  </si>
  <si>
    <t>EMP01737</t>
  </si>
  <si>
    <t>EMP01738</t>
  </si>
  <si>
    <t>EMP01739</t>
  </si>
  <si>
    <t>EMP01740</t>
  </si>
  <si>
    <t>EMP01741</t>
  </si>
  <si>
    <t>EMP01742</t>
  </si>
  <si>
    <t>EMP01743</t>
  </si>
  <si>
    <t>EMP01744</t>
  </si>
  <si>
    <t>EMP01745</t>
  </si>
  <si>
    <t>EMP01746</t>
  </si>
  <si>
    <t>EMP01747</t>
  </si>
  <si>
    <t>EMP01748</t>
  </si>
  <si>
    <t>EMP01749</t>
  </si>
  <si>
    <t>EMP01750</t>
  </si>
  <si>
    <t>EMP01751</t>
  </si>
  <si>
    <t>EMP01752</t>
  </si>
  <si>
    <t>EMP01753</t>
  </si>
  <si>
    <t>EMP01754</t>
  </si>
  <si>
    <t>EMP01755</t>
  </si>
  <si>
    <t>EMP01756</t>
  </si>
  <si>
    <t>EMP01757</t>
  </si>
  <si>
    <t>EMP01758</t>
  </si>
  <si>
    <t>EMP01759</t>
  </si>
  <si>
    <t>EMP01760</t>
  </si>
  <si>
    <t>EMP01761</t>
  </si>
  <si>
    <t>EMP01762</t>
  </si>
  <si>
    <t>EMP01763</t>
  </si>
  <si>
    <t>EMP01764</t>
  </si>
  <si>
    <t>EMP01765</t>
  </si>
  <si>
    <t>EMP01766</t>
  </si>
  <si>
    <t>EMP01767</t>
  </si>
  <si>
    <t>EMP01768</t>
  </si>
  <si>
    <t>EMP01769</t>
  </si>
  <si>
    <t>EMP01770</t>
  </si>
  <si>
    <t>EMP01771</t>
  </si>
  <si>
    <t>EMP01772</t>
  </si>
  <si>
    <t>EMP01773</t>
  </si>
  <si>
    <t>EMP01774</t>
  </si>
  <si>
    <t>EMP01775</t>
  </si>
  <si>
    <t>EMP01776</t>
  </si>
  <si>
    <t>EMP01777</t>
  </si>
  <si>
    <t>EMP01778</t>
  </si>
  <si>
    <t>EMP01779</t>
  </si>
  <si>
    <t>EMP01780</t>
  </si>
  <si>
    <t>EMP01781</t>
  </si>
  <si>
    <t>EMP01782</t>
  </si>
  <si>
    <t>EMP01783</t>
  </si>
  <si>
    <t>EMP01784</t>
  </si>
  <si>
    <t>EMP01785</t>
  </si>
  <si>
    <t>EMP01786</t>
  </si>
  <si>
    <t>EMP01787</t>
  </si>
  <si>
    <t>EMP01788</t>
  </si>
  <si>
    <t>EMP01789</t>
  </si>
  <si>
    <t>EMP01790</t>
  </si>
  <si>
    <t>EMP01791</t>
  </si>
  <si>
    <t>EMP01792</t>
  </si>
  <si>
    <t>EMP01793</t>
  </si>
  <si>
    <t>EMP01794</t>
  </si>
  <si>
    <t>EMP01795</t>
  </si>
  <si>
    <t>EMP01796</t>
  </si>
  <si>
    <t>EMP01797</t>
  </si>
  <si>
    <t>EMP01798</t>
  </si>
  <si>
    <t>EMP01799</t>
  </si>
  <si>
    <t>EMP01800</t>
  </si>
  <si>
    <t>EMP01801</t>
  </si>
  <si>
    <t>EMP01802</t>
  </si>
  <si>
    <t>EMP01803</t>
  </si>
  <si>
    <t>EMP01804</t>
  </si>
  <si>
    <t>EMP01805</t>
  </si>
  <si>
    <t>EMP01806</t>
  </si>
  <si>
    <t>EMP01807</t>
  </si>
  <si>
    <t>EMP01808</t>
  </si>
  <si>
    <t>EMP01809</t>
  </si>
  <si>
    <t>EMP01810</t>
  </si>
  <si>
    <t>EMP01811</t>
  </si>
  <si>
    <t>EMP01812</t>
  </si>
  <si>
    <t>EMP01813</t>
  </si>
  <si>
    <t>EMP01814</t>
  </si>
  <si>
    <t>EMP01815</t>
  </si>
  <si>
    <t>EMP01816</t>
  </si>
  <si>
    <t>EMP01817</t>
  </si>
  <si>
    <t>EMP01818</t>
  </si>
  <si>
    <t>EMP01819</t>
  </si>
  <si>
    <t>EMP01820</t>
  </si>
  <si>
    <t>EMP01821</t>
  </si>
  <si>
    <t>EMP01822</t>
  </si>
  <si>
    <t>EMP01823</t>
  </si>
  <si>
    <t>EMP01824</t>
  </si>
  <si>
    <t>EMP01825</t>
  </si>
  <si>
    <t>EMP01826</t>
  </si>
  <si>
    <t>EMP01827</t>
  </si>
  <si>
    <t>EMP01828</t>
  </si>
  <si>
    <t>EMP01829</t>
  </si>
  <si>
    <t>EMP01830</t>
  </si>
  <si>
    <t>EMP01831</t>
  </si>
  <si>
    <t>EMP01832</t>
  </si>
  <si>
    <t>EMP01833</t>
  </si>
  <si>
    <t>EMP01834</t>
  </si>
  <si>
    <t>EMP01835</t>
  </si>
  <si>
    <t>EMP01836</t>
  </si>
  <si>
    <t>EMP01837</t>
  </si>
  <si>
    <t>EMP01838</t>
  </si>
  <si>
    <t>EMP01839</t>
  </si>
  <si>
    <t>EMP01840</t>
  </si>
  <si>
    <t>EMP01841</t>
  </si>
  <si>
    <t>EMP01842</t>
  </si>
  <si>
    <t>EMP01843</t>
  </si>
  <si>
    <t>EMP01844</t>
  </si>
  <si>
    <t>EMP01845</t>
  </si>
  <si>
    <t>EMP01846</t>
  </si>
  <si>
    <t>EMP01847</t>
  </si>
  <si>
    <t>EMP01848</t>
  </si>
  <si>
    <t>EMP01849</t>
  </si>
  <si>
    <t>EMP01850</t>
  </si>
  <si>
    <t>EMP01851</t>
  </si>
  <si>
    <t>EMP01852</t>
  </si>
  <si>
    <t>EMP01853</t>
  </si>
  <si>
    <t>EMP01854</t>
  </si>
  <si>
    <t>EMP01855</t>
  </si>
  <si>
    <t>EMP01856</t>
  </si>
  <si>
    <t>EMP01857</t>
  </si>
  <si>
    <t>EMP01858</t>
  </si>
  <si>
    <t>EMP01859</t>
  </si>
  <si>
    <t>EMP01860</t>
  </si>
  <si>
    <t>EMP01861</t>
  </si>
  <si>
    <t>EMP01862</t>
  </si>
  <si>
    <t>EMP01863</t>
  </si>
  <si>
    <t>EMP01864</t>
  </si>
  <si>
    <t>EMP01865</t>
  </si>
  <si>
    <t>EMP01866</t>
  </si>
  <si>
    <t>EMP01867</t>
  </si>
  <si>
    <t>EMP01868</t>
  </si>
  <si>
    <t>EMP01869</t>
  </si>
  <si>
    <t>EMP01870</t>
  </si>
  <si>
    <t>EMP01871</t>
  </si>
  <si>
    <t>EMP01872</t>
  </si>
  <si>
    <t>EMP01873</t>
  </si>
  <si>
    <t>EMP01874</t>
  </si>
  <si>
    <t>EMP01875</t>
  </si>
  <si>
    <t>EMP01876</t>
  </si>
  <si>
    <t>EMP01877</t>
  </si>
  <si>
    <t>EMP01878</t>
  </si>
  <si>
    <t>EMP01879</t>
  </si>
  <si>
    <t>EMP01880</t>
  </si>
  <si>
    <t>EMP01881</t>
  </si>
  <si>
    <t>EMP01882</t>
  </si>
  <si>
    <t>EMP01883</t>
  </si>
  <si>
    <t>EMP01884</t>
  </si>
  <si>
    <t>EMP01885</t>
  </si>
  <si>
    <t>EMP01886</t>
  </si>
  <si>
    <t>EMP01887</t>
  </si>
  <si>
    <t>EMP01888</t>
  </si>
  <si>
    <t>EMP01889</t>
  </si>
  <si>
    <t>EMP01890</t>
  </si>
  <si>
    <t>EMP01891</t>
  </si>
  <si>
    <t>EMP01892</t>
  </si>
  <si>
    <t>EMP01893</t>
  </si>
  <si>
    <t>EMP01894</t>
  </si>
  <si>
    <t>EMP01895</t>
  </si>
  <si>
    <t>EMP01896</t>
  </si>
  <si>
    <t>EMP01897</t>
  </si>
  <si>
    <t>EMP01898</t>
  </si>
  <si>
    <t>EMP01899</t>
  </si>
  <si>
    <t>EMP01900</t>
  </si>
  <si>
    <t>EMP01901</t>
  </si>
  <si>
    <t>EMP01902</t>
  </si>
  <si>
    <t>EMP01903</t>
  </si>
  <si>
    <t>EMP01904</t>
  </si>
  <si>
    <t>EMP01905</t>
  </si>
  <si>
    <t>EMP01906</t>
  </si>
  <si>
    <t>EMP01907</t>
  </si>
  <si>
    <t>EMP01908</t>
  </si>
  <si>
    <t>EMP01909</t>
  </si>
  <si>
    <t>EMP01910</t>
  </si>
  <si>
    <t>EMP01911</t>
  </si>
  <si>
    <t>EMP01912</t>
  </si>
  <si>
    <t>EMP01913</t>
  </si>
  <si>
    <t>EMP01914</t>
  </si>
  <si>
    <t>EMP01915</t>
  </si>
  <si>
    <t>EMP01916</t>
  </si>
  <si>
    <t>EMP01917</t>
  </si>
  <si>
    <t>EMP01918</t>
  </si>
  <si>
    <t>EMP01919</t>
  </si>
  <si>
    <t>EMP01920</t>
  </si>
  <si>
    <t>EMP01921</t>
  </si>
  <si>
    <t>EMP01922</t>
  </si>
  <si>
    <t>EMP01923</t>
  </si>
  <si>
    <t>EMP01924</t>
  </si>
  <si>
    <t>EMP01925</t>
  </si>
  <si>
    <t>EMP01926</t>
  </si>
  <si>
    <t>EMP01927</t>
  </si>
  <si>
    <t>EMP01928</t>
  </si>
  <si>
    <t>EMP01929</t>
  </si>
  <si>
    <t>EMP01930</t>
  </si>
  <si>
    <t>EMP01931</t>
  </si>
  <si>
    <t>EMP01932</t>
  </si>
  <si>
    <t>EMP01933</t>
  </si>
  <si>
    <t>EMP01934</t>
  </si>
  <si>
    <t>EMP01935</t>
  </si>
  <si>
    <t>EMP01936</t>
  </si>
  <si>
    <t>EMP01937</t>
  </si>
  <si>
    <t>EMP01938</t>
  </si>
  <si>
    <t>EMP01939</t>
  </si>
  <si>
    <t>EMP01940</t>
  </si>
  <si>
    <t>EMP01941</t>
  </si>
  <si>
    <t>EMP01942</t>
  </si>
  <si>
    <t>EMP01943</t>
  </si>
  <si>
    <t>EMP01944</t>
  </si>
  <si>
    <t>EMP01945</t>
  </si>
  <si>
    <t>EMP01946</t>
  </si>
  <si>
    <t>EMP01947</t>
  </si>
  <si>
    <t>EMP01948</t>
  </si>
  <si>
    <t>EMP01949</t>
  </si>
  <si>
    <t>EMP01950</t>
  </si>
  <si>
    <t>EMP01951</t>
  </si>
  <si>
    <t>EMP01952</t>
  </si>
  <si>
    <t>EMP01953</t>
  </si>
  <si>
    <t>EMP01954</t>
  </si>
  <si>
    <t>EMP01955</t>
  </si>
  <si>
    <t>EMP01956</t>
  </si>
  <si>
    <t>EMP01957</t>
  </si>
  <si>
    <t>EMP01958</t>
  </si>
  <si>
    <t>EMP01959</t>
  </si>
  <si>
    <t>EMP01960</t>
  </si>
  <si>
    <t>EMP01961</t>
  </si>
  <si>
    <t>EMP01962</t>
  </si>
  <si>
    <t>EMP01963</t>
  </si>
  <si>
    <t>EMP01964</t>
  </si>
  <si>
    <t>EMP01965</t>
  </si>
  <si>
    <t>EMP01966</t>
  </si>
  <si>
    <t>EMP01967</t>
  </si>
  <si>
    <t>EMP01968</t>
  </si>
  <si>
    <t>EMP01969</t>
  </si>
  <si>
    <t>EMP01970</t>
  </si>
  <si>
    <t>EMP01971</t>
  </si>
  <si>
    <t>EMP01972</t>
  </si>
  <si>
    <t>EMP01973</t>
  </si>
  <si>
    <t>EMP01974</t>
  </si>
  <si>
    <t>EMP01975</t>
  </si>
  <si>
    <t>EMP01976</t>
  </si>
  <si>
    <t>EMP01977</t>
  </si>
  <si>
    <t>EMP01978</t>
  </si>
  <si>
    <t>EMP01979</t>
  </si>
  <si>
    <t>EMP01980</t>
  </si>
  <si>
    <t>EMP01981</t>
  </si>
  <si>
    <t>EMP01982</t>
  </si>
  <si>
    <t>EMP01983</t>
  </si>
  <si>
    <t>EMP01984</t>
  </si>
  <si>
    <t>EMP01985</t>
  </si>
  <si>
    <t>EMP01986</t>
  </si>
  <si>
    <t>EMP01987</t>
  </si>
  <si>
    <t>EMP01988</t>
  </si>
  <si>
    <t>EMP01989</t>
  </si>
  <si>
    <t>EMP01990</t>
  </si>
  <si>
    <t>EMP01991</t>
  </si>
  <si>
    <t>EMP01992</t>
  </si>
  <si>
    <t>EMP01993</t>
  </si>
  <si>
    <t>EMP01994</t>
  </si>
  <si>
    <t>EMP01995</t>
  </si>
  <si>
    <t>EMP01996</t>
  </si>
  <si>
    <t>EMP01997</t>
  </si>
  <si>
    <t>EMP01998</t>
  </si>
  <si>
    <t>EMP01999</t>
  </si>
  <si>
    <t>EMP02000</t>
  </si>
  <si>
    <t>On-Site</t>
  </si>
  <si>
    <t>Mba</t>
  </si>
  <si>
    <t>Bscs</t>
  </si>
  <si>
    <t>Bba</t>
  </si>
  <si>
    <t>Linkedin</t>
  </si>
  <si>
    <t>Row Labels</t>
  </si>
  <si>
    <t>Grand Total</t>
  </si>
  <si>
    <t>Headcount</t>
  </si>
  <si>
    <t>Avg Salary</t>
  </si>
  <si>
    <t>Avg Bonus</t>
  </si>
  <si>
    <t>Avg Performance</t>
  </si>
  <si>
    <t>Avg Satisfaction</t>
  </si>
  <si>
    <t>Avg Attendance</t>
  </si>
  <si>
    <t>Total Salary</t>
  </si>
  <si>
    <t>Headcount by Gender</t>
  </si>
  <si>
    <t>Joining Trend by Year</t>
  </si>
  <si>
    <t>Headcount by Employment Status</t>
  </si>
  <si>
    <t>Headcount by Work Mode</t>
  </si>
  <si>
    <t>Avg Salary &amp; Bonus by Designation</t>
  </si>
  <si>
    <t>Headcount by City</t>
  </si>
  <si>
    <t>Headcount by Education</t>
  </si>
  <si>
    <t>Attrition Reason Breakdown</t>
  </si>
  <si>
    <t>Promotion Status</t>
  </si>
  <si>
    <t>Performance &amp; Satisfaction by Dept</t>
  </si>
  <si>
    <t>Top 5 Employees by Salary</t>
  </si>
  <si>
    <t>HR WORKFORCE DASHBOARD</t>
  </si>
  <si>
    <t>Total Employees</t>
  </si>
  <si>
    <t>Promotion Rate</t>
  </si>
  <si>
    <t>Attrition Rate</t>
  </si>
  <si>
    <t>FILTERS</t>
  </si>
  <si>
    <t>PromotionFlag</t>
  </si>
  <si>
    <t>AttritionFlag</t>
  </si>
  <si>
    <t>Qtr1</t>
  </si>
  <si>
    <t>Qtr2</t>
  </si>
  <si>
    <t>Qtr3</t>
  </si>
  <si>
    <t>Qtr4</t>
  </si>
  <si>
    <t>HR</t>
  </si>
  <si>
    <t>IT</t>
  </si>
  <si>
    <t>Headcount by Department</t>
  </si>
  <si>
    <t>2024</t>
  </si>
  <si>
    <t>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</si>
</sst>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0.0%"/>
    <numFmt numFmtId="166" formatCode="0.0"/>
  </numFmts>
  <fonts count="7" x14ac:knownFonts="1">
    <font>
      <sz val="11"/>
      <color theme="1"/>
      <name val="Calibri"/>
      <family val="2"/>
      <scheme val="minor"/>
    </font>
    <font>
      <b/>
      <sz val="11"/>
      <color rgb="FFFFFFFF"/>
      <name val="Calibri"/>
      <family val="2"/>
      <scheme val="minor"/>
    </font>
    <font>
      <b/>
      <sz val="14"/>
      <color rgb="FFFFFFFF"/>
      <name val="Calibri"/>
      <family val="2"/>
      <scheme val="minor"/>
    </font>
    <font>
      <b/>
      <sz val="22"/>
      <color rgb="FFFFFFFF"/>
      <name val="Calibri"/>
      <family val="2"/>
      <scheme val="minor"/>
    </font>
    <font>
      <b/>
      <sz val="9"/>
      <color rgb="FFFFFFFF"/>
      <name val="Calibri"/>
      <family val="2"/>
      <scheme val="minor"/>
    </font>
    <font>
      <b/>
      <sz val="13"/>
      <color rgb="FF1E1E1E"/>
      <name val="Calibri"/>
      <family val="2"/>
      <scheme val="minor"/>
    </font>
    <font>
      <b/>
      <sz val="12"/>
      <color rgb="FFFFFFFF"/>
      <name val="Calibri"/>
      <family val="2"/>
      <scheme val="minor"/>
    </font>
  </fonts>
  <fills count="8">
    <fill>
      <patternFill patternType="none"/>
    </fill>
    <fill>
      <patternFill patternType="gray125"/>
    </fill>
    <fill>
      <patternFill patternType="solid">
        <fgColor rgb="FFFFFFFF"/>
        <bgColor indexed="64"/>
      </patternFill>
    </fill>
    <fill>
      <patternFill patternType="solid">
        <fgColor rgb="FFE2F5E4"/>
        <bgColor indexed="64"/>
      </patternFill>
    </fill>
    <fill>
      <patternFill patternType="solid">
        <fgColor rgb="FF1E6E3C"/>
        <bgColor indexed="64"/>
      </patternFill>
    </fill>
    <fill>
      <patternFill patternType="solid">
        <fgColor rgb="FFF0FAF2"/>
        <bgColor indexed="64"/>
      </patternFill>
    </fill>
    <fill>
      <patternFill patternType="solid">
        <fgColor rgb="FFCDE6D2"/>
        <bgColor indexed="64"/>
      </patternFill>
    </fill>
    <fill>
      <patternFill patternType="solid">
        <fgColor rgb="FFFFFFFF"/>
        <bgColor theme="9" tint="0.79998168889431442"/>
      </patternFill>
    </fill>
  </fills>
  <borders count="11">
    <border>
      <left/>
      <right/>
      <top/>
      <bottom/>
      <diagonal/>
    </border>
    <border>
      <left/>
      <right/>
      <top/>
      <bottom style="thin">
        <color rgb="FFE2F5E4"/>
      </bottom>
      <diagonal/>
    </border>
    <border>
      <left/>
      <right/>
      <top style="thin">
        <color rgb="FF0F4B28"/>
      </top>
      <bottom/>
      <diagonal/>
    </border>
    <border>
      <left style="thin">
        <color rgb="FF0F4B28"/>
      </left>
      <right/>
      <top style="thin">
        <color rgb="FF0F4B28"/>
      </top>
      <bottom/>
      <diagonal/>
    </border>
    <border>
      <left/>
      <right style="thin">
        <color rgb="FF0F4B28"/>
      </right>
      <top style="thin">
        <color rgb="FF0F4B28"/>
      </top>
      <bottom/>
      <diagonal/>
    </border>
    <border>
      <left style="thin">
        <color rgb="FF0F4B28"/>
      </left>
      <right/>
      <top/>
      <bottom/>
      <diagonal/>
    </border>
    <border>
      <left/>
      <right style="thin">
        <color rgb="FF0F4B28"/>
      </right>
      <top/>
      <bottom/>
      <diagonal/>
    </border>
    <border>
      <left/>
      <right/>
      <top style="thin">
        <color rgb="FF0F4B28"/>
      </top>
      <bottom style="thin">
        <color rgb="FF0F4B28"/>
      </bottom>
      <diagonal/>
    </border>
    <border>
      <left style="thin">
        <color rgb="FF0F4B28"/>
      </left>
      <right/>
      <top style="thin">
        <color rgb="FF0F4B28"/>
      </top>
      <bottom style="thin">
        <color rgb="FF0F4B28"/>
      </bottom>
      <diagonal/>
    </border>
    <border>
      <left/>
      <right style="thin">
        <color rgb="FF0F4B28"/>
      </right>
      <top style="thin">
        <color rgb="FF0F4B28"/>
      </top>
      <bottom style="thin">
        <color rgb="FF0F4B28"/>
      </bottom>
      <diagonal/>
    </border>
    <border>
      <left/>
      <right/>
      <top style="thin">
        <color theme="9" tint="0.39997558519241921"/>
      </top>
      <bottom/>
      <diagonal/>
    </border>
  </borders>
  <cellStyleXfs count="1">
    <xf numFmtId="0" fontId="0" fillId="0" borderId="0"/>
  </cellStyleXfs>
  <cellXfs count="42">
    <xf numFmtId="0" fontId="0" fillId="0" borderId="0" xfId="0"/>
    <xf numFmtId="4" fontId="0" fillId="0" borderId="0" xfId="0" applyNumberFormat="1"/>
    <xf numFmtId="165" fontId="0" fillId="0" borderId="0" xfId="0" applyNumberFormat="1"/>
    <xf numFmtId="166" fontId="0" fillId="0" borderId="0" xfId="0" applyNumberFormat="1"/>
    <xf numFmtId="0" fontId="0" fillId="0" borderId="0" xfId="0" pivotButton="1"/>
    <xf numFmtId="0" fontId="0" fillId="0" borderId="0" xfId="0" applyAlignment="1">
      <alignment horizontal="left"/>
    </xf>
    <xf numFmtId="3" fontId="0" fillId="0" borderId="0" xfId="0" applyNumberFormat="1"/>
    <xf numFmtId="0" fontId="0" fillId="5" borderId="0" xfId="0" applyFill="1"/>
    <xf numFmtId="0" fontId="0" fillId="2" borderId="10" xfId="0" applyFill="1" applyBorder="1" applyAlignment="1">
      <alignment horizontal="center" vertical="center"/>
    </xf>
    <xf numFmtId="1" fontId="0" fillId="2" borderId="10" xfId="0" applyNumberFormat="1" applyFill="1" applyBorder="1" applyAlignment="1">
      <alignment horizontal="center" vertical="center"/>
    </xf>
    <xf numFmtId="164" fontId="0" fillId="2" borderId="10" xfId="0" applyNumberFormat="1" applyFill="1" applyBorder="1" applyAlignment="1">
      <alignment horizontal="center" vertical="center"/>
    </xf>
    <xf numFmtId="4" fontId="0" fillId="2" borderId="10" xfId="0" applyNumberFormat="1" applyFill="1" applyBorder="1" applyAlignment="1">
      <alignment horizontal="center" vertical="center"/>
    </xf>
    <xf numFmtId="165" fontId="0" fillId="2" borderId="10" xfId="0" applyNumberFormat="1" applyFill="1" applyBorder="1" applyAlignment="1">
      <alignment horizontal="center" vertical="center"/>
    </xf>
    <xf numFmtId="166" fontId="0" fillId="2" borderId="10" xfId="0" applyNumberFormat="1" applyFill="1" applyBorder="1" applyAlignment="1">
      <alignment horizontal="center" vertical="center"/>
    </xf>
    <xf numFmtId="0" fontId="0" fillId="3" borderId="10" xfId="0" applyFill="1" applyBorder="1" applyAlignment="1">
      <alignment horizontal="center" vertical="center"/>
    </xf>
    <xf numFmtId="1" fontId="0" fillId="3" borderId="10" xfId="0" applyNumberFormat="1" applyFill="1" applyBorder="1" applyAlignment="1">
      <alignment horizontal="center" vertical="center"/>
    </xf>
    <xf numFmtId="164" fontId="0" fillId="3" borderId="10" xfId="0" applyNumberFormat="1" applyFill="1" applyBorder="1" applyAlignment="1">
      <alignment horizontal="center" vertical="center"/>
    </xf>
    <xf numFmtId="4" fontId="0" fillId="3" borderId="10" xfId="0" applyNumberFormat="1" applyFill="1" applyBorder="1" applyAlignment="1">
      <alignment horizontal="center" vertical="center"/>
    </xf>
    <xf numFmtId="165" fontId="0" fillId="3" borderId="10" xfId="0" applyNumberFormat="1" applyFill="1" applyBorder="1" applyAlignment="1">
      <alignment horizontal="center" vertical="center"/>
    </xf>
    <xf numFmtId="166" fontId="0" fillId="3" borderId="10" xfId="0" applyNumberFormat="1" applyFill="1" applyBorder="1" applyAlignment="1">
      <alignment horizontal="center" vertical="center"/>
    </xf>
    <xf numFmtId="0" fontId="1" fillId="4" borderId="0" xfId="0" applyFont="1" applyFill="1" applyAlignment="1">
      <alignment horizontal="center" vertical="center"/>
    </xf>
    <xf numFmtId="14" fontId="1" fillId="4" borderId="0" xfId="0" applyNumberFormat="1" applyFont="1" applyFill="1" applyAlignment="1">
      <alignment horizontal="center" vertical="center"/>
    </xf>
    <xf numFmtId="0" fontId="0" fillId="7" borderId="10" xfId="0" applyFill="1" applyBorder="1" applyAlignment="1">
      <alignment horizontal="center" vertical="center"/>
    </xf>
    <xf numFmtId="0" fontId="6" fillId="4" borderId="0" xfId="0" applyFont="1" applyFill="1" applyAlignment="1">
      <alignment horizontal="center" vertical="center"/>
    </xf>
    <xf numFmtId="0" fontId="0" fillId="5" borderId="0" xfId="0" applyFill="1" applyAlignment="1">
      <alignment horizontal="center" vertical="center"/>
    </xf>
    <xf numFmtId="0" fontId="4" fillId="4" borderId="3" xfId="0" applyFont="1" applyFill="1" applyBorder="1" applyAlignment="1">
      <alignment horizontal="center" vertical="center"/>
    </xf>
    <xf numFmtId="0" fontId="4" fillId="4" borderId="2" xfId="0" applyFont="1" applyFill="1" applyBorder="1" applyAlignment="1">
      <alignment horizontal="center" vertical="center"/>
    </xf>
    <xf numFmtId="166" fontId="5" fillId="2" borderId="5" xfId="0" applyNumberFormat="1" applyFont="1" applyFill="1" applyBorder="1" applyAlignment="1">
      <alignment horizontal="center" vertical="center"/>
    </xf>
    <xf numFmtId="0" fontId="0" fillId="6" borderId="8" xfId="0" applyFill="1" applyBorder="1"/>
    <xf numFmtId="0" fontId="0" fillId="6" borderId="7" xfId="0" applyFill="1" applyBorder="1"/>
    <xf numFmtId="165" fontId="5" fillId="2" borderId="5" xfId="0" applyNumberFormat="1" applyFont="1" applyFill="1" applyBorder="1" applyAlignment="1">
      <alignment horizontal="center" vertical="center"/>
    </xf>
    <xf numFmtId="0" fontId="3" fillId="4" borderId="0" xfId="0" applyFont="1" applyFill="1" applyAlignment="1">
      <alignment horizontal="center" vertical="center"/>
    </xf>
    <xf numFmtId="3" fontId="5" fillId="2" borderId="5" xfId="0" applyNumberFormat="1" applyFont="1" applyFill="1" applyBorder="1" applyAlignment="1">
      <alignment horizontal="center" vertical="center"/>
    </xf>
    <xf numFmtId="0" fontId="4" fillId="4" borderId="4" xfId="0" applyFont="1" applyFill="1" applyBorder="1" applyAlignment="1">
      <alignment horizontal="center" vertical="center"/>
    </xf>
    <xf numFmtId="165" fontId="5" fillId="2" borderId="6" xfId="0" applyNumberFormat="1" applyFont="1" applyFill="1" applyBorder="1" applyAlignment="1">
      <alignment horizontal="center" vertical="center"/>
    </xf>
    <xf numFmtId="0" fontId="0" fillId="6" borderId="9" xfId="0" applyFill="1" applyBorder="1"/>
    <xf numFmtId="0" fontId="2" fillId="4" borderId="1" xfId="0" applyFont="1" applyFill="1" applyBorder="1" applyAlignment="1">
      <alignment horizontal="center" vertical="center"/>
    </xf>
    <xf numFmtId="0" fontId="0" fillId="0" borderId="0" xfId="0" applyFill="1"/>
    <xf numFmtId="3" fontId="5" fillId="2" borderId="0" xfId="0" applyNumberFormat="1" applyFont="1" applyFill="1" applyBorder="1" applyAlignment="1">
      <alignment horizontal="center" vertical="center"/>
    </xf>
    <xf numFmtId="166" fontId="5" fillId="2" borderId="0" xfId="0" applyNumberFormat="1" applyFont="1" applyFill="1" applyBorder="1" applyAlignment="1">
      <alignment horizontal="center" vertical="center"/>
    </xf>
    <xf numFmtId="165" fontId="5" fillId="2" borderId="0" xfId="0" applyNumberFormat="1" applyFont="1" applyFill="1" applyBorder="1" applyAlignment="1">
      <alignment horizontal="center" vertical="center"/>
    </xf>
    <xf numFmtId="0" fontId="0" fillId="0" borderId="0" xfId="0" applyAlignment="1">
      <alignment horizontal="left" indent="1"/>
    </xf>
  </cellXfs>
  <cellStyles count="1">
    <cellStyle name="Normal" xfId="0" builtinId="0"/>
  </cellStyles>
  <dxfs count="29">
    <dxf>
      <font>
        <b val="0"/>
        <i val="0"/>
        <strike val="0"/>
        <condense val="0"/>
        <extend val="0"/>
        <outline val="0"/>
        <shadow val="0"/>
        <u val="none"/>
        <vertAlign val="baseline"/>
        <sz val="11"/>
        <color theme="1"/>
        <name val="Calibri"/>
        <family val="2"/>
        <scheme val="minor"/>
      </font>
      <numFmt numFmtId="164" formatCode="yyyy\-mm\-dd"/>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0.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4" formatCode="#,##0.0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4" formatCode="#,##0.0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E2F5E4"/>
        </patternFill>
      </fill>
      <alignment horizontal="center" vertical="center"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rgb="FFFFFFFF"/>
        <name val="Calibri"/>
        <family val="2"/>
        <scheme val="minor"/>
      </font>
      <fill>
        <patternFill patternType="solid">
          <fgColor indexed="64"/>
          <bgColor rgb="FF1E6E3C"/>
        </patternFill>
      </fill>
      <alignment horizontal="center" vertical="center" textRotation="0" wrapText="0" indent="0" justifyLastLine="0" shrinkToFit="0" readingOrder="0"/>
    </dxf>
    <dxf>
      <font>
        <b/>
        <color theme="1"/>
      </font>
      <border>
        <bottom style="thin">
          <color theme="9"/>
        </bottom>
        <vertical/>
        <horizontal/>
      </border>
    </dxf>
    <dxf>
      <font>
        <color theme="1"/>
      </font>
      <border>
        <left style="thin">
          <color theme="9"/>
        </left>
        <right style="thin">
          <color theme="9"/>
        </right>
        <top style="thin">
          <color theme="9"/>
        </top>
        <bottom style="thin">
          <color theme="9"/>
        </bottom>
        <vertical/>
        <horizontal/>
      </border>
    </dxf>
  </dxfs>
  <tableStyles count="1" defaultTableStyle="TableStyleMedium9" defaultPivotStyle="PivotStyleLight16">
    <tableStyle name="SlicerStyle6" pivot="0" table="0" count="10" xr9:uid="{DA9BD5C3-BA36-4B76-814D-095AFCC95FD7}">
      <tableStyleElement type="wholeTable" dxfId="28"/>
      <tableStyleElement type="headerRow" dxfId="27"/>
    </tableStyle>
  </tableStyles>
  <colors>
    <mruColors>
      <color rgb="FF006600"/>
      <color rgb="FFDEB622"/>
      <color rgb="FFE7AC19"/>
      <color rgb="FFFF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660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6"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6">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[Premium_HR_Analytics_Dataset_2000_Rows.xlsm]Pivot!PT_Gender</c:name>
    <c:fmtId val="1"/>
  </c:pivotSource>
  <c:chart>
    <c:title>
      <c:tx>
        <c:rich>
          <a:bodyPr/>
          <a:lstStyle/>
          <a:p>
            <a:pPr>
              <a:defRPr sz="1100" b="1">
                <a:solidFill>
                  <a:srgbClr val="1E6E3C"/>
                </a:solidFill>
                <a:latin typeface="Calibri"/>
                <a:ea typeface="Calibri"/>
                <a:cs typeface="Calibri"/>
              </a:defRPr>
            </a:pPr>
            <a:r>
              <a:rPr lang="en-US"/>
              <a:t>Headcount by Gender</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1E6E3C"/>
          </a:solidFill>
        </c:spPr>
      </c:pivotFmt>
      <c:pivotFmt>
        <c:idx val="2"/>
        <c:spPr>
          <a:solidFill>
            <a:srgbClr val="E6A844"/>
          </a:solidFill>
        </c:spPr>
      </c:pivotFmt>
    </c:pivotFmts>
    <c:plotArea>
      <c:layout/>
      <c:doughnutChart>
        <c:varyColors val="1"/>
        <c:ser>
          <c:idx val="0"/>
          <c:order val="0"/>
          <c:tx>
            <c:strRef>
              <c:f>Pivot!$F$2</c:f>
              <c:strCache>
                <c:ptCount val="1"/>
                <c:pt idx="0">
                  <c:v>Total</c:v>
                </c:pt>
              </c:strCache>
            </c:strRef>
          </c:tx>
          <c:dPt>
            <c:idx val="0"/>
            <c:bubble3D val="0"/>
            <c:spPr>
              <a:solidFill>
                <a:srgbClr val="1E6E3C"/>
              </a:solidFill>
            </c:spPr>
            <c:extLst>
              <c:ext xmlns:c16="http://schemas.microsoft.com/office/drawing/2014/chart" uri="{C3380CC4-5D6E-409C-BE32-E72D297353CC}">
                <c16:uniqueId val="{00000003-8EFA-4DDD-9196-A1F2464F4432}"/>
              </c:ext>
            </c:extLst>
          </c:dPt>
          <c:dPt>
            <c:idx val="1"/>
            <c:bubble3D val="0"/>
            <c:spPr>
              <a:solidFill>
                <a:srgbClr val="E6A844"/>
              </a:solidFill>
            </c:spPr>
            <c:extLst>
              <c:ext xmlns:c16="http://schemas.microsoft.com/office/drawing/2014/chart" uri="{C3380CC4-5D6E-409C-BE32-E72D297353CC}">
                <c16:uniqueId val="{00000004-8EFA-4DDD-9196-A1F2464F4432}"/>
              </c:ext>
            </c:extLst>
          </c:dPt>
          <c:dLbls>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Pivot!$E$3:$E$5</c:f>
              <c:strCache>
                <c:ptCount val="2"/>
                <c:pt idx="0">
                  <c:v>Female</c:v>
                </c:pt>
                <c:pt idx="1">
                  <c:v>Male</c:v>
                </c:pt>
              </c:strCache>
            </c:strRef>
          </c:cat>
          <c:val>
            <c:numRef>
              <c:f>Pivot!$F$3:$F$5</c:f>
              <c:numCache>
                <c:formatCode>#,##0</c:formatCode>
                <c:ptCount val="2"/>
                <c:pt idx="0">
                  <c:v>969</c:v>
                </c:pt>
                <c:pt idx="1">
                  <c:v>1031</c:v>
                </c:pt>
              </c:numCache>
            </c:numRef>
          </c:val>
          <c:extLst>
            <c:ext xmlns:c16="http://schemas.microsoft.com/office/drawing/2014/chart" uri="{C3380CC4-5D6E-409C-BE32-E72D297353CC}">
              <c16:uniqueId val="{00000002-8EFA-4DDD-9196-A1F2464F4432}"/>
            </c:ext>
          </c:extLst>
        </c:ser>
        <c:dLbls>
          <c:showLegendKey val="0"/>
          <c:showVal val="0"/>
          <c:showCatName val="0"/>
          <c:showSerName val="0"/>
          <c:showPercent val="0"/>
          <c:showBubbleSize val="0"/>
          <c:showLeaderLines val="0"/>
        </c:dLbls>
        <c:firstSliceAng val="0"/>
        <c:holeSize val="50"/>
      </c:doughnutChart>
      <c:spPr>
        <a:noFill/>
        <a:ln w="25400">
          <a:noFill/>
        </a:ln>
      </c:spPr>
    </c:plotArea>
    <c:legend>
      <c:legendPos val="r"/>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EF8F0"/>
    </a:solidFill>
    <a:ln w="3175">
      <a:solidFill>
        <a:srgbClr val="1E6E3C"/>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[Premium_HR_Analytics_Dataset_2000_Rows.xlsm]Pivot!PT_JoiningTrend</c:name>
    <c:fmtId val="1"/>
  </c:pivotSource>
  <c:chart>
    <c:title>
      <c:tx>
        <c:rich>
          <a:bodyPr/>
          <a:lstStyle/>
          <a:p>
            <a:pPr>
              <a:defRPr sz="1100" b="1">
                <a:solidFill>
                  <a:srgbClr val="1E6E3C"/>
                </a:solidFill>
                <a:latin typeface="Calibri"/>
                <a:ea typeface="Calibri"/>
                <a:cs typeface="Calibri"/>
              </a:defRPr>
            </a:pPr>
            <a:r>
              <a:rPr lang="en-US"/>
              <a:t>Joining Trend by Year &amp; Quarter</a:t>
            </a:r>
          </a:p>
        </c:rich>
      </c:tx>
      <c:overlay val="0"/>
    </c:title>
    <c:autoTitleDeleted val="0"/>
    <c:pivotFmts>
      <c:pivotFmt>
        <c:idx val="0"/>
        <c:spPr>
          <a:solidFill>
            <a:srgbClr val="1E6E3C"/>
          </a:solidFill>
        </c:spPr>
        <c:marker>
          <c:symbol val="none"/>
        </c:marker>
        <c:dLbl>
          <c:idx val="0"/>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Pivot!$I$2</c:f>
              <c:strCache>
                <c:ptCount val="1"/>
                <c:pt idx="0">
                  <c:v>Total</c:v>
                </c:pt>
              </c:strCache>
            </c:strRef>
          </c:tx>
          <c:spPr>
            <a:solidFill>
              <a:srgbClr val="1E6E3C"/>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Pivot!$H$3:$H$13</c:f>
              <c:multiLvlStrCache>
                <c:ptCount val="8"/>
                <c:lvl>
                  <c:pt idx="0">
                    <c:v>Qtr1</c:v>
                  </c:pt>
                  <c:pt idx="1">
                    <c:v>Qtr2</c:v>
                  </c:pt>
                  <c:pt idx="2">
                    <c:v>Qtr3</c:v>
                  </c:pt>
                  <c:pt idx="3">
                    <c:v>Qtr4</c:v>
                  </c:pt>
                  <c:pt idx="4">
                    <c:v>Qtr1</c:v>
                  </c:pt>
                  <c:pt idx="5">
                    <c:v>Qtr2</c:v>
                  </c:pt>
                  <c:pt idx="6">
                    <c:v>Qtr3</c:v>
                  </c:pt>
                  <c:pt idx="7">
                    <c:v>Qtr4</c:v>
                  </c:pt>
                </c:lvl>
                <c:lvl>
                  <c:pt idx="0">
                    <c:v>2024</c:v>
                  </c:pt>
                  <c:pt idx="4">
                    <c:v>2025</c:v>
                  </c:pt>
                </c:lvl>
              </c:multiLvlStrCache>
            </c:multiLvlStrRef>
          </c:cat>
          <c:val>
            <c:numRef>
              <c:f>Pivot!$I$3:$I$13</c:f>
              <c:numCache>
                <c:formatCode>#,##0</c:formatCode>
                <c:ptCount val="8"/>
                <c:pt idx="0">
                  <c:v>262</c:v>
                </c:pt>
                <c:pt idx="1">
                  <c:v>262</c:v>
                </c:pt>
                <c:pt idx="2">
                  <c:v>238</c:v>
                </c:pt>
                <c:pt idx="3">
                  <c:v>260</c:v>
                </c:pt>
                <c:pt idx="4">
                  <c:v>223</c:v>
                </c:pt>
                <c:pt idx="5">
                  <c:v>229</c:v>
                </c:pt>
                <c:pt idx="6">
                  <c:v>255</c:v>
                </c:pt>
                <c:pt idx="7">
                  <c:v>271</c:v>
                </c:pt>
              </c:numCache>
            </c:numRef>
          </c:val>
          <c:extLst>
            <c:ext xmlns:c16="http://schemas.microsoft.com/office/drawing/2014/chart" uri="{C3380CC4-5D6E-409C-BE32-E72D297353CC}">
              <c16:uniqueId val="{00000002-5902-47A4-B358-C85E712FAC6A}"/>
            </c:ext>
          </c:extLst>
        </c:ser>
        <c:dLbls>
          <c:showLegendKey val="0"/>
          <c:showVal val="0"/>
          <c:showCatName val="0"/>
          <c:showSerName val="0"/>
          <c:showPercent val="0"/>
          <c:showBubbleSize val="0"/>
        </c:dLbls>
        <c:gapWidth val="150"/>
        <c:axId val="1881804911"/>
        <c:axId val="1881771311"/>
      </c:barChart>
      <c:catAx>
        <c:axId val="1881804911"/>
        <c:scaling>
          <c:orientation val="minMax"/>
        </c:scaling>
        <c:delete val="0"/>
        <c:axPos val="b"/>
        <c:numFmt formatCode="General" sourceLinked="1"/>
        <c:majorTickMark val="out"/>
        <c:minorTickMark val="none"/>
        <c:tickLblPos val="nextTo"/>
        <c:txPr>
          <a:bodyPr/>
          <a:lstStyle/>
          <a:p>
            <a:pPr>
              <a:defRPr sz="900">
                <a:latin typeface="Calibri"/>
                <a:ea typeface="Calibri"/>
                <a:cs typeface="Calibri"/>
              </a:defRPr>
            </a:pPr>
            <a:endParaRPr lang="en-US"/>
          </a:p>
        </c:txPr>
        <c:crossAx val="1881771311"/>
        <c:crosses val="autoZero"/>
        <c:auto val="1"/>
        <c:lblAlgn val="ctr"/>
        <c:lblOffset val="100"/>
        <c:noMultiLvlLbl val="0"/>
      </c:catAx>
      <c:valAx>
        <c:axId val="1881771311"/>
        <c:scaling>
          <c:orientation val="minMax"/>
        </c:scaling>
        <c:delete val="0"/>
        <c:axPos val="l"/>
        <c:numFmt formatCode="#,##0" sourceLinked="0"/>
        <c:majorTickMark val="out"/>
        <c:minorTickMark val="none"/>
        <c:tickLblPos val="nextTo"/>
        <c:txPr>
          <a:bodyPr/>
          <a:lstStyle/>
          <a:p>
            <a:pPr>
              <a:defRPr sz="800"/>
            </a:pPr>
            <a:endParaRPr lang="en-US"/>
          </a:p>
        </c:txPr>
        <c:crossAx val="1881804911"/>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EF8F0"/>
    </a:solidFill>
    <a:ln w="3175">
      <a:solidFill>
        <a:srgbClr val="1E6E3C"/>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[Premium_HR_Analytics_Dataset_2000_Rows.xlsm]Pivot!PT_Department</c:name>
    <c:fmtId val="1"/>
  </c:pivotSource>
  <c:chart>
    <c:title>
      <c:tx>
        <c:rich>
          <a:bodyPr/>
          <a:lstStyle/>
          <a:p>
            <a:pPr>
              <a:defRPr sz="1100" b="1">
                <a:solidFill>
                  <a:srgbClr val="1E6E3C"/>
                </a:solidFill>
                <a:latin typeface="Calibri"/>
                <a:ea typeface="Calibri"/>
                <a:cs typeface="Calibri"/>
              </a:defRPr>
            </a:pPr>
            <a:r>
              <a:rPr lang="en-US"/>
              <a:t>Headcount by Department</a:t>
            </a:r>
          </a:p>
        </c:rich>
      </c:tx>
      <c:overlay val="0"/>
    </c:title>
    <c:autoTitleDeleted val="0"/>
    <c:pivotFmts>
      <c:pivotFmt>
        <c:idx val="0"/>
        <c:spPr>
          <a:solidFill>
            <a:srgbClr val="1E6E3C"/>
          </a:solidFill>
        </c:spPr>
        <c:marker>
          <c:symbol val="none"/>
        </c:marker>
        <c:dLbl>
          <c:idx val="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c:f>
              <c:strCache>
                <c:ptCount val="1"/>
                <c:pt idx="0">
                  <c:v>Total</c:v>
                </c:pt>
              </c:strCache>
            </c:strRef>
          </c:tx>
          <c:spPr>
            <a:solidFill>
              <a:srgbClr val="1E6E3C"/>
            </a:solidFill>
          </c:spPr>
          <c:invertIfNegative val="0"/>
          <c:dLbls>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Pivot!$A$3:$A$12</c:f>
              <c:strCache>
                <c:ptCount val="9"/>
                <c:pt idx="0">
                  <c:v>Administration</c:v>
                </c:pt>
                <c:pt idx="1">
                  <c:v>Finance</c:v>
                </c:pt>
                <c:pt idx="2">
                  <c:v>HR</c:v>
                </c:pt>
                <c:pt idx="3">
                  <c:v>IT</c:v>
                </c:pt>
                <c:pt idx="4">
                  <c:v>Marketing</c:v>
                </c:pt>
                <c:pt idx="5">
                  <c:v>Operations</c:v>
                </c:pt>
                <c:pt idx="6">
                  <c:v>Procurement</c:v>
                </c:pt>
                <c:pt idx="7">
                  <c:v>Sales</c:v>
                </c:pt>
                <c:pt idx="8">
                  <c:v>Support</c:v>
                </c:pt>
              </c:strCache>
            </c:strRef>
          </c:cat>
          <c:val>
            <c:numRef>
              <c:f>Pivot!$B$3:$B$12</c:f>
              <c:numCache>
                <c:formatCode>#,##0</c:formatCode>
                <c:ptCount val="9"/>
                <c:pt idx="0">
                  <c:v>231</c:v>
                </c:pt>
                <c:pt idx="1">
                  <c:v>216</c:v>
                </c:pt>
                <c:pt idx="2">
                  <c:v>205</c:v>
                </c:pt>
                <c:pt idx="3">
                  <c:v>245</c:v>
                </c:pt>
                <c:pt idx="4">
                  <c:v>237</c:v>
                </c:pt>
                <c:pt idx="5">
                  <c:v>216</c:v>
                </c:pt>
                <c:pt idx="6">
                  <c:v>216</c:v>
                </c:pt>
                <c:pt idx="7">
                  <c:v>228</c:v>
                </c:pt>
                <c:pt idx="8">
                  <c:v>206</c:v>
                </c:pt>
              </c:numCache>
            </c:numRef>
          </c:val>
          <c:extLst>
            <c:ext xmlns:c16="http://schemas.microsoft.com/office/drawing/2014/chart" uri="{C3380CC4-5D6E-409C-BE32-E72D297353CC}">
              <c16:uniqueId val="{00000002-5AC7-4F70-9AAA-87F278FFBE86}"/>
            </c:ext>
          </c:extLst>
        </c:ser>
        <c:dLbls>
          <c:showLegendKey val="0"/>
          <c:showVal val="0"/>
          <c:showCatName val="0"/>
          <c:showSerName val="0"/>
          <c:showPercent val="0"/>
          <c:showBubbleSize val="0"/>
        </c:dLbls>
        <c:gapWidth val="150"/>
        <c:axId val="1884136447"/>
        <c:axId val="1884116767"/>
      </c:barChart>
      <c:catAx>
        <c:axId val="1884136447"/>
        <c:scaling>
          <c:orientation val="minMax"/>
        </c:scaling>
        <c:delete val="0"/>
        <c:axPos val="b"/>
        <c:numFmt formatCode="General" sourceLinked="1"/>
        <c:majorTickMark val="out"/>
        <c:minorTickMark val="none"/>
        <c:tickLblPos val="nextTo"/>
        <c:txPr>
          <a:bodyPr rot="1500000" vert="horz"/>
          <a:lstStyle/>
          <a:p>
            <a:pPr>
              <a:defRPr sz="800">
                <a:latin typeface="Calibri"/>
                <a:ea typeface="Calibri"/>
                <a:cs typeface="Calibri"/>
              </a:defRPr>
            </a:pPr>
            <a:endParaRPr lang="en-US"/>
          </a:p>
        </c:txPr>
        <c:crossAx val="1884116767"/>
        <c:crosses val="autoZero"/>
        <c:auto val="1"/>
        <c:lblAlgn val="ctr"/>
        <c:lblOffset val="100"/>
        <c:noMultiLvlLbl val="0"/>
      </c:catAx>
      <c:valAx>
        <c:axId val="1884116767"/>
        <c:scaling>
          <c:orientation val="minMax"/>
        </c:scaling>
        <c:delete val="0"/>
        <c:axPos val="l"/>
        <c:numFmt formatCode="#,##0" sourceLinked="0"/>
        <c:majorTickMark val="out"/>
        <c:minorTickMark val="none"/>
        <c:tickLblPos val="nextTo"/>
        <c:txPr>
          <a:bodyPr/>
          <a:lstStyle/>
          <a:p>
            <a:pPr>
              <a:defRPr sz="800"/>
            </a:pPr>
            <a:endParaRPr lang="en-US"/>
          </a:p>
        </c:txPr>
        <c:crossAx val="1884136447"/>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EF8F0"/>
    </a:solidFill>
    <a:ln w="3175">
      <a:solidFill>
        <a:srgbClr val="1E6E3C"/>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[Premium_HR_Analytics_Dataset_2000_Rows.xlsm]Pivot!PT_EmploymentStatus</c:name>
    <c:fmtId val="1"/>
  </c:pivotSource>
  <c:chart>
    <c:title>
      <c:tx>
        <c:rich>
          <a:bodyPr/>
          <a:lstStyle/>
          <a:p>
            <a:pPr>
              <a:defRPr sz="1100" b="1">
                <a:solidFill>
                  <a:srgbClr val="1E6E3C"/>
                </a:solidFill>
                <a:latin typeface="Calibri"/>
                <a:ea typeface="Calibri"/>
                <a:cs typeface="Calibri"/>
              </a:defRPr>
            </a:pPr>
            <a:r>
              <a:rPr lang="en-US"/>
              <a:t>Employment Status</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E6E3C"/>
          </a:solidFill>
        </c:spPr>
      </c:pivotFmt>
      <c:pivotFmt>
        <c:idx val="2"/>
        <c:spPr>
          <a:solidFill>
            <a:srgbClr val="E6A844"/>
          </a:solidFill>
        </c:spPr>
      </c:pivotFmt>
    </c:pivotFmts>
    <c:plotArea>
      <c:layout/>
      <c:barChart>
        <c:barDir val="bar"/>
        <c:grouping val="clustered"/>
        <c:varyColors val="0"/>
        <c:ser>
          <c:idx val="0"/>
          <c:order val="0"/>
          <c:tx>
            <c:strRef>
              <c:f>Pivot!$L$2</c:f>
              <c:strCache>
                <c:ptCount val="1"/>
                <c:pt idx="0">
                  <c:v>Total</c:v>
                </c:pt>
              </c:strCache>
            </c:strRef>
          </c:tx>
          <c:invertIfNegative val="0"/>
          <c:dPt>
            <c:idx val="0"/>
            <c:invertIfNegative val="0"/>
            <c:bubble3D val="0"/>
            <c:spPr>
              <a:solidFill>
                <a:srgbClr val="1E6E3C"/>
              </a:solidFill>
            </c:spPr>
            <c:extLst>
              <c:ext xmlns:c16="http://schemas.microsoft.com/office/drawing/2014/chart" uri="{C3380CC4-5D6E-409C-BE32-E72D297353CC}">
                <c16:uniqueId val="{00000003-FE51-4419-8613-F8EFFD46EA82}"/>
              </c:ext>
            </c:extLst>
          </c:dPt>
          <c:dPt>
            <c:idx val="1"/>
            <c:invertIfNegative val="0"/>
            <c:bubble3D val="0"/>
            <c:spPr>
              <a:solidFill>
                <a:srgbClr val="E6A844"/>
              </a:solidFill>
            </c:spPr>
            <c:extLst>
              <c:ext xmlns:c16="http://schemas.microsoft.com/office/drawing/2014/chart" uri="{C3380CC4-5D6E-409C-BE32-E72D297353CC}">
                <c16:uniqueId val="{00000004-FE51-4419-8613-F8EFFD46EA82}"/>
              </c:ext>
            </c:extLst>
          </c:dPt>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Pivot!$K$3:$K$5</c:f>
              <c:strCache>
                <c:ptCount val="2"/>
                <c:pt idx="0">
                  <c:v>Active</c:v>
                </c:pt>
                <c:pt idx="1">
                  <c:v>Resigned</c:v>
                </c:pt>
              </c:strCache>
            </c:strRef>
          </c:cat>
          <c:val>
            <c:numRef>
              <c:f>Pivot!$L$3:$L$5</c:f>
              <c:numCache>
                <c:formatCode>#,##0</c:formatCode>
                <c:ptCount val="2"/>
                <c:pt idx="0">
                  <c:v>1810</c:v>
                </c:pt>
                <c:pt idx="1">
                  <c:v>190</c:v>
                </c:pt>
              </c:numCache>
            </c:numRef>
          </c:val>
          <c:extLst>
            <c:ext xmlns:c16="http://schemas.microsoft.com/office/drawing/2014/chart" uri="{C3380CC4-5D6E-409C-BE32-E72D297353CC}">
              <c16:uniqueId val="{00000002-FE51-4419-8613-F8EFFD46EA82}"/>
            </c:ext>
          </c:extLst>
        </c:ser>
        <c:dLbls>
          <c:showLegendKey val="0"/>
          <c:showVal val="0"/>
          <c:showCatName val="0"/>
          <c:showSerName val="0"/>
          <c:showPercent val="0"/>
          <c:showBubbleSize val="0"/>
        </c:dLbls>
        <c:gapWidth val="150"/>
        <c:axId val="1884128287"/>
        <c:axId val="1884119167"/>
      </c:barChart>
      <c:catAx>
        <c:axId val="1884128287"/>
        <c:scaling>
          <c:orientation val="minMax"/>
        </c:scaling>
        <c:delete val="0"/>
        <c:axPos val="l"/>
        <c:numFmt formatCode="General" sourceLinked="1"/>
        <c:majorTickMark val="out"/>
        <c:minorTickMark val="none"/>
        <c:tickLblPos val="nextTo"/>
        <c:txPr>
          <a:bodyPr/>
          <a:lstStyle/>
          <a:p>
            <a:pPr>
              <a:defRPr sz="800"/>
            </a:pPr>
            <a:endParaRPr lang="en-US"/>
          </a:p>
        </c:txPr>
        <c:crossAx val="1884119167"/>
        <c:crosses val="autoZero"/>
        <c:auto val="1"/>
        <c:lblAlgn val="ctr"/>
        <c:lblOffset val="100"/>
        <c:noMultiLvlLbl val="0"/>
      </c:catAx>
      <c:valAx>
        <c:axId val="1884119167"/>
        <c:scaling>
          <c:orientation val="minMax"/>
        </c:scaling>
        <c:delete val="0"/>
        <c:axPos val="b"/>
        <c:numFmt formatCode="#,##0" sourceLinked="0"/>
        <c:majorTickMark val="out"/>
        <c:minorTickMark val="none"/>
        <c:tickLblPos val="nextTo"/>
        <c:txPr>
          <a:bodyPr/>
          <a:lstStyle/>
          <a:p>
            <a:pPr>
              <a:defRPr sz="800"/>
            </a:pPr>
            <a:endParaRPr lang="en-US"/>
          </a:p>
        </c:txPr>
        <c:crossAx val="1884128287"/>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EF8F0"/>
    </a:solidFill>
    <a:ln w="3175">
      <a:solidFill>
        <a:srgbClr val="1E6E3C"/>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[Premium_HR_Analytics_Dataset_2000_Rows.xlsm]Pivot!PT_Designation</c:name>
    <c:fmtId val="1"/>
  </c:pivotSource>
  <c:chart>
    <c:title>
      <c:tx>
        <c:rich>
          <a:bodyPr/>
          <a:lstStyle/>
          <a:p>
            <a:pPr>
              <a:defRPr sz="1100" b="1">
                <a:solidFill>
                  <a:srgbClr val="1E6E3C"/>
                </a:solidFill>
                <a:latin typeface="Calibri"/>
                <a:ea typeface="Calibri"/>
                <a:cs typeface="Calibri"/>
              </a:defRPr>
            </a:pPr>
            <a:r>
              <a:rPr lang="en-US"/>
              <a:t>Avg Salary &amp; Bonus by Designation</a:t>
            </a:r>
          </a:p>
        </c:rich>
      </c:tx>
      <c:overlay val="0"/>
    </c:title>
    <c:autoTitleDeleted val="0"/>
    <c:pivotFmts>
      <c:pivotFmt>
        <c:idx val="0"/>
        <c:spPr>
          <a:solidFill>
            <a:srgbClr val="1E6E3C"/>
          </a:solidFill>
        </c:spPr>
        <c:marker>
          <c:symbol val="none"/>
        </c:marker>
        <c:dLbl>
          <c:idx val="0"/>
          <c:delete val="1"/>
          <c:extLst>
            <c:ext xmlns:c15="http://schemas.microsoft.com/office/drawing/2012/chart" uri="{CE6537A1-D6FC-4f65-9D91-7224C49458BB}"/>
          </c:extLst>
        </c:dLbl>
      </c:pivotFmt>
      <c:pivotFmt>
        <c:idx val="1"/>
        <c:spPr>
          <a:ln w="28575">
            <a:solidFill>
              <a:srgbClr val="E6A844"/>
            </a:solidFill>
          </a:ln>
        </c:spPr>
        <c:marker>
          <c:symbol val="circle"/>
          <c:size val="6"/>
          <c:spPr>
            <a:ln w="28575">
              <a:solidFill>
                <a:srgbClr val="E6A844"/>
              </a:solidFill>
            </a:ln>
          </c:spPr>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Pivot!$R$2</c:f>
              <c:strCache>
                <c:ptCount val="1"/>
                <c:pt idx="0">
                  <c:v>Avg Salary</c:v>
                </c:pt>
              </c:strCache>
            </c:strRef>
          </c:tx>
          <c:spPr>
            <a:solidFill>
              <a:srgbClr val="1E6E3C"/>
            </a:solidFill>
          </c:spPr>
          <c:invertIfNegative val="0"/>
          <c:cat>
            <c:strRef>
              <c:f>Pivot!$Q$3:$Q$11</c:f>
              <c:strCache>
                <c:ptCount val="8"/>
                <c:pt idx="0">
                  <c:v>Assistant</c:v>
                </c:pt>
                <c:pt idx="1">
                  <c:v>Executive</c:v>
                </c:pt>
                <c:pt idx="2">
                  <c:v>Intern</c:v>
                </c:pt>
                <c:pt idx="3">
                  <c:v>Manager</c:v>
                </c:pt>
                <c:pt idx="4">
                  <c:v>Sr Executive</c:v>
                </c:pt>
                <c:pt idx="5">
                  <c:v>Sr Manager</c:v>
                </c:pt>
                <c:pt idx="6">
                  <c:v>Supervisor</c:v>
                </c:pt>
                <c:pt idx="7">
                  <c:v>Team Lead</c:v>
                </c:pt>
              </c:strCache>
            </c:strRef>
          </c:cat>
          <c:val>
            <c:numRef>
              <c:f>Pivot!$R$3:$R$11</c:f>
              <c:numCache>
                <c:formatCode>#,##0.00</c:formatCode>
                <c:ptCount val="8"/>
                <c:pt idx="0">
                  <c:v>144759.34126984127</c:v>
                </c:pt>
                <c:pt idx="1">
                  <c:v>143212.4842519685</c:v>
                </c:pt>
                <c:pt idx="2">
                  <c:v>138348.78823529411</c:v>
                </c:pt>
                <c:pt idx="3">
                  <c:v>139728.11489361702</c:v>
                </c:pt>
                <c:pt idx="4">
                  <c:v>137213.75203252034</c:v>
                </c:pt>
                <c:pt idx="5">
                  <c:v>132719.17424242425</c:v>
                </c:pt>
                <c:pt idx="6">
                  <c:v>138584.16269841269</c:v>
                </c:pt>
                <c:pt idx="7">
                  <c:v>142251.40495867768</c:v>
                </c:pt>
              </c:numCache>
            </c:numRef>
          </c:val>
          <c:extLst>
            <c:ext xmlns:c16="http://schemas.microsoft.com/office/drawing/2014/chart" uri="{C3380CC4-5D6E-409C-BE32-E72D297353CC}">
              <c16:uniqueId val="{00000002-6490-4026-B677-D64693DFE348}"/>
            </c:ext>
          </c:extLst>
        </c:ser>
        <c:dLbls>
          <c:showLegendKey val="0"/>
          <c:showVal val="0"/>
          <c:showCatName val="0"/>
          <c:showSerName val="0"/>
          <c:showPercent val="0"/>
          <c:showBubbleSize val="0"/>
        </c:dLbls>
        <c:gapWidth val="150"/>
        <c:axId val="1886177311"/>
        <c:axId val="1886178271"/>
      </c:barChart>
      <c:lineChart>
        <c:grouping val="standard"/>
        <c:varyColors val="0"/>
        <c:ser>
          <c:idx val="1"/>
          <c:order val="1"/>
          <c:tx>
            <c:strRef>
              <c:f>Pivot!$S$2</c:f>
              <c:strCache>
                <c:ptCount val="1"/>
                <c:pt idx="0">
                  <c:v>Avg Bonus</c:v>
                </c:pt>
              </c:strCache>
            </c:strRef>
          </c:tx>
          <c:spPr>
            <a:ln w="28575">
              <a:solidFill>
                <a:srgbClr val="E6A844"/>
              </a:solidFill>
            </a:ln>
          </c:spPr>
          <c:marker>
            <c:symbol val="circle"/>
            <c:size val="6"/>
            <c:spPr>
              <a:ln w="28575">
                <a:solidFill>
                  <a:srgbClr val="E6A844"/>
                </a:solidFill>
              </a:ln>
            </c:spPr>
          </c:marker>
          <c:cat>
            <c:strRef>
              <c:f>Pivot!$Q$3:$Q$11</c:f>
              <c:strCache>
                <c:ptCount val="8"/>
                <c:pt idx="0">
                  <c:v>Assistant</c:v>
                </c:pt>
                <c:pt idx="1">
                  <c:v>Executive</c:v>
                </c:pt>
                <c:pt idx="2">
                  <c:v>Intern</c:v>
                </c:pt>
                <c:pt idx="3">
                  <c:v>Manager</c:v>
                </c:pt>
                <c:pt idx="4">
                  <c:v>Sr Executive</c:v>
                </c:pt>
                <c:pt idx="5">
                  <c:v>Sr Manager</c:v>
                </c:pt>
                <c:pt idx="6">
                  <c:v>Supervisor</c:v>
                </c:pt>
                <c:pt idx="7">
                  <c:v>Team Lead</c:v>
                </c:pt>
              </c:strCache>
            </c:strRef>
          </c:cat>
          <c:val>
            <c:numRef>
              <c:f>Pivot!$S$3:$S$11</c:f>
              <c:numCache>
                <c:formatCode>#,##0.00</c:formatCode>
                <c:ptCount val="8"/>
                <c:pt idx="0">
                  <c:v>26830.349206349205</c:v>
                </c:pt>
                <c:pt idx="1">
                  <c:v>28265.437007874014</c:v>
                </c:pt>
                <c:pt idx="2">
                  <c:v>27330.301960784313</c:v>
                </c:pt>
                <c:pt idx="3">
                  <c:v>28294.089361702128</c:v>
                </c:pt>
                <c:pt idx="4">
                  <c:v>26113.4918699187</c:v>
                </c:pt>
                <c:pt idx="5">
                  <c:v>26975.33712121212</c:v>
                </c:pt>
                <c:pt idx="6">
                  <c:v>27033.242063492064</c:v>
                </c:pt>
                <c:pt idx="7">
                  <c:v>26746.442148760332</c:v>
                </c:pt>
              </c:numCache>
            </c:numRef>
          </c:val>
          <c:smooth val="0"/>
          <c:extLst>
            <c:ext xmlns:c16="http://schemas.microsoft.com/office/drawing/2014/chart" uri="{C3380CC4-5D6E-409C-BE32-E72D297353CC}">
              <c16:uniqueId val="{00000003-6490-4026-B677-D64693DFE348}"/>
            </c:ext>
          </c:extLst>
        </c:ser>
        <c:dLbls>
          <c:showLegendKey val="0"/>
          <c:showVal val="0"/>
          <c:showCatName val="0"/>
          <c:showSerName val="0"/>
          <c:showPercent val="0"/>
          <c:showBubbleSize val="0"/>
        </c:dLbls>
        <c:marker val="1"/>
        <c:smooth val="0"/>
        <c:axId val="1886181151"/>
        <c:axId val="1886171071"/>
      </c:lineChart>
      <c:catAx>
        <c:axId val="1886177311"/>
        <c:scaling>
          <c:orientation val="minMax"/>
        </c:scaling>
        <c:delete val="0"/>
        <c:axPos val="b"/>
        <c:numFmt formatCode="General" sourceLinked="1"/>
        <c:majorTickMark val="out"/>
        <c:minorTickMark val="none"/>
        <c:tickLblPos val="nextTo"/>
        <c:txPr>
          <a:bodyPr rot="1500000" vert="horz"/>
          <a:lstStyle/>
          <a:p>
            <a:pPr>
              <a:defRPr sz="800">
                <a:latin typeface="Calibri"/>
                <a:ea typeface="Calibri"/>
                <a:cs typeface="Calibri"/>
              </a:defRPr>
            </a:pPr>
            <a:endParaRPr lang="en-US"/>
          </a:p>
        </c:txPr>
        <c:crossAx val="1886178271"/>
        <c:crosses val="autoZero"/>
        <c:auto val="1"/>
        <c:lblAlgn val="ctr"/>
        <c:lblOffset val="100"/>
        <c:noMultiLvlLbl val="0"/>
      </c:catAx>
      <c:valAx>
        <c:axId val="1886178271"/>
        <c:scaling>
          <c:orientation val="minMax"/>
        </c:scaling>
        <c:delete val="0"/>
        <c:axPos val="l"/>
        <c:numFmt formatCode="#,##0" sourceLinked="0"/>
        <c:majorTickMark val="out"/>
        <c:minorTickMark val="none"/>
        <c:tickLblPos val="nextTo"/>
        <c:txPr>
          <a:bodyPr/>
          <a:lstStyle/>
          <a:p>
            <a:pPr>
              <a:defRPr sz="800"/>
            </a:pPr>
            <a:endParaRPr lang="en-US"/>
          </a:p>
        </c:txPr>
        <c:crossAx val="1886177311"/>
        <c:crosses val="autoZero"/>
        <c:crossBetween val="between"/>
      </c:valAx>
      <c:valAx>
        <c:axId val="1886171071"/>
        <c:scaling>
          <c:orientation val="minMax"/>
        </c:scaling>
        <c:delete val="0"/>
        <c:axPos val="r"/>
        <c:numFmt formatCode="#,##0" sourceLinked="0"/>
        <c:majorTickMark val="out"/>
        <c:minorTickMark val="none"/>
        <c:tickLblPos val="nextTo"/>
        <c:txPr>
          <a:bodyPr/>
          <a:lstStyle/>
          <a:p>
            <a:pPr>
              <a:defRPr sz="800"/>
            </a:pPr>
            <a:endParaRPr lang="en-US"/>
          </a:p>
        </c:txPr>
        <c:crossAx val="1886181151"/>
        <c:crosses val="max"/>
        <c:crossBetween val="between"/>
      </c:valAx>
      <c:catAx>
        <c:axId val="1886181151"/>
        <c:scaling>
          <c:orientation val="minMax"/>
        </c:scaling>
        <c:delete val="1"/>
        <c:axPos val="b"/>
        <c:numFmt formatCode="General" sourceLinked="1"/>
        <c:majorTickMark val="out"/>
        <c:minorTickMark val="none"/>
        <c:tickLblPos val="nextTo"/>
        <c:crossAx val="1886171071"/>
        <c:auto val="1"/>
        <c:lblAlgn val="ctr"/>
        <c:lblOffset val="100"/>
        <c:noMultiLvlLbl val="0"/>
      </c:catAx>
      <c:spPr>
        <a:noFill/>
        <a:ln w="25400">
          <a:noFill/>
        </a:ln>
      </c:spPr>
    </c:plotArea>
    <c:legend>
      <c:legendPos val="b"/>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EF8F0"/>
    </a:solidFill>
    <a:ln w="3175">
      <a:solidFill>
        <a:srgbClr val="1E6E3C"/>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[Premium_HR_Analytics_Dataset_2000_Rows.xlsm]Pivot!PT_AttritionReason</c:name>
    <c:fmtId val="1"/>
  </c:pivotSource>
  <c:chart>
    <c:title>
      <c:tx>
        <c:rich>
          <a:bodyPr/>
          <a:lstStyle/>
          <a:p>
            <a:pPr>
              <a:defRPr sz="1100" b="1">
                <a:solidFill>
                  <a:srgbClr val="1E6E3C"/>
                </a:solidFill>
                <a:latin typeface="Calibri"/>
                <a:ea typeface="Calibri"/>
                <a:cs typeface="Calibri"/>
              </a:defRPr>
            </a:pPr>
            <a:r>
              <a:rPr lang="en-US"/>
              <a:t>Attrition Reason Breakdown</a:t>
            </a:r>
          </a:p>
        </c:rich>
      </c:tx>
      <c:overlay val="0"/>
    </c:title>
    <c:autoTitleDeleted val="0"/>
    <c:pivotFmts>
      <c:pivotFmt>
        <c:idx val="0"/>
        <c:spPr>
          <a:solidFill>
            <a:srgbClr val="2D8C8C"/>
          </a:solidFill>
        </c:spPr>
        <c:marker>
          <c:symbol val="none"/>
        </c:marker>
        <c:dLbl>
          <c:idx val="0"/>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Pivot!$AB$2</c:f>
              <c:strCache>
                <c:ptCount val="1"/>
                <c:pt idx="0">
                  <c:v>Total</c:v>
                </c:pt>
              </c:strCache>
            </c:strRef>
          </c:tx>
          <c:spPr>
            <a:solidFill>
              <a:srgbClr val="2D8C8C"/>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Pivot!$AA$3:$AA$8</c:f>
              <c:strCache>
                <c:ptCount val="5"/>
                <c:pt idx="0">
                  <c:v>Better Opportunity</c:v>
                </c:pt>
                <c:pt idx="1">
                  <c:v>Higher Studies</c:v>
                </c:pt>
                <c:pt idx="2">
                  <c:v>Performance</c:v>
                </c:pt>
                <c:pt idx="3">
                  <c:v>Personal</c:v>
                </c:pt>
                <c:pt idx="4">
                  <c:v>Relocation</c:v>
                </c:pt>
              </c:strCache>
            </c:strRef>
          </c:cat>
          <c:val>
            <c:numRef>
              <c:f>Pivot!$AB$3:$AB$8</c:f>
              <c:numCache>
                <c:formatCode>#,##0</c:formatCode>
                <c:ptCount val="5"/>
                <c:pt idx="0">
                  <c:v>39</c:v>
                </c:pt>
                <c:pt idx="1">
                  <c:v>36</c:v>
                </c:pt>
                <c:pt idx="2">
                  <c:v>43</c:v>
                </c:pt>
                <c:pt idx="3">
                  <c:v>40</c:v>
                </c:pt>
                <c:pt idx="4">
                  <c:v>32</c:v>
                </c:pt>
              </c:numCache>
            </c:numRef>
          </c:val>
          <c:extLst>
            <c:ext xmlns:c16="http://schemas.microsoft.com/office/drawing/2014/chart" uri="{C3380CC4-5D6E-409C-BE32-E72D297353CC}">
              <c16:uniqueId val="{00000002-D119-4491-96CB-42D71952F6D9}"/>
            </c:ext>
          </c:extLst>
        </c:ser>
        <c:dLbls>
          <c:showLegendKey val="0"/>
          <c:showVal val="0"/>
          <c:showCatName val="0"/>
          <c:showSerName val="0"/>
          <c:showPercent val="0"/>
          <c:showBubbleSize val="0"/>
        </c:dLbls>
        <c:gapWidth val="150"/>
        <c:axId val="1962297887"/>
        <c:axId val="1962284447"/>
      </c:barChart>
      <c:catAx>
        <c:axId val="1962297887"/>
        <c:scaling>
          <c:orientation val="minMax"/>
        </c:scaling>
        <c:delete val="0"/>
        <c:axPos val="l"/>
        <c:numFmt formatCode="General" sourceLinked="1"/>
        <c:majorTickMark val="out"/>
        <c:minorTickMark val="none"/>
        <c:tickLblPos val="nextTo"/>
        <c:txPr>
          <a:bodyPr/>
          <a:lstStyle/>
          <a:p>
            <a:pPr>
              <a:defRPr sz="800">
                <a:latin typeface="Calibri"/>
                <a:ea typeface="Calibri"/>
                <a:cs typeface="Calibri"/>
              </a:defRPr>
            </a:pPr>
            <a:endParaRPr lang="en-US"/>
          </a:p>
        </c:txPr>
        <c:crossAx val="1962284447"/>
        <c:crosses val="autoZero"/>
        <c:auto val="1"/>
        <c:lblAlgn val="ctr"/>
        <c:lblOffset val="100"/>
        <c:noMultiLvlLbl val="0"/>
      </c:catAx>
      <c:valAx>
        <c:axId val="1962284447"/>
        <c:scaling>
          <c:orientation val="minMax"/>
        </c:scaling>
        <c:delete val="0"/>
        <c:axPos val="b"/>
        <c:numFmt formatCode="#,##0" sourceLinked="0"/>
        <c:majorTickMark val="out"/>
        <c:minorTickMark val="none"/>
        <c:tickLblPos val="nextTo"/>
        <c:txPr>
          <a:bodyPr/>
          <a:lstStyle/>
          <a:p>
            <a:pPr>
              <a:defRPr sz="800"/>
            </a:pPr>
            <a:endParaRPr lang="en-US"/>
          </a:p>
        </c:txPr>
        <c:crossAx val="1962297887"/>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EF8F0"/>
    </a:solidFill>
    <a:ln w="3175">
      <a:solidFill>
        <a:srgbClr val="1E6E3C"/>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28</xdr:col>
      <xdr:colOff>539750</xdr:colOff>
      <xdr:row>3</xdr:row>
      <xdr:rowOff>12700</xdr:rowOff>
    </xdr:from>
    <xdr:to>
      <xdr:col>31</xdr:col>
      <xdr:colOff>342900</xdr:colOff>
      <xdr:row>5</xdr:row>
      <xdr:rowOff>177800</xdr:rowOff>
    </xdr:to>
    <xdr:sp macro="[0]!CleanAndFormatData.CleanAndFormatData" textlink="">
      <xdr:nvSpPr>
        <xdr:cNvPr id="2" name="Rectangle: Rounded Corners 1">
          <a:extLst>
            <a:ext uri="{FF2B5EF4-FFF2-40B4-BE49-F238E27FC236}">
              <a16:creationId xmlns:a16="http://schemas.microsoft.com/office/drawing/2014/main" id="{DBE6623C-F0F0-4D09-7FA5-4E415767BB4F}"/>
            </a:ext>
          </a:extLst>
        </xdr:cNvPr>
        <xdr:cNvSpPr/>
      </xdr:nvSpPr>
      <xdr:spPr>
        <a:xfrm>
          <a:off x="17608550" y="565150"/>
          <a:ext cx="1631950" cy="533400"/>
        </a:xfrm>
        <a:prstGeom prst="roundRect">
          <a:avLst/>
        </a:prstGeom>
        <a:solidFill>
          <a:srgbClr val="0066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latin typeface="Amasis MT Pro Black" panose="02040A04050005020304" pitchFamily="18" charset="0"/>
            </a:rPr>
            <a:t>Data Clean &amp; Format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8</xdr:row>
      <xdr:rowOff>120650</xdr:rowOff>
    </xdr:from>
    <xdr:to>
      <xdr:col>12</xdr:col>
      <xdr:colOff>19050</xdr:colOff>
      <xdr:row>11</xdr:row>
      <xdr:rowOff>177800</xdr:rowOff>
    </xdr:to>
    <xdr:sp macro="[0]!CreatePivotSheets" textlink="">
      <xdr:nvSpPr>
        <xdr:cNvPr id="2" name="Rectangle: Rounded Corners 1">
          <a:extLst>
            <a:ext uri="{FF2B5EF4-FFF2-40B4-BE49-F238E27FC236}">
              <a16:creationId xmlns:a16="http://schemas.microsoft.com/office/drawing/2014/main" id="{9101EA8B-D03F-0D5C-5DA8-E05B5FCAE66C}"/>
            </a:ext>
          </a:extLst>
        </xdr:cNvPr>
        <xdr:cNvSpPr/>
      </xdr:nvSpPr>
      <xdr:spPr>
        <a:xfrm>
          <a:off x="7042150" y="1663700"/>
          <a:ext cx="1466850" cy="609600"/>
        </a:xfrm>
        <a:prstGeom prst="roundRect">
          <a:avLst/>
        </a:prstGeom>
        <a:solidFill>
          <a:srgbClr val="0066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latin typeface="Amasis MT Pro Black" panose="02040A04050005020304" pitchFamily="18" charset="0"/>
            </a:rPr>
            <a:t>Create Pivot Tables</a:t>
          </a:r>
        </a:p>
      </xdr:txBody>
    </xdr:sp>
    <xdr:clientData/>
  </xdr:twoCellAnchor>
  <xdr:twoCellAnchor>
    <xdr:from>
      <xdr:col>10</xdr:col>
      <xdr:colOff>0</xdr:colOff>
      <xdr:row>13</xdr:row>
      <xdr:rowOff>0</xdr:rowOff>
    </xdr:from>
    <xdr:to>
      <xdr:col>12</xdr:col>
      <xdr:colOff>19050</xdr:colOff>
      <xdr:row>16</xdr:row>
      <xdr:rowOff>31750</xdr:rowOff>
    </xdr:to>
    <xdr:sp macro="[0]!RefreshAllPivots" textlink="">
      <xdr:nvSpPr>
        <xdr:cNvPr id="5" name="Rectangle: Rounded Corners 4">
          <a:extLst>
            <a:ext uri="{FF2B5EF4-FFF2-40B4-BE49-F238E27FC236}">
              <a16:creationId xmlns:a16="http://schemas.microsoft.com/office/drawing/2014/main" id="{DE1A4A84-77B7-4903-8019-41FEAA85B403}"/>
            </a:ext>
          </a:extLst>
        </xdr:cNvPr>
        <xdr:cNvSpPr/>
      </xdr:nvSpPr>
      <xdr:spPr>
        <a:xfrm>
          <a:off x="7042150" y="2463800"/>
          <a:ext cx="1466850" cy="584200"/>
        </a:xfrm>
        <a:prstGeom prst="roundRect">
          <a:avLst/>
        </a:prstGeom>
        <a:solidFill>
          <a:srgbClr val="0066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 lastClr="FFFFFF"/>
              </a:solidFill>
              <a:effectLst/>
              <a:uLnTx/>
              <a:uFillTx/>
              <a:latin typeface="Amasis MT Pro Black" panose="02040A04050005020304" pitchFamily="18" charset="0"/>
              <a:ea typeface="+mn-ea"/>
              <a:cs typeface="+mn-cs"/>
            </a:rPr>
            <a:t>Refresh Pivot Tables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673100</xdr:colOff>
      <xdr:row>17</xdr:row>
      <xdr:rowOff>152400</xdr:rowOff>
    </xdr:to>
    <xdr:graphicFrame macro="">
      <xdr:nvGraphicFramePr>
        <xdr:cNvPr id="111" name="Chart 110">
          <a:extLst>
            <a:ext uri="{FF2B5EF4-FFF2-40B4-BE49-F238E27FC236}">
              <a16:creationId xmlns:a16="http://schemas.microsoft.com/office/drawing/2014/main" id="{AC5BAB26-B1F3-DB2B-6C39-7DD20C35BB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xdr:row>
      <xdr:rowOff>0</xdr:rowOff>
    </xdr:from>
    <xdr:to>
      <xdr:col>10</xdr:col>
      <xdr:colOff>673100</xdr:colOff>
      <xdr:row>17</xdr:row>
      <xdr:rowOff>152400</xdr:rowOff>
    </xdr:to>
    <xdr:graphicFrame macro="">
      <xdr:nvGraphicFramePr>
        <xdr:cNvPr id="112" name="Chart 111">
          <a:extLst>
            <a:ext uri="{FF2B5EF4-FFF2-40B4-BE49-F238E27FC236}">
              <a16:creationId xmlns:a16="http://schemas.microsoft.com/office/drawing/2014/main" id="{832EE0AA-7720-772B-23D7-085ACCCBD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7</xdr:row>
      <xdr:rowOff>0</xdr:rowOff>
    </xdr:from>
    <xdr:to>
      <xdr:col>15</xdr:col>
      <xdr:colOff>673100</xdr:colOff>
      <xdr:row>17</xdr:row>
      <xdr:rowOff>152400</xdr:rowOff>
    </xdr:to>
    <xdr:graphicFrame macro="">
      <xdr:nvGraphicFramePr>
        <xdr:cNvPr id="113" name="Chart 112">
          <a:extLst>
            <a:ext uri="{FF2B5EF4-FFF2-40B4-BE49-F238E27FC236}">
              <a16:creationId xmlns:a16="http://schemas.microsoft.com/office/drawing/2014/main" id="{BC585D74-AFF6-FA29-C1CF-F0E556F36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0</xdr:rowOff>
    </xdr:from>
    <xdr:to>
      <xdr:col>4</xdr:col>
      <xdr:colOff>673100</xdr:colOff>
      <xdr:row>28</xdr:row>
      <xdr:rowOff>152400</xdr:rowOff>
    </xdr:to>
    <xdr:graphicFrame macro="">
      <xdr:nvGraphicFramePr>
        <xdr:cNvPr id="114" name="Chart 113">
          <a:extLst>
            <a:ext uri="{FF2B5EF4-FFF2-40B4-BE49-F238E27FC236}">
              <a16:creationId xmlns:a16="http://schemas.microsoft.com/office/drawing/2014/main" id="{3274D25A-88D1-F492-A696-8C079F578B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18</xdr:row>
      <xdr:rowOff>0</xdr:rowOff>
    </xdr:from>
    <xdr:to>
      <xdr:col>10</xdr:col>
      <xdr:colOff>673100</xdr:colOff>
      <xdr:row>28</xdr:row>
      <xdr:rowOff>152400</xdr:rowOff>
    </xdr:to>
    <xdr:graphicFrame macro="">
      <xdr:nvGraphicFramePr>
        <xdr:cNvPr id="115" name="Chart 114">
          <a:extLst>
            <a:ext uri="{FF2B5EF4-FFF2-40B4-BE49-F238E27FC236}">
              <a16:creationId xmlns:a16="http://schemas.microsoft.com/office/drawing/2014/main" id="{292B6932-5F45-C312-143F-E1F2513EFB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18</xdr:row>
      <xdr:rowOff>0</xdr:rowOff>
    </xdr:from>
    <xdr:to>
      <xdr:col>15</xdr:col>
      <xdr:colOff>673100</xdr:colOff>
      <xdr:row>28</xdr:row>
      <xdr:rowOff>152400</xdr:rowOff>
    </xdr:to>
    <xdr:graphicFrame macro="">
      <xdr:nvGraphicFramePr>
        <xdr:cNvPr id="116" name="Chart 115">
          <a:extLst>
            <a:ext uri="{FF2B5EF4-FFF2-40B4-BE49-F238E27FC236}">
              <a16:creationId xmlns:a16="http://schemas.microsoft.com/office/drawing/2014/main" id="{1C455F5D-961B-03D4-1494-B663DFA743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32</xdr:row>
      <xdr:rowOff>49859</xdr:rowOff>
    </xdr:from>
    <xdr:to>
      <xdr:col>2</xdr:col>
      <xdr:colOff>355130</xdr:colOff>
      <xdr:row>39</xdr:row>
      <xdr:rowOff>129822</xdr:rowOff>
    </xdr:to>
    <mc:AlternateContent xmlns:mc="http://schemas.openxmlformats.org/markup-compatibility/2006">
      <mc:Choice xmlns:a14="http://schemas.microsoft.com/office/drawing/2010/main" Requires="a14">
        <xdr:graphicFrame macro="">
          <xdr:nvGraphicFramePr>
            <xdr:cNvPr id="117" name="Slicer_Department">
              <a:extLst>
                <a:ext uri="{FF2B5EF4-FFF2-40B4-BE49-F238E27FC236}">
                  <a16:creationId xmlns:a16="http://schemas.microsoft.com/office/drawing/2014/main" id="{D219D3EF-6994-4EE0-E844-2A203C2EBC61}"/>
                </a:ext>
              </a:extLst>
            </xdr:cNvPr>
            <xdr:cNvGraphicFramePr/>
          </xdr:nvGraphicFramePr>
          <xdr:xfrm>
            <a:off x="0" y="0"/>
            <a:ext cx="0" cy="0"/>
          </xdr:xfrm>
          <a:graphic>
            <a:graphicData uri="http://schemas.microsoft.com/office/drawing/2010/slicer">
              <sle:slicer xmlns:sle="http://schemas.microsoft.com/office/drawing/2010/slicer" name="Slicer_Department"/>
            </a:graphicData>
          </a:graphic>
        </xdr:graphicFrame>
      </mc:Choice>
      <mc:Fallback>
        <xdr:sp macro="" textlink="">
          <xdr:nvSpPr>
            <xdr:cNvPr id="0" name=""/>
            <xdr:cNvSpPr>
              <a:spLocks noTextEdit="1"/>
            </xdr:cNvSpPr>
          </xdr:nvSpPr>
          <xdr:spPr>
            <a:xfrm>
              <a:off x="0" y="6070600"/>
              <a:ext cx="1778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482130</xdr:colOff>
      <xdr:row>32</xdr:row>
      <xdr:rowOff>49859</xdr:rowOff>
    </xdr:from>
    <xdr:to>
      <xdr:col>5</xdr:col>
      <xdr:colOff>125824</xdr:colOff>
      <xdr:row>39</xdr:row>
      <xdr:rowOff>129822</xdr:rowOff>
    </xdr:to>
    <mc:AlternateContent xmlns:mc="http://schemas.openxmlformats.org/markup-compatibility/2006">
      <mc:Choice xmlns:a14="http://schemas.microsoft.com/office/drawing/2010/main" Requires="a14">
        <xdr:graphicFrame macro="">
          <xdr:nvGraphicFramePr>
            <xdr:cNvPr id="118" name="Slicer_Gender">
              <a:extLst>
                <a:ext uri="{FF2B5EF4-FFF2-40B4-BE49-F238E27FC236}">
                  <a16:creationId xmlns:a16="http://schemas.microsoft.com/office/drawing/2014/main" id="{47CE0410-1D48-EEA4-27C0-001D93738301}"/>
                </a:ext>
              </a:extLst>
            </xdr:cNvPr>
            <xdr:cNvGraphicFramePr/>
          </xdr:nvGraphicFramePr>
          <xdr:xfrm>
            <a:off x="0" y="0"/>
            <a:ext cx="0" cy="0"/>
          </xdr:xfrm>
          <a:graphic>
            <a:graphicData uri="http://schemas.microsoft.com/office/drawing/2010/slicer">
              <sle:slicer xmlns:sle="http://schemas.microsoft.com/office/drawing/2010/slicer" name="Slicer_Gender"/>
            </a:graphicData>
          </a:graphic>
        </xdr:graphicFrame>
      </mc:Choice>
      <mc:Fallback>
        <xdr:sp macro="" textlink="">
          <xdr:nvSpPr>
            <xdr:cNvPr id="0" name=""/>
            <xdr:cNvSpPr>
              <a:spLocks noTextEdit="1"/>
            </xdr:cNvSpPr>
          </xdr:nvSpPr>
          <xdr:spPr>
            <a:xfrm>
              <a:off x="1905000" y="6070600"/>
              <a:ext cx="1778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252824</xdr:colOff>
      <xdr:row>32</xdr:row>
      <xdr:rowOff>49859</xdr:rowOff>
    </xdr:from>
    <xdr:to>
      <xdr:col>7</xdr:col>
      <xdr:colOff>607954</xdr:colOff>
      <xdr:row>39</xdr:row>
      <xdr:rowOff>129822</xdr:rowOff>
    </xdr:to>
    <mc:AlternateContent xmlns:mc="http://schemas.openxmlformats.org/markup-compatibility/2006">
      <mc:Choice xmlns:a14="http://schemas.microsoft.com/office/drawing/2010/main" Requires="a14">
        <xdr:graphicFrame macro="">
          <xdr:nvGraphicFramePr>
            <xdr:cNvPr id="119" name="Slicer_Employment_Status">
              <a:extLst>
                <a:ext uri="{FF2B5EF4-FFF2-40B4-BE49-F238E27FC236}">
                  <a16:creationId xmlns:a16="http://schemas.microsoft.com/office/drawing/2014/main" id="{62A85217-E7B9-BB0B-4B5D-C15BF02E6A57}"/>
                </a:ext>
              </a:extLst>
            </xdr:cNvPr>
            <xdr:cNvGraphicFramePr/>
          </xdr:nvGraphicFramePr>
          <xdr:xfrm>
            <a:off x="0" y="0"/>
            <a:ext cx="0" cy="0"/>
          </xdr:xfrm>
          <a:graphic>
            <a:graphicData uri="http://schemas.microsoft.com/office/drawing/2010/slicer">
              <sle:slicer xmlns:sle="http://schemas.microsoft.com/office/drawing/2010/slicer" name="Slicer_Employment_Status"/>
            </a:graphicData>
          </a:graphic>
        </xdr:graphicFrame>
      </mc:Choice>
      <mc:Fallback>
        <xdr:sp macro="" textlink="">
          <xdr:nvSpPr>
            <xdr:cNvPr id="0" name=""/>
            <xdr:cNvSpPr>
              <a:spLocks noTextEdit="1"/>
            </xdr:cNvSpPr>
          </xdr:nvSpPr>
          <xdr:spPr>
            <a:xfrm>
              <a:off x="3810000" y="6070600"/>
              <a:ext cx="1778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23519</xdr:colOff>
      <xdr:row>32</xdr:row>
      <xdr:rowOff>49859</xdr:rowOff>
    </xdr:from>
    <xdr:to>
      <xdr:col>10</xdr:col>
      <xdr:colOff>378648</xdr:colOff>
      <xdr:row>39</xdr:row>
      <xdr:rowOff>129822</xdr:rowOff>
    </xdr:to>
    <mc:AlternateContent xmlns:mc="http://schemas.openxmlformats.org/markup-compatibility/2006">
      <mc:Choice xmlns:a14="http://schemas.microsoft.com/office/drawing/2010/main" Requires="a14">
        <xdr:graphicFrame macro="">
          <xdr:nvGraphicFramePr>
            <xdr:cNvPr id="120" name="Slicer_Work_Mode">
              <a:extLst>
                <a:ext uri="{FF2B5EF4-FFF2-40B4-BE49-F238E27FC236}">
                  <a16:creationId xmlns:a16="http://schemas.microsoft.com/office/drawing/2014/main" id="{7E88B16C-1003-F839-007D-27FEFA538844}"/>
                </a:ext>
              </a:extLst>
            </xdr:cNvPr>
            <xdr:cNvGraphicFramePr/>
          </xdr:nvGraphicFramePr>
          <xdr:xfrm>
            <a:off x="0" y="0"/>
            <a:ext cx="0" cy="0"/>
          </xdr:xfrm>
          <a:graphic>
            <a:graphicData uri="http://schemas.microsoft.com/office/drawing/2010/slicer">
              <sle:slicer xmlns:sle="http://schemas.microsoft.com/office/drawing/2010/slicer" name="Slicer_Work_Mode"/>
            </a:graphicData>
          </a:graphic>
        </xdr:graphicFrame>
      </mc:Choice>
      <mc:Fallback>
        <xdr:sp macro="" textlink="">
          <xdr:nvSpPr>
            <xdr:cNvPr id="0" name=""/>
            <xdr:cNvSpPr>
              <a:spLocks noTextEdit="1"/>
            </xdr:cNvSpPr>
          </xdr:nvSpPr>
          <xdr:spPr>
            <a:xfrm>
              <a:off x="5715000" y="6070600"/>
              <a:ext cx="1778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505648</xdr:colOff>
      <xdr:row>32</xdr:row>
      <xdr:rowOff>49859</xdr:rowOff>
    </xdr:from>
    <xdr:to>
      <xdr:col>13</xdr:col>
      <xdr:colOff>149343</xdr:colOff>
      <xdr:row>39</xdr:row>
      <xdr:rowOff>129822</xdr:rowOff>
    </xdr:to>
    <mc:AlternateContent xmlns:mc="http://schemas.openxmlformats.org/markup-compatibility/2006">
      <mc:Choice xmlns:a14="http://schemas.microsoft.com/office/drawing/2010/main" Requires="a14">
        <xdr:graphicFrame macro="">
          <xdr:nvGraphicFramePr>
            <xdr:cNvPr id="121" name="Slicer_Designation">
              <a:extLst>
                <a:ext uri="{FF2B5EF4-FFF2-40B4-BE49-F238E27FC236}">
                  <a16:creationId xmlns:a16="http://schemas.microsoft.com/office/drawing/2014/main" id="{4BD3634C-33CB-78BD-FA52-20A023E3E61B}"/>
                </a:ext>
              </a:extLst>
            </xdr:cNvPr>
            <xdr:cNvGraphicFramePr/>
          </xdr:nvGraphicFramePr>
          <xdr:xfrm>
            <a:off x="0" y="0"/>
            <a:ext cx="0" cy="0"/>
          </xdr:xfrm>
          <a:graphic>
            <a:graphicData uri="http://schemas.microsoft.com/office/drawing/2010/slicer">
              <sle:slicer xmlns:sle="http://schemas.microsoft.com/office/drawing/2010/slicer" name="Slicer_Designation"/>
            </a:graphicData>
          </a:graphic>
        </xdr:graphicFrame>
      </mc:Choice>
      <mc:Fallback>
        <xdr:sp macro="" textlink="">
          <xdr:nvSpPr>
            <xdr:cNvPr id="0" name=""/>
            <xdr:cNvSpPr>
              <a:spLocks noTextEdit="1"/>
            </xdr:cNvSpPr>
          </xdr:nvSpPr>
          <xdr:spPr>
            <a:xfrm>
              <a:off x="7620000" y="6070600"/>
              <a:ext cx="1778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50800</xdr:colOff>
      <xdr:row>0</xdr:row>
      <xdr:rowOff>50800</xdr:rowOff>
    </xdr:from>
    <xdr:to>
      <xdr:col>16</xdr:col>
      <xdr:colOff>660400</xdr:colOff>
      <xdr:row>1</xdr:row>
      <xdr:rowOff>203200</xdr:rowOff>
    </xdr:to>
    <xdr:sp macro="RefreshDashboard" textlink="">
      <xdr:nvSpPr>
        <xdr:cNvPr id="122" name="btnRefreshDashboard">
          <a:extLst>
            <a:ext uri="{FF2B5EF4-FFF2-40B4-BE49-F238E27FC236}">
              <a16:creationId xmlns:a16="http://schemas.microsoft.com/office/drawing/2014/main" id="{26402416-BEE5-72D6-FEB7-F2C942892DC7}"/>
            </a:ext>
          </a:extLst>
        </xdr:cNvPr>
        <xdr:cNvSpPr/>
      </xdr:nvSpPr>
      <xdr:spPr>
        <a:xfrm>
          <a:off x="10007600" y="50800"/>
          <a:ext cx="2032000" cy="406400"/>
        </a:xfrm>
        <a:prstGeom prst="roundRect">
          <a:avLst/>
        </a:prstGeom>
        <a:solidFill>
          <a:srgbClr val="FFFFFF"/>
        </a:solidFill>
        <a:ln w="19050">
          <a:solidFill>
            <a:srgbClr val="1E6E3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E6E3C"/>
              </a:solidFill>
            </a:rPr>
            <a:t>Refresh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212.390544560185" createdVersion="8" refreshedVersion="8" minRefreshableVersion="3" recordCount="2000" xr:uid="{D6C75F26-D9BB-451E-8EA3-BFD373025785}">
  <cacheSource type="worksheet">
    <worksheetSource ref="A1:W2001" sheet="Data"/>
  </cacheSource>
  <cacheFields count="25">
    <cacheField name="Employee ID" numFmtId="0">
      <sharedItems/>
    </cacheField>
    <cacheField name="Employee Name" numFmtId="0">
      <sharedItems count="200">
        <s v="Areeba Malik"/>
        <s v="Laiba Raza"/>
        <s v="Bilal Iqbal"/>
        <s v="Amna Iqbal"/>
        <s v="Hina Aslam"/>
        <s v="Areeba Javed"/>
        <s v="Usman Raza"/>
        <s v="Amna Raza"/>
        <s v="Bilal Butt"/>
        <s v="Hina Iqbal"/>
        <s v="Iqra Ahmed"/>
        <s v="Daniyal Sheikh"/>
        <s v="Ali Iqbal"/>
        <s v="Daniyal Javed"/>
        <s v="Ahmed Butt"/>
        <s v="Zain Malik"/>
        <s v="Noor Aslam"/>
        <s v="Noor Malik"/>
        <s v="Ayesha Sheikh"/>
        <s v="Umar Khan"/>
        <s v="Fatima Iqbal"/>
        <s v="Maryam Raza"/>
        <s v="Saad Sheikh"/>
        <s v="Noor Javed"/>
        <s v="Daniyal Qureshi"/>
        <s v="Hina Khan"/>
        <s v="Fatima Javed"/>
        <s v="Usman Javed"/>
        <s v="Bilal Malik"/>
        <s v="Umar Raza"/>
        <s v="Hassan Sheikh"/>
        <s v="Umar Iqbal"/>
        <s v="Iqra Javed"/>
        <s v="Iqra Qureshi"/>
        <s v="Ahmed Qureshi"/>
        <s v="Hassan Aslam"/>
        <s v="Sara Aslam"/>
        <s v="Ali Malik"/>
        <s v="Hamza Malik"/>
        <s v="Fatima Raza"/>
        <s v="Maryam Ahmed"/>
        <s v="Ahmed Ahmed"/>
        <s v="Hina Butt"/>
        <s v="Ayesha Javed"/>
        <s v="Usman Qureshi"/>
        <s v="Saad Malik"/>
        <s v="Laiba Sheikh"/>
        <s v="Bilal Ahmed"/>
        <s v="Iqra Butt"/>
        <s v="Zain Khan"/>
        <s v="Hassan Qureshi"/>
        <s v="Usman Aslam"/>
        <s v="Noor Khan"/>
        <s v="Saad Iqbal"/>
        <s v="Ayesha Aslam"/>
        <s v="Ahmed Iqbal"/>
        <s v="Daniyal Khan"/>
        <s v="Laiba Malik"/>
        <s v="Maryam Iqbal"/>
        <s v="Sara Iqbal"/>
        <s v="Daniyal Raza"/>
        <s v="Daniyal Malik"/>
        <s v="Saad Ahmed"/>
        <s v="Noor Sheikh"/>
        <s v="Hassan Raza"/>
        <s v="Sara Malik"/>
        <s v="Hamza Sheikh"/>
        <s v="Areeba Iqbal"/>
        <s v="Sara Qureshi"/>
        <s v="Maryam Khan"/>
        <s v="Hamza Aslam"/>
        <s v="Hamza Butt"/>
        <s v="Iqra Aslam"/>
        <s v="Hassan Butt"/>
        <s v="Saad Qureshi"/>
        <s v="Ali Sheikh"/>
        <s v="Hassan Malik"/>
        <s v="Daniyal Iqbal"/>
        <s v="Fatima Malik"/>
        <s v="Daniyal Aslam"/>
        <s v="Noor Raza"/>
        <s v="Areeba Raza"/>
        <s v="Areeba Butt"/>
        <s v="Laiba Khan"/>
        <s v="Hina Qureshi"/>
        <s v="Laiba Ahmed"/>
        <s v="Iqra Raza"/>
        <s v="Hina Sheikh"/>
        <s v="Usman Khan"/>
        <s v="Laiba Butt"/>
        <s v="Sara Raza"/>
        <s v="Maryam Malik"/>
        <s v="Hassan Iqbal"/>
        <s v="Fatima Sheikh"/>
        <s v="Hassan Khan"/>
        <s v="Amna Khan"/>
        <s v="Sara Sheikh"/>
        <s v="Laiba Javed"/>
        <s v="Usman Ahmed"/>
        <s v="Saad Raza"/>
        <s v="Zain Aslam"/>
        <s v="Ayesha Raza"/>
        <s v="Umar Aslam"/>
        <s v="Hina Javed"/>
        <s v="Ali Khan"/>
        <s v="Maryam Qureshi"/>
        <s v="Hamza Iqbal"/>
        <s v="Usman Iqbal"/>
        <s v="Amna Sheikh"/>
        <s v="Maryam Javed"/>
        <s v="Bilal Raza"/>
        <s v="Bilal Aslam"/>
        <s v="Bilal Qureshi"/>
        <s v="Daniyal Ahmed"/>
        <s v="Bilal Sheikh"/>
        <s v="Hamza Qureshi"/>
        <s v="Laiba Qureshi"/>
        <s v="Sara Khan"/>
        <s v="Maryam Aslam"/>
        <s v="Ali Raza"/>
        <s v="Daniyal Butt"/>
        <s v="Fatima Ahmed"/>
        <s v="Amna Ahmed"/>
        <s v="Fatima Khan"/>
        <s v="Ayesha Butt"/>
        <s v="Saad Khan"/>
        <s v="Ayesha Ahmed"/>
        <s v="Sara Javed"/>
        <s v="Ali Ahmed"/>
        <s v="Ahmed Sheikh"/>
        <s v="Usman Sheikh"/>
        <s v="Umar Sheikh"/>
        <s v="Hamza Khan"/>
        <s v="Ahmed Khan"/>
        <s v="Ali Aslam"/>
        <s v="Iqra Sheikh"/>
        <s v="Ayesha Iqbal"/>
        <s v="Umar Qureshi"/>
        <s v="Areeba Aslam"/>
        <s v="Zain Iqbal"/>
        <s v="Usman Malik"/>
        <s v="Umar Javed"/>
        <s v="Usman Butt"/>
        <s v="Noor Butt"/>
        <s v="Hamza Javed"/>
        <s v="Iqra Khan"/>
        <s v="Iqra Malik"/>
        <s v="Areeba Khan"/>
        <s v="Bilal Khan"/>
        <s v="Ahmed Malik"/>
        <s v="Amna Malik"/>
        <s v="Bilal Javed"/>
        <s v="Ali Javed"/>
        <s v="Laiba Aslam"/>
        <s v="Hassan Ahmed"/>
        <s v="Zain Raza"/>
        <s v="Fatima Butt"/>
        <s v="Hina Malik"/>
        <s v="Maryam Butt"/>
        <s v="Noor Ahmed"/>
        <s v="Umar Ahmed"/>
        <s v="Noor Iqbal"/>
        <s v="Ahmed Javed"/>
        <s v="Ahmed Aslam"/>
        <s v="Zain Javed"/>
        <s v="Saad Butt"/>
        <s v="Areeba Sheikh"/>
        <s v="Maryam Sheikh"/>
        <s v="Amna Butt"/>
        <s v="Zain Qureshi"/>
        <s v="Ali Butt"/>
        <s v="Amna Aslam"/>
        <s v="Saad Aslam"/>
        <s v="Amna Qureshi"/>
        <s v="Hamza Ahmed"/>
        <s v="Zain Ahmed"/>
        <s v="Hina Ahmed"/>
        <s v="Iqra Iqbal"/>
        <s v="Areeba Ahmed"/>
        <s v="Ali Qureshi"/>
        <s v="Saad Javed"/>
        <s v="Ayesha Qureshi"/>
        <s v="Zain Butt"/>
        <s v="Sara Ahmed"/>
        <s v="Ayesha Khan"/>
        <s v="Hamza Raza"/>
        <s v="Hassan Javed"/>
        <s v="Laiba Iqbal"/>
        <s v="Fatima Qureshi"/>
        <s v="Fatima Aslam"/>
        <s v="Amna Javed"/>
        <s v="Umar Malik"/>
        <s v="Areeba Qureshi"/>
        <s v="Umar Butt"/>
        <s v="Sara Butt"/>
        <s v="Hina Raza"/>
        <s v="Noor Qureshi"/>
        <s v="Zain Sheikh"/>
        <s v="Ahmed Raza"/>
        <s v="Ayesha Malik"/>
      </sharedItems>
    </cacheField>
    <cacheField name="Gender" numFmtId="0">
      <sharedItems count="2">
        <s v="Male"/>
        <s v="Female"/>
      </sharedItems>
    </cacheField>
    <cacheField name="Age" numFmtId="1">
      <sharedItems containsSemiMixedTypes="0" containsString="0" containsNumber="1" containsInteger="1" minValue="21" maxValue="60"/>
    </cacheField>
    <cacheField name="Department" numFmtId="0">
      <sharedItems count="9">
        <s v="IT"/>
        <s v="Sales"/>
        <s v="Administration"/>
        <s v="Operations"/>
        <s v="Support"/>
        <s v="HR"/>
        <s v="Procurement"/>
        <s v="Marketing"/>
        <s v="Finance"/>
      </sharedItems>
    </cacheField>
    <cacheField name="Designation" numFmtId="0">
      <sharedItems count="8">
        <s v="Intern"/>
        <s v="Team Lead"/>
        <s v="Sr Manager"/>
        <s v="Assistant"/>
        <s v="Manager"/>
        <s v="Supervisor"/>
        <s v="Sr Executive"/>
        <s v="Executive"/>
      </sharedItems>
    </cacheField>
    <cacheField name="Joining Date" numFmtId="164">
      <sharedItems containsSemiMixedTypes="0" containsNonDate="0" containsDate="1" containsString="0" minDate="2024-01-01T00:00:00" maxDate="2026-01-01T00:00:00" count="683">
        <d v="2025-12-31T00:00:00"/>
        <d v="2025-12-30T00:00:00"/>
        <d v="2025-12-29T00:00:00"/>
        <d v="2025-12-28T00:00:00"/>
        <d v="2025-12-27T00:00:00"/>
        <d v="2025-12-26T00:00:00"/>
        <d v="2025-12-25T00:00:00"/>
        <d v="2025-12-23T00:00:00"/>
        <d v="2025-12-22T00:00:00"/>
        <d v="2025-12-21T00:00:00"/>
        <d v="2025-12-20T00:00:00"/>
        <d v="2025-12-19T00:00:00"/>
        <d v="2025-12-18T00:00:00"/>
        <d v="2025-12-17T00:00:00"/>
        <d v="2025-12-16T00:00:00"/>
        <d v="2025-12-15T00:00:00"/>
        <d v="2025-12-14T00:00:00"/>
        <d v="2025-12-13T00:00:00"/>
        <d v="2025-12-12T00:00:00"/>
        <d v="2025-12-11T00:00:00"/>
        <d v="2025-12-10T00:00:00"/>
        <d v="2025-12-09T00:00:00"/>
        <d v="2025-12-08T00:00:00"/>
        <d v="2025-12-07T00:00:00"/>
        <d v="2025-12-06T00:00:00"/>
        <d v="2025-12-05T00:00:00"/>
        <d v="2025-12-04T00:00:00"/>
        <d v="2025-12-03T00:00:00"/>
        <d v="2025-12-02T00:00:00"/>
        <d v="2025-12-01T00:00:00"/>
        <d v="2025-11-30T00:00:00"/>
        <d v="2025-11-29T00:00:00"/>
        <d v="2025-11-28T00:00:00"/>
        <d v="2025-11-27T00:00:00"/>
        <d v="2025-11-26T00:00:00"/>
        <d v="2025-11-25T00:00:00"/>
        <d v="2025-11-24T00:00:00"/>
        <d v="2025-11-23T00:00:00"/>
        <d v="2025-11-22T00:00:00"/>
        <d v="2025-11-21T00:00:00"/>
        <d v="2025-11-20T00:00:00"/>
        <d v="2025-11-19T00:00:00"/>
        <d v="2025-11-18T00:00:00"/>
        <d v="2025-11-17T00:00:00"/>
        <d v="2025-11-16T00:00:00"/>
        <d v="2025-11-15T00:00:00"/>
        <d v="2025-11-14T00:00:00"/>
        <d v="2025-11-12T00:00:00"/>
        <d v="2025-11-11T00:00:00"/>
        <d v="2025-11-10T00:00:00"/>
        <d v="2025-11-09T00:00:00"/>
        <d v="2025-11-08T00:00:00"/>
        <d v="2025-11-07T00:00:00"/>
        <d v="2025-11-06T00:00:00"/>
        <d v="2025-11-05T00:00:00"/>
        <d v="2025-11-04T00:00:00"/>
        <d v="2025-11-03T00:00:00"/>
        <d v="2025-11-01T00:00:00"/>
        <d v="2025-10-31T00:00:00"/>
        <d v="2025-10-30T00:00:00"/>
        <d v="2025-10-29T00:00:00"/>
        <d v="2025-10-28T00:00:00"/>
        <d v="2025-10-27T00:00:00"/>
        <d v="2025-10-26T00:00:00"/>
        <d v="2025-10-25T00:00:00"/>
        <d v="2025-10-24T00:00:00"/>
        <d v="2025-10-23T00:00:00"/>
        <d v="2025-10-22T00:00:00"/>
        <d v="2025-10-21T00:00:00"/>
        <d v="2025-10-20T00:00:00"/>
        <d v="2025-10-19T00:00:00"/>
        <d v="2025-10-18T00:00:00"/>
        <d v="2025-10-17T00:00:00"/>
        <d v="2025-10-16T00:00:00"/>
        <d v="2025-10-15T00:00:00"/>
        <d v="2025-10-14T00:00:00"/>
        <d v="2025-10-13T00:00:00"/>
        <d v="2025-10-12T00:00:00"/>
        <d v="2025-10-11T00:00:00"/>
        <d v="2025-10-10T00:00:00"/>
        <d v="2025-10-09T00:00:00"/>
        <d v="2025-10-08T00:00:00"/>
        <d v="2025-10-07T00:00:00"/>
        <d v="2025-10-05T00:00:00"/>
        <d v="2025-10-04T00:00:00"/>
        <d v="2025-10-03T00:00:00"/>
        <d v="2025-10-02T00:00:00"/>
        <d v="2025-10-01T00:00:00"/>
        <d v="2025-09-30T00:00:00"/>
        <d v="2025-09-29T00:00:00"/>
        <d v="2025-09-28T00:00:00"/>
        <d v="2025-09-27T00:00:00"/>
        <d v="2025-09-26T00:00:00"/>
        <d v="2025-09-24T00:00:00"/>
        <d v="2025-09-23T00:00:00"/>
        <d v="2025-09-22T00:00:00"/>
        <d v="2025-09-21T00:00:00"/>
        <d v="2025-09-20T00:00:00"/>
        <d v="2025-09-19T00:00:00"/>
        <d v="2025-09-18T00:00:00"/>
        <d v="2025-09-17T00:00:00"/>
        <d v="2025-09-16T00:00:00"/>
        <d v="2025-09-15T00:00:00"/>
        <d v="2025-09-14T00:00:00"/>
        <d v="2025-09-12T00:00:00"/>
        <d v="2025-09-11T00:00:00"/>
        <d v="2025-09-10T00:00:00"/>
        <d v="2025-09-09T00:00:00"/>
        <d v="2025-09-08T00:00:00"/>
        <d v="2025-09-07T00:00:00"/>
        <d v="2025-09-06T00:00:00"/>
        <d v="2025-09-05T00:00:00"/>
        <d v="2025-09-03T00:00:00"/>
        <d v="2025-09-02T00:00:00"/>
        <d v="2025-09-01T00:00:00"/>
        <d v="2025-08-31T00:00:00"/>
        <d v="2025-08-30T00:00:00"/>
        <d v="2025-08-29T00:00:00"/>
        <d v="2025-08-28T00:00:00"/>
        <d v="2025-08-27T00:00:00"/>
        <d v="2025-08-26T00:00:00"/>
        <d v="2025-08-25T00:00:00"/>
        <d v="2025-08-24T00:00:00"/>
        <d v="2025-08-23T00:00:00"/>
        <d v="2025-08-22T00:00:00"/>
        <d v="2025-08-21T00:00:00"/>
        <d v="2025-08-20T00:00:00"/>
        <d v="2025-08-19T00:00:00"/>
        <d v="2025-08-18T00:00:00"/>
        <d v="2025-08-17T00:00:00"/>
        <d v="2025-08-16T00:00:00"/>
        <d v="2025-08-15T00:00:00"/>
        <d v="2025-08-14T00:00:00"/>
        <d v="2025-08-13T00:00:00"/>
        <d v="2025-08-12T00:00:00"/>
        <d v="2025-08-11T00:00:00"/>
        <d v="2025-08-10T00:00:00"/>
        <d v="2025-08-09T00:00:00"/>
        <d v="2025-08-08T00:00:00"/>
        <d v="2025-08-07T00:00:00"/>
        <d v="2025-08-06T00:00:00"/>
        <d v="2025-08-05T00:00:00"/>
        <d v="2025-08-04T00:00:00"/>
        <d v="2025-08-03T00:00:00"/>
        <d v="2025-08-02T00:00:00"/>
        <d v="2025-08-01T00:00:00"/>
        <d v="2025-07-31T00:00:00"/>
        <d v="2025-07-30T00:00:00"/>
        <d v="2025-07-29T00:00:00"/>
        <d v="2025-07-28T00:00:00"/>
        <d v="2025-07-27T00:00:00"/>
        <d v="2025-07-26T00:00:00"/>
        <d v="2025-07-25T00:00:00"/>
        <d v="2025-07-24T00:00:00"/>
        <d v="2025-07-23T00:00:00"/>
        <d v="2025-07-22T00:00:00"/>
        <d v="2025-07-21T00:00:00"/>
        <d v="2025-07-20T00:00:00"/>
        <d v="2025-07-19T00:00:00"/>
        <d v="2025-07-18T00:00:00"/>
        <d v="2025-07-17T00:00:00"/>
        <d v="2025-07-16T00:00:00"/>
        <d v="2025-07-15T00:00:00"/>
        <d v="2025-07-14T00:00:00"/>
        <d v="2025-07-13T00:00:00"/>
        <d v="2025-07-12T00:00:00"/>
        <d v="2025-07-11T00:00:00"/>
        <d v="2025-07-10T00:00:00"/>
        <d v="2025-07-09T00:00:00"/>
        <d v="2025-07-08T00:00:00"/>
        <d v="2025-07-07T00:00:00"/>
        <d v="2025-07-06T00:00:00"/>
        <d v="2025-07-05T00:00:00"/>
        <d v="2025-07-04T00:00:00"/>
        <d v="2025-07-03T00:00:00"/>
        <d v="2025-07-02T00:00:00"/>
        <d v="2025-07-01T00:00:00"/>
        <d v="2025-06-30T00:00:00"/>
        <d v="2025-06-29T00:00:00"/>
        <d v="2025-06-28T00:00:00"/>
        <d v="2025-06-27T00:00:00"/>
        <d v="2025-06-26T00:00:00"/>
        <d v="2025-06-25T00:00:00"/>
        <d v="2025-06-24T00:00:00"/>
        <d v="2025-06-23T00:00:00"/>
        <d v="2025-06-21T00:00:00"/>
        <d v="2025-06-20T00:00:00"/>
        <d v="2025-06-19T00:00:00"/>
        <d v="2025-06-18T00:00:00"/>
        <d v="2025-06-17T00:00:00"/>
        <d v="2025-06-16T00:00:00"/>
        <d v="2025-06-15T00:00:00"/>
        <d v="2025-06-14T00:00:00"/>
        <d v="2025-06-13T00:00:00"/>
        <d v="2025-06-12T00:00:00"/>
        <d v="2025-06-11T00:00:00"/>
        <d v="2025-06-10T00:00:00"/>
        <d v="2025-06-09T00:00:00"/>
        <d v="2025-06-07T00:00:00"/>
        <d v="2025-06-06T00:00:00"/>
        <d v="2025-06-05T00:00:00"/>
        <d v="2025-06-04T00:00:00"/>
        <d v="2025-06-03T00:00:00"/>
        <d v="2025-06-01T00:00:00"/>
        <d v="2025-05-31T00:00:00"/>
        <d v="2025-05-30T00:00:00"/>
        <d v="2025-05-29T00:00:00"/>
        <d v="2025-05-28T00:00:00"/>
        <d v="2025-05-27T00:00:00"/>
        <d v="2025-05-26T00:00:00"/>
        <d v="2025-05-25T00:00:00"/>
        <d v="2025-05-24T00:00:00"/>
        <d v="2025-05-23T00:00:00"/>
        <d v="2025-05-22T00:00:00"/>
        <d v="2025-05-21T00:00:00"/>
        <d v="2025-05-20T00:00:00"/>
        <d v="2025-05-19T00:00:00"/>
        <d v="2025-05-18T00:00:00"/>
        <d v="2025-05-17T00:00:00"/>
        <d v="2025-05-16T00:00:00"/>
        <d v="2025-05-15T00:00:00"/>
        <d v="2025-05-14T00:00:00"/>
        <d v="2025-05-13T00:00:00"/>
        <d v="2025-05-12T00:00:00"/>
        <d v="2025-05-11T00:00:00"/>
        <d v="2025-05-10T00:00:00"/>
        <d v="2025-05-09T00:00:00"/>
        <d v="2025-05-08T00:00:00"/>
        <d v="2025-05-07T00:00:00"/>
        <d v="2025-05-06T00:00:00"/>
        <d v="2025-05-05T00:00:00"/>
        <d v="2025-05-04T00:00:00"/>
        <d v="2025-05-03T00:00:00"/>
        <d v="2025-05-02T00:00:00"/>
        <d v="2025-05-01T00:00:00"/>
        <d v="2025-04-30T00:00:00"/>
        <d v="2025-04-28T00:00:00"/>
        <d v="2025-04-27T00:00:00"/>
        <d v="2025-04-26T00:00:00"/>
        <d v="2025-04-25T00:00:00"/>
        <d v="2025-04-24T00:00:00"/>
        <d v="2025-04-23T00:00:00"/>
        <d v="2025-04-22T00:00:00"/>
        <d v="2025-04-21T00:00:00"/>
        <d v="2025-04-20T00:00:00"/>
        <d v="2025-04-19T00:00:00"/>
        <d v="2025-04-18T00:00:00"/>
        <d v="2025-04-14T00:00:00"/>
        <d v="2025-04-13T00:00:00"/>
        <d v="2025-04-12T00:00:00"/>
        <d v="2025-04-11T00:00:00"/>
        <d v="2025-04-10T00:00:00"/>
        <d v="2025-04-09T00:00:00"/>
        <d v="2025-04-08T00:00:00"/>
        <d v="2025-04-06T00:00:00"/>
        <d v="2025-04-04T00:00:00"/>
        <d v="2025-04-02T00:00:00"/>
        <d v="2025-04-01T00:00:00"/>
        <d v="2025-03-31T00:00:00"/>
        <d v="2025-03-30T00:00:00"/>
        <d v="2025-03-29T00:00:00"/>
        <d v="2025-03-28T00:00:00"/>
        <d v="2025-03-27T00:00:00"/>
        <d v="2025-03-26T00:00:00"/>
        <d v="2025-03-25T00:00:00"/>
        <d v="2025-03-24T00:00:00"/>
        <d v="2025-03-23T00:00:00"/>
        <d v="2025-03-22T00:00:00"/>
        <d v="2025-03-21T00:00:00"/>
        <d v="2025-03-20T00:00:00"/>
        <d v="2025-03-19T00:00:00"/>
        <d v="2025-03-18T00:00:00"/>
        <d v="2025-03-17T00:00:00"/>
        <d v="2025-03-16T00:00:00"/>
        <d v="2025-03-14T00:00:00"/>
        <d v="2025-03-13T00:00:00"/>
        <d v="2025-03-12T00:00:00"/>
        <d v="2025-03-11T00:00:00"/>
        <d v="2025-03-10T00:00:00"/>
        <d v="2025-03-09T00:00:00"/>
        <d v="2025-03-08T00:00:00"/>
        <d v="2025-03-07T00:00:00"/>
        <d v="2025-03-06T00:00:00"/>
        <d v="2025-03-05T00:00:00"/>
        <d v="2025-03-04T00:00:00"/>
        <d v="2025-03-02T00:00:00"/>
        <d v="2025-03-01T00:00:00"/>
        <d v="2025-02-28T00:00:00"/>
        <d v="2025-02-27T00:00:00"/>
        <d v="2025-02-26T00:00:00"/>
        <d v="2025-02-25T00:00:00"/>
        <d v="2025-02-24T00:00:00"/>
        <d v="2025-02-22T00:00:00"/>
        <d v="2025-02-21T00:00:00"/>
        <d v="2025-02-19T00:00:00"/>
        <d v="2025-02-18T00:00:00"/>
        <d v="2025-02-17T00:00:00"/>
        <d v="2025-02-16T00:00:00"/>
        <d v="2025-02-15T00:00:00"/>
        <d v="2025-02-14T00:00:00"/>
        <d v="2025-02-13T00:00:00"/>
        <d v="2025-02-12T00:00:00"/>
        <d v="2025-02-11T00:00:00"/>
        <d v="2025-02-10T00:00:00"/>
        <d v="2025-02-09T00:00:00"/>
        <d v="2025-02-08T00:00:00"/>
        <d v="2025-02-07T00:00:00"/>
        <d v="2025-02-06T00:00:00"/>
        <d v="2025-02-05T00:00:00"/>
        <d v="2025-02-04T00:00:00"/>
        <d v="2025-02-03T00:00:00"/>
        <d v="2025-02-02T00:00:00"/>
        <d v="2025-01-31T00:00:00"/>
        <d v="2025-01-30T00:00:00"/>
        <d v="2025-01-29T00:00:00"/>
        <d v="2025-01-27T00:00:00"/>
        <d v="2025-01-26T00:00:00"/>
        <d v="2025-01-25T00:00:00"/>
        <d v="2025-01-24T00:00:00"/>
        <d v="2025-01-23T00:00:00"/>
        <d v="2025-01-22T00:00:00"/>
        <d v="2025-01-21T00:00:00"/>
        <d v="2025-01-20T00:00:00"/>
        <d v="2025-01-19T00:00:00"/>
        <d v="2025-01-18T00:00:00"/>
        <d v="2025-01-17T00:00:00"/>
        <d v="2025-01-15T00:00:00"/>
        <d v="2025-01-14T00:00:00"/>
        <d v="2025-01-13T00:00:00"/>
        <d v="2025-01-12T00:00:00"/>
        <d v="2025-01-11T00:00:00"/>
        <d v="2025-01-10T00:00:00"/>
        <d v="2025-01-09T00:00:00"/>
        <d v="2025-01-08T00:00:00"/>
        <d v="2025-01-07T00:00:00"/>
        <d v="2025-01-06T00:00:00"/>
        <d v="2025-01-05T00:00:00"/>
        <d v="2025-01-04T00:00:00"/>
        <d v="2025-01-03T00:00:00"/>
        <d v="2025-01-02T00:00:00"/>
        <d v="2025-01-01T00:00:00"/>
        <d v="2024-12-31T00:00:00"/>
        <d v="2024-12-30T00:00:00"/>
        <d v="2024-12-29T00:00:00"/>
        <d v="2024-12-28T00:00:00"/>
        <d v="2024-12-27T00:00:00"/>
        <d v="2024-12-26T00:00:00"/>
        <d v="2024-12-25T00:00:00"/>
        <d v="2024-12-24T00:00:00"/>
        <d v="2024-12-23T00:00:00"/>
        <d v="2024-12-22T00:00:00"/>
        <d v="2024-12-21T00:00:00"/>
        <d v="2024-12-20T00:00:00"/>
        <d v="2024-12-19T00:00:00"/>
        <d v="2024-12-18T00:00:00"/>
        <d v="2024-12-17T00:00:00"/>
        <d v="2024-12-16T00:00:00"/>
        <d v="2024-12-15T00:00:00"/>
        <d v="2024-12-14T00:00:00"/>
        <d v="2024-12-13T00:00:00"/>
        <d v="2024-12-12T00:00:00"/>
        <d v="2024-12-11T00:00:00"/>
        <d v="2024-12-09T00:00:00"/>
        <d v="2024-12-08T00:00:00"/>
        <d v="2024-12-07T00:00:00"/>
        <d v="2024-12-06T00:00:00"/>
        <d v="2024-12-05T00:00:00"/>
        <d v="2024-12-04T00:00:00"/>
        <d v="2024-12-03T00:00:00"/>
        <d v="2024-12-02T00:00:00"/>
        <d v="2024-12-01T00:00:00"/>
        <d v="2024-11-29T00:00:00"/>
        <d v="2024-11-28T00:00:00"/>
        <d v="2024-11-27T00:00:00"/>
        <d v="2024-11-26T00:00:00"/>
        <d v="2024-11-25T00:00:00"/>
        <d v="2024-11-24T00:00:00"/>
        <d v="2024-11-23T00:00:00"/>
        <d v="2024-11-22T00:00:00"/>
        <d v="2024-11-21T00:00:00"/>
        <d v="2024-11-20T00:00:00"/>
        <d v="2024-11-19T00:00:00"/>
        <d v="2024-11-18T00:00:00"/>
        <d v="2024-11-17T00:00:00"/>
        <d v="2024-11-16T00:00:00"/>
        <d v="2024-11-15T00:00:00"/>
        <d v="2024-11-14T00:00:00"/>
        <d v="2024-11-13T00:00:00"/>
        <d v="2024-11-12T00:00:00"/>
        <d v="2024-11-11T00:00:00"/>
        <d v="2024-11-10T00:00:00"/>
        <d v="2024-11-08T00:00:00"/>
        <d v="2024-11-07T00:00:00"/>
        <d v="2024-11-06T00:00:00"/>
        <d v="2024-11-05T00:00:00"/>
        <d v="2024-11-04T00:00:00"/>
        <d v="2024-11-03T00:00:00"/>
        <d v="2024-11-02T00:00:00"/>
        <d v="2024-11-01T00:00:00"/>
        <d v="2024-10-31T00:00:00"/>
        <d v="2024-10-30T00:00:00"/>
        <d v="2024-10-29T00:00:00"/>
        <d v="2024-10-28T00:00:00"/>
        <d v="2024-10-27T00:00:00"/>
        <d v="2024-10-26T00:00:00"/>
        <d v="2024-10-25T00:00:00"/>
        <d v="2024-10-24T00:00:00"/>
        <d v="2024-10-22T00:00:00"/>
        <d v="2024-10-21T00:00:00"/>
        <d v="2024-10-20T00:00:00"/>
        <d v="2024-10-19T00:00:00"/>
        <d v="2024-10-18T00:00:00"/>
        <d v="2024-10-17T00:00:00"/>
        <d v="2024-10-16T00:00:00"/>
        <d v="2024-10-15T00:00:00"/>
        <d v="2024-10-14T00:00:00"/>
        <d v="2024-10-13T00:00:00"/>
        <d v="2024-10-12T00:00:00"/>
        <d v="2024-10-11T00:00:00"/>
        <d v="2024-10-10T00:00:00"/>
        <d v="2024-10-09T00:00:00"/>
        <d v="2024-10-08T00:00:00"/>
        <d v="2024-10-07T00:00:00"/>
        <d v="2024-10-06T00:00:00"/>
        <d v="2024-10-05T00:00:00"/>
        <d v="2024-10-04T00:00:00"/>
        <d v="2024-10-03T00:00:00"/>
        <d v="2024-10-02T00:00:00"/>
        <d v="2024-10-01T00:00:00"/>
        <d v="2024-09-30T00:00:00"/>
        <d v="2024-09-29T00:00:00"/>
        <d v="2024-09-27T00:00:00"/>
        <d v="2024-09-26T00:00:00"/>
        <d v="2024-09-25T00:00:00"/>
        <d v="2024-09-24T00:00:00"/>
        <d v="2024-09-23T00:00:00"/>
        <d v="2024-09-22T00:00:00"/>
        <d v="2024-09-21T00:00:00"/>
        <d v="2024-09-20T00:00:00"/>
        <d v="2024-09-19T00:00:00"/>
        <d v="2024-09-18T00:00:00"/>
        <d v="2024-09-17T00:00:00"/>
        <d v="2024-09-16T00:00:00"/>
        <d v="2024-09-15T00:00:00"/>
        <d v="2024-09-14T00:00:00"/>
        <d v="2024-09-13T00:00:00"/>
        <d v="2024-09-12T00:00:00"/>
        <d v="2024-09-11T00:00:00"/>
        <d v="2024-09-10T00:00:00"/>
        <d v="2024-09-09T00:00:00"/>
        <d v="2024-09-08T00:00:00"/>
        <d v="2024-09-07T00:00:00"/>
        <d v="2024-09-06T00:00:00"/>
        <d v="2024-09-05T00:00:00"/>
        <d v="2024-09-04T00:00:00"/>
        <d v="2024-09-02T00:00:00"/>
        <d v="2024-09-01T00:00:00"/>
        <d v="2024-08-31T00:00:00"/>
        <d v="2024-08-29T00:00:00"/>
        <d v="2024-08-28T00:00:00"/>
        <d v="2024-08-27T00:00:00"/>
        <d v="2024-08-26T00:00:00"/>
        <d v="2024-08-25T00:00:00"/>
        <d v="2024-08-24T00:00:00"/>
        <d v="2024-08-23T00:00:00"/>
        <d v="2024-08-22T00:00:00"/>
        <d v="2024-08-21T00:00:00"/>
        <d v="2024-08-20T00:00:00"/>
        <d v="2024-08-19T00:00:00"/>
        <d v="2024-08-18T00:00:00"/>
        <d v="2024-08-17T00:00:00"/>
        <d v="2024-08-16T00:00:00"/>
        <d v="2024-08-15T00:00:00"/>
        <d v="2024-08-14T00:00:00"/>
        <d v="2024-08-13T00:00:00"/>
        <d v="2024-08-12T00:00:00"/>
        <d v="2024-08-11T00:00:00"/>
        <d v="2024-08-10T00:00:00"/>
        <d v="2024-08-09T00:00:00"/>
        <d v="2024-08-07T00:00:00"/>
        <d v="2024-08-06T00:00:00"/>
        <d v="2024-08-05T00:00:00"/>
        <d v="2024-08-04T00:00:00"/>
        <d v="2024-08-03T00:00:00"/>
        <d v="2024-08-02T00:00:00"/>
        <d v="2024-08-01T00:00:00"/>
        <d v="2024-07-31T00:00:00"/>
        <d v="2024-07-29T00:00:00"/>
        <d v="2024-07-28T00:00:00"/>
        <d v="2024-07-27T00:00:00"/>
        <d v="2024-07-26T00:00:00"/>
        <d v="2024-07-25T00:00:00"/>
        <d v="2024-07-24T00:00:00"/>
        <d v="2024-07-21T00:00:00"/>
        <d v="2024-07-20T00:00:00"/>
        <d v="2024-07-19T00:00:00"/>
        <d v="2024-07-18T00:00:00"/>
        <d v="2024-07-17T00:00:00"/>
        <d v="2024-07-16T00:00:00"/>
        <d v="2024-07-15T00:00:00"/>
        <d v="2024-07-13T00:00:00"/>
        <d v="2024-07-12T00:00:00"/>
        <d v="2024-07-11T00:00:00"/>
        <d v="2024-07-10T00:00:00"/>
        <d v="2024-07-09T00:00:00"/>
        <d v="2024-07-08T00:00:00"/>
        <d v="2024-07-07T00:00:00"/>
        <d v="2024-07-06T00:00:00"/>
        <d v="2024-07-05T00:00:00"/>
        <d v="2024-07-04T00:00:00"/>
        <d v="2024-07-03T00:00:00"/>
        <d v="2024-07-02T00:00:00"/>
        <d v="2024-07-01T00:00:00"/>
        <d v="2024-06-30T00:00:00"/>
        <d v="2024-06-29T00:00:00"/>
        <d v="2024-06-28T00:00:00"/>
        <d v="2024-06-27T00:00:00"/>
        <d v="2024-06-25T00:00:00"/>
        <d v="2024-06-24T00:00:00"/>
        <d v="2024-06-23T00:00:00"/>
        <d v="2024-06-22T00:00:00"/>
        <d v="2024-06-21T00:00:00"/>
        <d v="2024-06-20T00:00:00"/>
        <d v="2024-06-19T00:00:00"/>
        <d v="2024-06-18T00:00:00"/>
        <d v="2024-06-17T00:00:00"/>
        <d v="2024-06-16T00:00:00"/>
        <d v="2024-06-15T00:00:00"/>
        <d v="2024-06-14T00:00:00"/>
        <d v="2024-06-13T00:00:00"/>
        <d v="2024-06-12T00:00:00"/>
        <d v="2024-06-11T00:00:00"/>
        <d v="2024-06-10T00:00:00"/>
        <d v="2024-06-09T00:00:00"/>
        <d v="2024-06-08T00:00:00"/>
        <d v="2024-06-07T00:00:00"/>
        <d v="2024-06-06T00:00:00"/>
        <d v="2024-06-05T00:00:00"/>
        <d v="2024-06-04T00:00:00"/>
        <d v="2024-06-03T00:00:00"/>
        <d v="2024-06-02T00:00:00"/>
        <d v="2024-05-31T00:00:00"/>
        <d v="2024-05-30T00:00:00"/>
        <d v="2024-05-29T00:00:00"/>
        <d v="2024-05-28T00:00:00"/>
        <d v="2024-05-27T00:00:00"/>
        <d v="2024-05-26T00:00:00"/>
        <d v="2024-05-25T00:00:00"/>
        <d v="2024-05-24T00:00:00"/>
        <d v="2024-05-23T00:00:00"/>
        <d v="2024-05-22T00:00:00"/>
        <d v="2024-05-21T00:00:00"/>
        <d v="2024-05-20T00:00:00"/>
        <d v="2024-05-19T00:00:00"/>
        <d v="2024-05-18T00:00:00"/>
        <d v="2024-05-17T00:00:00"/>
        <d v="2024-05-16T00:00:00"/>
        <d v="2024-05-15T00:00:00"/>
        <d v="2024-05-14T00:00:00"/>
        <d v="2024-05-13T00:00:00"/>
        <d v="2024-05-12T00:00:00"/>
        <d v="2024-05-10T00:00:00"/>
        <d v="2024-05-09T00:00:00"/>
        <d v="2024-05-08T00:00:00"/>
        <d v="2024-05-07T00:00:00"/>
        <d v="2024-05-06T00:00:00"/>
        <d v="2024-05-05T00:00:00"/>
        <d v="2024-05-04T00:00:00"/>
        <d v="2024-05-03T00:00:00"/>
        <d v="2024-05-02T00:00:00"/>
        <d v="2024-05-01T00:00:00"/>
        <d v="2024-04-30T00:00:00"/>
        <d v="2024-04-29T00:00:00"/>
        <d v="2024-04-28T00:00:00"/>
        <d v="2024-04-27T00:00:00"/>
        <d v="2024-04-26T00:00:00"/>
        <d v="2024-04-24T00:00:00"/>
        <d v="2024-04-23T00:00:00"/>
        <d v="2024-04-22T00:00:00"/>
        <d v="2024-04-20T00:00:00"/>
        <d v="2024-04-19T00:00:00"/>
        <d v="2024-04-18T00:00:00"/>
        <d v="2024-04-17T00:00:00"/>
        <d v="2024-04-16T00:00:00"/>
        <d v="2024-04-15T00:00:00"/>
        <d v="2024-04-13T00:00:00"/>
        <d v="2024-04-12T00:00:00"/>
        <d v="2024-04-11T00:00:00"/>
        <d v="2024-04-10T00:00:00"/>
        <d v="2024-04-09T00:00:00"/>
        <d v="2024-04-07T00:00:00"/>
        <d v="2024-04-06T00:00:00"/>
        <d v="2024-04-05T00:00:00"/>
        <d v="2024-04-04T00:00:00"/>
        <d v="2024-04-03T00:00:00"/>
        <d v="2024-04-02T00:00:00"/>
        <d v="2024-04-01T00:00:00"/>
        <d v="2024-03-31T00:00:00"/>
        <d v="2024-03-30T00:00:00"/>
        <d v="2024-03-29T00:00:00"/>
        <d v="2024-03-28T00:00:00"/>
        <d v="2024-03-27T00:00:00"/>
        <d v="2024-03-26T00:00:00"/>
        <d v="2024-03-25T00:00:00"/>
        <d v="2024-03-24T00:00:00"/>
        <d v="2024-03-23T00:00:00"/>
        <d v="2024-03-22T00:00:00"/>
        <d v="2024-03-21T00:00:00"/>
        <d v="2024-03-20T00:00:00"/>
        <d v="2024-03-19T00:00:00"/>
        <d v="2024-03-18T00:00:00"/>
        <d v="2024-03-17T00:00:00"/>
        <d v="2024-03-16T00:00:00"/>
        <d v="2024-03-15T00:00:00"/>
        <d v="2024-03-14T00:00:00"/>
        <d v="2024-03-13T00:00:00"/>
        <d v="2024-03-12T00:00:00"/>
        <d v="2024-03-10T00:00:00"/>
        <d v="2024-03-09T00:00:00"/>
        <d v="2024-03-08T00:00:00"/>
        <d v="2024-03-07T00:00:00"/>
        <d v="2024-03-06T00:00:00"/>
        <d v="2024-03-05T00:00:00"/>
        <d v="2024-03-04T00:00:00"/>
        <d v="2024-03-03T00:00:00"/>
        <d v="2024-03-02T00:00:00"/>
        <d v="2024-03-01T00:00:00"/>
        <d v="2024-02-29T00:00:00"/>
        <d v="2024-02-28T00:00:00"/>
        <d v="2024-02-27T00:00:00"/>
        <d v="2024-02-26T00:00:00"/>
        <d v="2024-02-25T00:00:00"/>
        <d v="2024-02-24T00:00:00"/>
        <d v="2024-02-23T00:00:00"/>
        <d v="2024-02-22T00:00:00"/>
        <d v="2024-02-21T00:00:00"/>
        <d v="2024-02-19T00:00:00"/>
        <d v="2024-02-18T00:00:00"/>
        <d v="2024-02-17T00:00:00"/>
        <d v="2024-02-16T00:00:00"/>
        <d v="2024-02-15T00:00:00"/>
        <d v="2024-02-14T00:00:00"/>
        <d v="2024-02-13T00:00:00"/>
        <d v="2024-02-12T00:00:00"/>
        <d v="2024-02-11T00:00:00"/>
        <d v="2024-02-10T00:00:00"/>
        <d v="2024-02-09T00:00:00"/>
        <d v="2024-02-08T00:00:00"/>
        <d v="2024-02-07T00:00:00"/>
        <d v="2024-02-06T00:00:00"/>
        <d v="2024-02-05T00:00:00"/>
        <d v="2024-02-02T00:00:00"/>
        <d v="2024-01-31T00:00:00"/>
        <d v="2024-01-30T00:00:00"/>
        <d v="2024-01-29T00:00:00"/>
        <d v="2024-01-28T00:00:00"/>
        <d v="2024-01-27T00:00:00"/>
        <d v="2024-01-26T00:00:00"/>
        <d v="2024-01-25T00:00:00"/>
        <d v="2024-01-24T00:00:00"/>
        <d v="2024-01-23T00:00:00"/>
        <d v="2024-01-22T00:00:00"/>
        <d v="2024-01-21T00:00:00"/>
        <d v="2024-01-20T00:00:00"/>
        <d v="2024-01-19T00:00:00"/>
        <d v="2024-01-18T00:00:00"/>
        <d v="2024-01-17T00:00:00"/>
        <d v="2024-01-16T00:00:00"/>
        <d v="2024-01-15T00:00:00"/>
        <d v="2024-01-14T00:00:00"/>
        <d v="2024-01-13T00:00:00"/>
        <d v="2024-01-12T00:00:00"/>
        <d v="2024-01-11T00:00:00"/>
        <d v="2024-01-10T00:00:00"/>
        <d v="2024-01-09T00:00:00"/>
        <d v="2024-01-08T00:00:00"/>
        <d v="2024-01-07T00:00:00"/>
        <d v="2024-01-06T00:00:00"/>
        <d v="2024-01-05T00:00:00"/>
        <d v="2024-01-04T00:00:00"/>
        <d v="2024-01-03T00:00:00"/>
        <d v="2024-01-02T00:00:00"/>
        <d v="2024-01-01T00:00:00"/>
      </sharedItems>
      <fieldGroup par="24"/>
    </cacheField>
    <cacheField name="Employment Status" numFmtId="0">
      <sharedItems count="2">
        <s v="Active"/>
        <s v="Resigned"/>
      </sharedItems>
    </cacheField>
    <cacheField name="Work Mode" numFmtId="0">
      <sharedItems count="3">
        <s v="On-Site"/>
        <s v="Hybrid"/>
        <s v="Remote"/>
      </sharedItems>
    </cacheField>
    <cacheField name="Education" numFmtId="0">
      <sharedItems count="5">
        <s v="Mba"/>
        <s v="Bscs"/>
        <s v="Bachelor"/>
        <s v="Bba"/>
        <s v="Master"/>
      </sharedItems>
    </cacheField>
    <cacheField name="Hire Source" numFmtId="0">
      <sharedItems/>
    </cacheField>
    <cacheField name="City" numFmtId="0">
      <sharedItems count="8">
        <s v="Lahore"/>
        <s v="Rawalpindi"/>
        <s v="Multan"/>
        <s v="Karachi"/>
        <s v="Faisalabad"/>
        <s v="Sialkot"/>
        <s v="Peshawar"/>
        <s v="Islamabad"/>
      </sharedItems>
    </cacheField>
    <cacheField name="Manager" numFmtId="0">
      <sharedItems/>
    </cacheField>
    <cacheField name="Salary" numFmtId="4">
      <sharedItems containsSemiMixedTypes="0" containsString="0" containsNumber="1" containsInteger="1" minValue="35240" maxValue="249909"/>
    </cacheField>
    <cacheField name="Bonus" numFmtId="4">
      <sharedItems containsSemiMixedTypes="0" containsString="0" containsNumber="1" containsInteger="1" minValue="5022" maxValue="49994"/>
    </cacheField>
    <cacheField name="Attendance %" numFmtId="165">
      <sharedItems containsSemiMixedTypes="0" containsString="0" containsNumber="1" minValue="80" maxValue="100"/>
    </cacheField>
    <cacheField name="Leave Days" numFmtId="1">
      <sharedItems containsSemiMixedTypes="0" containsString="0" containsNumber="1" containsInteger="1" minValue="0" maxValue="10"/>
    </cacheField>
    <cacheField name="Overtime Hours" numFmtId="166">
      <sharedItems containsSemiMixedTypes="0" containsString="0" containsNumber="1" containsInteger="1" minValue="0" maxValue="30"/>
    </cacheField>
    <cacheField name="Performance Rating" numFmtId="166">
      <sharedItems containsSemiMixedTypes="0" containsString="0" containsNumber="1" containsInteger="1" minValue="1" maxValue="5"/>
    </cacheField>
    <cacheField name="Training Hours" numFmtId="1">
      <sharedItems containsSemiMixedTypes="0" containsString="0" containsNumber="1" containsInteger="1" minValue="0" maxValue="40"/>
    </cacheField>
    <cacheField name="Satisfaction Score" numFmtId="166">
      <sharedItems containsSemiMixedTypes="0" containsString="0" containsNumber="1" containsInteger="1" minValue="60" maxValue="100"/>
    </cacheField>
    <cacheField name="Promotion" numFmtId="0">
      <sharedItems count="2">
        <s v="No"/>
        <s v="Yes"/>
      </sharedItems>
    </cacheField>
    <cacheField name="Attrition Reason" numFmtId="0">
      <sharedItems containsBlank="1" count="6">
        <m/>
        <s v="Relocation"/>
        <s v="Higher Studies"/>
        <s v="Better Opportunity"/>
        <s v="Personal"/>
        <s v="Performance"/>
      </sharedItems>
    </cacheField>
    <cacheField name="Quarters (Joining Date)" numFmtId="0" databaseField="0">
      <fieldGroup base="6">
        <rangePr groupBy="quarters" startDate="2024-01-01T00:00:00" endDate="2026-01-01T00:00:00"/>
        <groupItems count="6">
          <s v="&lt;1/1/2024"/>
          <s v="Qtr1"/>
          <s v="Qtr2"/>
          <s v="Qtr3"/>
          <s v="Qtr4"/>
          <s v="&gt;1/1/2026"/>
        </groupItems>
      </fieldGroup>
    </cacheField>
    <cacheField name="Years (Joining Date)" numFmtId="0" databaseField="0">
      <fieldGroup base="6">
        <rangePr groupBy="years" startDate="2024-01-01T00:00:00" endDate="2026-01-01T00:00:00"/>
        <groupItems count="5">
          <s v="&lt;1/1/2024"/>
          <s v="2024"/>
          <s v="2025"/>
          <s v="2026"/>
          <s v="&gt;1/1/2026"/>
        </groupItems>
      </fieldGroup>
    </cacheField>
  </cacheFields>
  <extLst>
    <ext xmlns:x14="http://schemas.microsoft.com/office/spreadsheetml/2009/9/main" uri="{725AE2AE-9491-48be-B2B4-4EB974FC3084}">
      <x14:pivotCacheDefinition pivotCacheId="16513333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EMP00204"/>
    <x v="0"/>
    <x v="0"/>
    <n v="23"/>
    <x v="0"/>
    <x v="0"/>
    <x v="0"/>
    <x v="0"/>
    <x v="0"/>
    <x v="0"/>
    <s v="Linkedin"/>
    <x v="0"/>
    <s v="Usman Tariq"/>
    <n v="203403"/>
    <n v="37575"/>
    <n v="80"/>
    <n v="9"/>
    <n v="29"/>
    <n v="3"/>
    <n v="32"/>
    <n v="98"/>
    <x v="0"/>
    <x v="0"/>
  </r>
  <r>
    <s v="EMP00850"/>
    <x v="1"/>
    <x v="0"/>
    <n v="29"/>
    <x v="1"/>
    <x v="1"/>
    <x v="0"/>
    <x v="0"/>
    <x v="1"/>
    <x v="1"/>
    <s v="Agency"/>
    <x v="0"/>
    <s v="Fatima Noor"/>
    <n v="126112"/>
    <n v="42671"/>
    <n v="83.8"/>
    <n v="8"/>
    <n v="19"/>
    <n v="5"/>
    <n v="19"/>
    <n v="80"/>
    <x v="0"/>
    <x v="0"/>
  </r>
  <r>
    <s v="EMP00951"/>
    <x v="2"/>
    <x v="0"/>
    <n v="55"/>
    <x v="2"/>
    <x v="2"/>
    <x v="0"/>
    <x v="0"/>
    <x v="0"/>
    <x v="2"/>
    <s v="Agency"/>
    <x v="1"/>
    <s v="Usman Tariq"/>
    <n v="97268"/>
    <n v="31056"/>
    <n v="89.6"/>
    <n v="5"/>
    <n v="11"/>
    <n v="5"/>
    <n v="18"/>
    <n v="64"/>
    <x v="0"/>
    <x v="0"/>
  </r>
  <r>
    <s v="EMP01769"/>
    <x v="3"/>
    <x v="1"/>
    <n v="39"/>
    <x v="3"/>
    <x v="1"/>
    <x v="0"/>
    <x v="0"/>
    <x v="0"/>
    <x v="1"/>
    <s v="Campus"/>
    <x v="2"/>
    <s v="Usman Tariq"/>
    <n v="122703"/>
    <n v="7595"/>
    <n v="95.9"/>
    <n v="2"/>
    <n v="11"/>
    <n v="4"/>
    <n v="4"/>
    <n v="63"/>
    <x v="0"/>
    <x v="0"/>
  </r>
  <r>
    <s v="EMP00383"/>
    <x v="4"/>
    <x v="0"/>
    <n v="38"/>
    <x v="2"/>
    <x v="3"/>
    <x v="1"/>
    <x v="0"/>
    <x v="1"/>
    <x v="2"/>
    <s v="Campus"/>
    <x v="3"/>
    <s v="Usman Tariq"/>
    <n v="239357"/>
    <n v="22718"/>
    <n v="92.3"/>
    <n v="3"/>
    <n v="18"/>
    <n v="3"/>
    <n v="21"/>
    <n v="87"/>
    <x v="0"/>
    <x v="0"/>
  </r>
  <r>
    <s v="EMP00952"/>
    <x v="5"/>
    <x v="0"/>
    <n v="22"/>
    <x v="4"/>
    <x v="3"/>
    <x v="1"/>
    <x v="0"/>
    <x v="0"/>
    <x v="3"/>
    <s v="Campus"/>
    <x v="1"/>
    <s v="Fatima Noor"/>
    <n v="60651"/>
    <n v="10637"/>
    <n v="82.3"/>
    <n v="2"/>
    <n v="3"/>
    <n v="1"/>
    <n v="4"/>
    <n v="64"/>
    <x v="1"/>
    <x v="0"/>
  </r>
  <r>
    <s v="EMP01807"/>
    <x v="6"/>
    <x v="0"/>
    <n v="33"/>
    <x v="3"/>
    <x v="2"/>
    <x v="1"/>
    <x v="0"/>
    <x v="1"/>
    <x v="2"/>
    <s v="Linkedin"/>
    <x v="3"/>
    <s v="Usman Tariq"/>
    <n v="68844"/>
    <n v="45258"/>
    <n v="93.4"/>
    <n v="0"/>
    <n v="26"/>
    <n v="3"/>
    <n v="24"/>
    <n v="75"/>
    <x v="0"/>
    <x v="0"/>
  </r>
  <r>
    <s v="EMP00541"/>
    <x v="7"/>
    <x v="0"/>
    <n v="47"/>
    <x v="5"/>
    <x v="1"/>
    <x v="2"/>
    <x v="1"/>
    <x v="1"/>
    <x v="0"/>
    <s v="Linkedin"/>
    <x v="1"/>
    <s v="Fatima Noor"/>
    <n v="67788"/>
    <n v="9766"/>
    <n v="87.7"/>
    <n v="1"/>
    <n v="25"/>
    <n v="2"/>
    <n v="15"/>
    <n v="76"/>
    <x v="0"/>
    <x v="1"/>
  </r>
  <r>
    <s v="EMP01079"/>
    <x v="8"/>
    <x v="1"/>
    <n v="42"/>
    <x v="4"/>
    <x v="4"/>
    <x v="3"/>
    <x v="1"/>
    <x v="1"/>
    <x v="1"/>
    <s v="Referral"/>
    <x v="1"/>
    <s v="Sara Ali"/>
    <n v="177802"/>
    <n v="44208"/>
    <n v="81"/>
    <n v="6"/>
    <n v="28"/>
    <n v="1"/>
    <n v="21"/>
    <n v="74"/>
    <x v="0"/>
    <x v="2"/>
  </r>
  <r>
    <s v="EMP00313"/>
    <x v="9"/>
    <x v="0"/>
    <n v="58"/>
    <x v="3"/>
    <x v="4"/>
    <x v="4"/>
    <x v="0"/>
    <x v="1"/>
    <x v="3"/>
    <s v="Agency"/>
    <x v="4"/>
    <s v="Sara Ali"/>
    <n v="187096"/>
    <n v="24133"/>
    <n v="86"/>
    <n v="3"/>
    <n v="3"/>
    <n v="3"/>
    <n v="23"/>
    <n v="64"/>
    <x v="0"/>
    <x v="0"/>
  </r>
  <r>
    <s v="EMP00750"/>
    <x v="10"/>
    <x v="1"/>
    <n v="51"/>
    <x v="1"/>
    <x v="5"/>
    <x v="4"/>
    <x v="0"/>
    <x v="1"/>
    <x v="3"/>
    <s v="Campus"/>
    <x v="1"/>
    <s v="Bilal Khan"/>
    <n v="148380"/>
    <n v="13466"/>
    <n v="96.4"/>
    <n v="4"/>
    <n v="25"/>
    <n v="4"/>
    <n v="8"/>
    <n v="87"/>
    <x v="0"/>
    <x v="0"/>
  </r>
  <r>
    <s v="EMP01393"/>
    <x v="11"/>
    <x v="1"/>
    <n v="33"/>
    <x v="6"/>
    <x v="2"/>
    <x v="4"/>
    <x v="0"/>
    <x v="0"/>
    <x v="2"/>
    <s v="Campus"/>
    <x v="3"/>
    <s v="Sara Ali"/>
    <n v="176444"/>
    <n v="18335"/>
    <n v="82.9"/>
    <n v="8"/>
    <n v="20"/>
    <n v="3"/>
    <n v="35"/>
    <n v="96"/>
    <x v="0"/>
    <x v="0"/>
  </r>
  <r>
    <s v="EMP00385"/>
    <x v="12"/>
    <x v="1"/>
    <n v="52"/>
    <x v="6"/>
    <x v="6"/>
    <x v="5"/>
    <x v="0"/>
    <x v="1"/>
    <x v="1"/>
    <s v="Agency"/>
    <x v="5"/>
    <s v="Ahmed Raza"/>
    <n v="56826"/>
    <n v="38163"/>
    <n v="95.6"/>
    <n v="4"/>
    <n v="21"/>
    <n v="4"/>
    <n v="35"/>
    <n v="80"/>
    <x v="0"/>
    <x v="0"/>
  </r>
  <r>
    <s v="EMP00778"/>
    <x v="13"/>
    <x v="0"/>
    <n v="44"/>
    <x v="6"/>
    <x v="6"/>
    <x v="5"/>
    <x v="0"/>
    <x v="1"/>
    <x v="1"/>
    <s v="Website"/>
    <x v="3"/>
    <s v="Sara Ali"/>
    <n v="55690"/>
    <n v="29309"/>
    <n v="84.4"/>
    <n v="4"/>
    <n v="14"/>
    <n v="5"/>
    <n v="3"/>
    <n v="63"/>
    <x v="0"/>
    <x v="0"/>
  </r>
  <r>
    <s v="EMP01436"/>
    <x v="14"/>
    <x v="0"/>
    <n v="27"/>
    <x v="5"/>
    <x v="2"/>
    <x v="5"/>
    <x v="0"/>
    <x v="1"/>
    <x v="4"/>
    <s v="Agency"/>
    <x v="5"/>
    <s v="Sara Ali"/>
    <n v="128273"/>
    <n v="42351"/>
    <n v="83.7"/>
    <n v="0"/>
    <n v="13"/>
    <n v="5"/>
    <n v="35"/>
    <n v="72"/>
    <x v="1"/>
    <x v="0"/>
  </r>
  <r>
    <s v="EMP00308"/>
    <x v="15"/>
    <x v="0"/>
    <n v="39"/>
    <x v="6"/>
    <x v="7"/>
    <x v="6"/>
    <x v="0"/>
    <x v="1"/>
    <x v="0"/>
    <s v="Website"/>
    <x v="3"/>
    <s v="Ahmed Raza"/>
    <n v="154597"/>
    <n v="43121"/>
    <n v="94.2"/>
    <n v="4"/>
    <n v="2"/>
    <n v="4"/>
    <n v="39"/>
    <n v="72"/>
    <x v="0"/>
    <x v="0"/>
  </r>
  <r>
    <s v="EMP00334"/>
    <x v="16"/>
    <x v="0"/>
    <n v="45"/>
    <x v="7"/>
    <x v="2"/>
    <x v="6"/>
    <x v="0"/>
    <x v="0"/>
    <x v="4"/>
    <s v="Website"/>
    <x v="4"/>
    <s v="Sara Ali"/>
    <n v="65241"/>
    <n v="35207"/>
    <n v="99"/>
    <n v="4"/>
    <n v="21"/>
    <n v="1"/>
    <n v="13"/>
    <n v="100"/>
    <x v="0"/>
    <x v="0"/>
  </r>
  <r>
    <s v="EMP01239"/>
    <x v="17"/>
    <x v="1"/>
    <n v="21"/>
    <x v="7"/>
    <x v="6"/>
    <x v="6"/>
    <x v="0"/>
    <x v="1"/>
    <x v="4"/>
    <s v="Agency"/>
    <x v="5"/>
    <s v="Ahmed Raza"/>
    <n v="188869"/>
    <n v="19608"/>
    <n v="84.9"/>
    <n v="7"/>
    <n v="13"/>
    <n v="2"/>
    <n v="1"/>
    <n v="85"/>
    <x v="0"/>
    <x v="0"/>
  </r>
  <r>
    <s v="EMP00876"/>
    <x v="18"/>
    <x v="0"/>
    <n v="33"/>
    <x v="0"/>
    <x v="2"/>
    <x v="7"/>
    <x v="0"/>
    <x v="1"/>
    <x v="4"/>
    <s v="Campus"/>
    <x v="6"/>
    <s v="Sara Ali"/>
    <n v="241687"/>
    <n v="16301"/>
    <n v="93.6"/>
    <n v="3"/>
    <n v="27"/>
    <n v="4"/>
    <n v="38"/>
    <n v="66"/>
    <x v="0"/>
    <x v="0"/>
  </r>
  <r>
    <s v="EMP00255"/>
    <x v="19"/>
    <x v="1"/>
    <n v="56"/>
    <x v="6"/>
    <x v="7"/>
    <x v="8"/>
    <x v="0"/>
    <x v="0"/>
    <x v="3"/>
    <s v="Campus"/>
    <x v="7"/>
    <s v="Bilal Khan"/>
    <n v="182392"/>
    <n v="40037"/>
    <n v="93.1"/>
    <n v="6"/>
    <n v="26"/>
    <n v="3"/>
    <n v="35"/>
    <n v="69"/>
    <x v="0"/>
    <x v="0"/>
  </r>
  <r>
    <s v="EMP01301"/>
    <x v="20"/>
    <x v="1"/>
    <n v="56"/>
    <x v="0"/>
    <x v="5"/>
    <x v="8"/>
    <x v="0"/>
    <x v="1"/>
    <x v="2"/>
    <s v="Agency"/>
    <x v="3"/>
    <s v="Ahmed Raza"/>
    <n v="242675"/>
    <n v="6682"/>
    <n v="92.4"/>
    <n v="1"/>
    <n v="21"/>
    <n v="3"/>
    <n v="7"/>
    <n v="68"/>
    <x v="0"/>
    <x v="0"/>
  </r>
  <r>
    <s v="EMP00157"/>
    <x v="21"/>
    <x v="1"/>
    <n v="44"/>
    <x v="5"/>
    <x v="4"/>
    <x v="9"/>
    <x v="0"/>
    <x v="1"/>
    <x v="3"/>
    <s v="Referral"/>
    <x v="4"/>
    <s v="Bilal Khan"/>
    <n v="165915"/>
    <n v="36136"/>
    <n v="97.7"/>
    <n v="4"/>
    <n v="24"/>
    <n v="4"/>
    <n v="31"/>
    <n v="86"/>
    <x v="0"/>
    <x v="0"/>
  </r>
  <r>
    <s v="EMP00388"/>
    <x v="22"/>
    <x v="0"/>
    <n v="49"/>
    <x v="3"/>
    <x v="6"/>
    <x v="9"/>
    <x v="0"/>
    <x v="0"/>
    <x v="4"/>
    <s v="Referral"/>
    <x v="7"/>
    <s v="Bilal Khan"/>
    <n v="142848"/>
    <n v="27068"/>
    <n v="92.2"/>
    <n v="7"/>
    <n v="21"/>
    <n v="1"/>
    <n v="9"/>
    <n v="99"/>
    <x v="0"/>
    <x v="0"/>
  </r>
  <r>
    <s v="EMP00769"/>
    <x v="23"/>
    <x v="0"/>
    <n v="34"/>
    <x v="1"/>
    <x v="6"/>
    <x v="9"/>
    <x v="0"/>
    <x v="2"/>
    <x v="1"/>
    <s v="Campus"/>
    <x v="1"/>
    <s v="Ahmed Raza"/>
    <n v="136026"/>
    <n v="26066"/>
    <n v="93.1"/>
    <n v="8"/>
    <n v="14"/>
    <n v="5"/>
    <n v="9"/>
    <n v="84"/>
    <x v="0"/>
    <x v="0"/>
  </r>
  <r>
    <s v="EMP01077"/>
    <x v="24"/>
    <x v="1"/>
    <n v="41"/>
    <x v="2"/>
    <x v="3"/>
    <x v="9"/>
    <x v="0"/>
    <x v="1"/>
    <x v="0"/>
    <s v="Website"/>
    <x v="0"/>
    <s v="Fatima Noor"/>
    <n v="93581"/>
    <n v="7327"/>
    <n v="99.7"/>
    <n v="10"/>
    <n v="16"/>
    <n v="2"/>
    <n v="32"/>
    <n v="85"/>
    <x v="0"/>
    <x v="0"/>
  </r>
  <r>
    <s v="EMP01170"/>
    <x v="25"/>
    <x v="1"/>
    <n v="55"/>
    <x v="4"/>
    <x v="4"/>
    <x v="9"/>
    <x v="0"/>
    <x v="0"/>
    <x v="3"/>
    <s v="Referral"/>
    <x v="5"/>
    <s v="Usman Tariq"/>
    <n v="174541"/>
    <n v="8837"/>
    <n v="83.6"/>
    <n v="10"/>
    <n v="5"/>
    <n v="3"/>
    <n v="19"/>
    <n v="71"/>
    <x v="0"/>
    <x v="0"/>
  </r>
  <r>
    <s v="EMP01535"/>
    <x v="26"/>
    <x v="1"/>
    <n v="31"/>
    <x v="7"/>
    <x v="3"/>
    <x v="9"/>
    <x v="0"/>
    <x v="0"/>
    <x v="2"/>
    <s v="Website"/>
    <x v="5"/>
    <s v="Usman Tariq"/>
    <n v="70263"/>
    <n v="7596"/>
    <n v="88.2"/>
    <n v="10"/>
    <n v="19"/>
    <n v="2"/>
    <n v="21"/>
    <n v="70"/>
    <x v="1"/>
    <x v="0"/>
  </r>
  <r>
    <s v="EMP00641"/>
    <x v="27"/>
    <x v="1"/>
    <n v="47"/>
    <x v="1"/>
    <x v="7"/>
    <x v="10"/>
    <x v="0"/>
    <x v="2"/>
    <x v="2"/>
    <s v="Website"/>
    <x v="4"/>
    <s v="Bilal Khan"/>
    <n v="139735"/>
    <n v="17146"/>
    <n v="97"/>
    <n v="10"/>
    <n v="10"/>
    <n v="5"/>
    <n v="39"/>
    <n v="79"/>
    <x v="0"/>
    <x v="0"/>
  </r>
  <r>
    <s v="EMP00649"/>
    <x v="28"/>
    <x v="1"/>
    <n v="59"/>
    <x v="4"/>
    <x v="7"/>
    <x v="10"/>
    <x v="0"/>
    <x v="2"/>
    <x v="1"/>
    <s v="Agency"/>
    <x v="7"/>
    <s v="Usman Tariq"/>
    <n v="97342"/>
    <n v="15082"/>
    <n v="96.9"/>
    <n v="3"/>
    <n v="14"/>
    <n v="4"/>
    <n v="21"/>
    <n v="88"/>
    <x v="1"/>
    <x v="0"/>
  </r>
  <r>
    <s v="EMP01061"/>
    <x v="29"/>
    <x v="1"/>
    <n v="41"/>
    <x v="3"/>
    <x v="7"/>
    <x v="10"/>
    <x v="0"/>
    <x v="0"/>
    <x v="3"/>
    <s v="Referral"/>
    <x v="6"/>
    <s v="Ahmed Raza"/>
    <n v="190397"/>
    <n v="11580"/>
    <n v="89.3"/>
    <n v="9"/>
    <n v="3"/>
    <n v="5"/>
    <n v="22"/>
    <n v="80"/>
    <x v="0"/>
    <x v="0"/>
  </r>
  <r>
    <s v="EMP01397"/>
    <x v="30"/>
    <x v="1"/>
    <n v="60"/>
    <x v="6"/>
    <x v="3"/>
    <x v="10"/>
    <x v="0"/>
    <x v="0"/>
    <x v="1"/>
    <s v="Agency"/>
    <x v="7"/>
    <s v="Ahmed Raza"/>
    <n v="222550"/>
    <n v="12181"/>
    <n v="88.5"/>
    <n v="6"/>
    <n v="29"/>
    <n v="3"/>
    <n v="2"/>
    <n v="69"/>
    <x v="0"/>
    <x v="0"/>
  </r>
  <r>
    <s v="EMP00166"/>
    <x v="27"/>
    <x v="0"/>
    <n v="30"/>
    <x v="2"/>
    <x v="3"/>
    <x v="11"/>
    <x v="0"/>
    <x v="0"/>
    <x v="0"/>
    <s v="Linkedin"/>
    <x v="4"/>
    <s v="Sara Ali"/>
    <n v="210798"/>
    <n v="32205"/>
    <n v="84.7"/>
    <n v="0"/>
    <n v="22"/>
    <n v="4"/>
    <n v="36"/>
    <n v="92"/>
    <x v="0"/>
    <x v="0"/>
  </r>
  <r>
    <s v="EMP00455"/>
    <x v="31"/>
    <x v="0"/>
    <n v="32"/>
    <x v="3"/>
    <x v="6"/>
    <x v="11"/>
    <x v="0"/>
    <x v="0"/>
    <x v="3"/>
    <s v="Website"/>
    <x v="5"/>
    <s v="Bilal Khan"/>
    <n v="77676"/>
    <n v="20303"/>
    <n v="99.8"/>
    <n v="0"/>
    <n v="23"/>
    <n v="3"/>
    <n v="20"/>
    <n v="87"/>
    <x v="0"/>
    <x v="0"/>
  </r>
  <r>
    <s v="EMP00871"/>
    <x v="32"/>
    <x v="0"/>
    <n v="31"/>
    <x v="3"/>
    <x v="3"/>
    <x v="11"/>
    <x v="0"/>
    <x v="1"/>
    <x v="0"/>
    <s v="Campus"/>
    <x v="2"/>
    <s v="Sara Ali"/>
    <n v="105396"/>
    <n v="13661"/>
    <n v="86.8"/>
    <n v="10"/>
    <n v="26"/>
    <n v="5"/>
    <n v="11"/>
    <n v="77"/>
    <x v="0"/>
    <x v="0"/>
  </r>
  <r>
    <s v="EMP01682"/>
    <x v="33"/>
    <x v="0"/>
    <n v="36"/>
    <x v="7"/>
    <x v="4"/>
    <x v="11"/>
    <x v="0"/>
    <x v="0"/>
    <x v="3"/>
    <s v="Website"/>
    <x v="0"/>
    <s v="Sara Ali"/>
    <n v="184496"/>
    <n v="12520"/>
    <n v="96.2"/>
    <n v="2"/>
    <n v="4"/>
    <n v="4"/>
    <n v="5"/>
    <n v="82"/>
    <x v="0"/>
    <x v="0"/>
  </r>
  <r>
    <s v="EMP00266"/>
    <x v="34"/>
    <x v="1"/>
    <n v="32"/>
    <x v="0"/>
    <x v="3"/>
    <x v="12"/>
    <x v="0"/>
    <x v="0"/>
    <x v="3"/>
    <s v="Agency"/>
    <x v="4"/>
    <s v="Usman Tariq"/>
    <n v="164686"/>
    <n v="21876"/>
    <n v="93.7"/>
    <n v="10"/>
    <n v="14"/>
    <n v="4"/>
    <n v="40"/>
    <n v="63"/>
    <x v="1"/>
    <x v="0"/>
  </r>
  <r>
    <s v="EMP00446"/>
    <x v="35"/>
    <x v="1"/>
    <n v="51"/>
    <x v="5"/>
    <x v="7"/>
    <x v="12"/>
    <x v="0"/>
    <x v="2"/>
    <x v="0"/>
    <s v="Campus"/>
    <x v="4"/>
    <s v="Sara Ali"/>
    <n v="46189"/>
    <n v="19344"/>
    <n v="98.9"/>
    <n v="3"/>
    <n v="29"/>
    <n v="1"/>
    <n v="33"/>
    <n v="77"/>
    <x v="0"/>
    <x v="0"/>
  </r>
  <r>
    <s v="EMP00524"/>
    <x v="36"/>
    <x v="1"/>
    <n v="58"/>
    <x v="2"/>
    <x v="0"/>
    <x v="12"/>
    <x v="0"/>
    <x v="0"/>
    <x v="4"/>
    <s v="Referral"/>
    <x v="6"/>
    <s v="Usman Tariq"/>
    <n v="73563"/>
    <n v="22175"/>
    <n v="97.6"/>
    <n v="3"/>
    <n v="3"/>
    <n v="4"/>
    <n v="24"/>
    <n v="62"/>
    <x v="0"/>
    <x v="0"/>
  </r>
  <r>
    <s v="EMP00647"/>
    <x v="37"/>
    <x v="1"/>
    <n v="25"/>
    <x v="0"/>
    <x v="4"/>
    <x v="12"/>
    <x v="0"/>
    <x v="1"/>
    <x v="4"/>
    <s v="Linkedin"/>
    <x v="6"/>
    <s v="Ahmed Raza"/>
    <n v="41203"/>
    <n v="33126"/>
    <n v="92"/>
    <n v="1"/>
    <n v="3"/>
    <n v="1"/>
    <n v="6"/>
    <n v="75"/>
    <x v="0"/>
    <x v="0"/>
  </r>
  <r>
    <s v="EMP00174"/>
    <x v="38"/>
    <x v="1"/>
    <n v="44"/>
    <x v="2"/>
    <x v="2"/>
    <x v="13"/>
    <x v="0"/>
    <x v="1"/>
    <x v="2"/>
    <s v="Agency"/>
    <x v="6"/>
    <s v="Usman Tariq"/>
    <n v="200911"/>
    <n v="38247"/>
    <n v="91.4"/>
    <n v="10"/>
    <n v="3"/>
    <n v="2"/>
    <n v="28"/>
    <n v="82"/>
    <x v="0"/>
    <x v="0"/>
  </r>
  <r>
    <s v="EMP01145"/>
    <x v="23"/>
    <x v="1"/>
    <n v="41"/>
    <x v="1"/>
    <x v="6"/>
    <x v="13"/>
    <x v="0"/>
    <x v="1"/>
    <x v="3"/>
    <s v="Referral"/>
    <x v="4"/>
    <s v="Usman Tariq"/>
    <n v="232448"/>
    <n v="17863"/>
    <n v="91.1"/>
    <n v="5"/>
    <n v="5"/>
    <n v="2"/>
    <n v="37"/>
    <n v="94"/>
    <x v="0"/>
    <x v="0"/>
  </r>
  <r>
    <s v="EMP00454"/>
    <x v="10"/>
    <x v="1"/>
    <n v="50"/>
    <x v="2"/>
    <x v="2"/>
    <x v="14"/>
    <x v="0"/>
    <x v="0"/>
    <x v="4"/>
    <s v="Campus"/>
    <x v="0"/>
    <s v="Ahmed Raza"/>
    <n v="147375"/>
    <n v="27711"/>
    <n v="94.7"/>
    <n v="9"/>
    <n v="3"/>
    <n v="3"/>
    <n v="17"/>
    <n v="81"/>
    <x v="1"/>
    <x v="0"/>
  </r>
  <r>
    <s v="EMP00816"/>
    <x v="25"/>
    <x v="0"/>
    <n v="25"/>
    <x v="7"/>
    <x v="5"/>
    <x v="14"/>
    <x v="0"/>
    <x v="0"/>
    <x v="1"/>
    <s v="Referral"/>
    <x v="5"/>
    <s v="Ahmed Raza"/>
    <n v="223737"/>
    <n v="43585"/>
    <n v="82.1"/>
    <n v="10"/>
    <n v="5"/>
    <n v="4"/>
    <n v="27"/>
    <n v="79"/>
    <x v="0"/>
    <x v="0"/>
  </r>
  <r>
    <s v="EMP01350"/>
    <x v="39"/>
    <x v="0"/>
    <n v="57"/>
    <x v="0"/>
    <x v="1"/>
    <x v="14"/>
    <x v="1"/>
    <x v="2"/>
    <x v="2"/>
    <s v="Linkedin"/>
    <x v="1"/>
    <s v="Usman Tariq"/>
    <n v="206421"/>
    <n v="40086"/>
    <n v="86.2"/>
    <n v="8"/>
    <n v="5"/>
    <n v="2"/>
    <n v="6"/>
    <n v="79"/>
    <x v="0"/>
    <x v="3"/>
  </r>
  <r>
    <s v="EMP01738"/>
    <x v="40"/>
    <x v="1"/>
    <n v="25"/>
    <x v="6"/>
    <x v="5"/>
    <x v="14"/>
    <x v="0"/>
    <x v="2"/>
    <x v="2"/>
    <s v="Linkedin"/>
    <x v="2"/>
    <s v="Sara Ali"/>
    <n v="248476"/>
    <n v="40595"/>
    <n v="88.6"/>
    <n v="1"/>
    <n v="30"/>
    <n v="1"/>
    <n v="15"/>
    <n v="62"/>
    <x v="0"/>
    <x v="0"/>
  </r>
  <r>
    <s v="EMP01689"/>
    <x v="41"/>
    <x v="0"/>
    <n v="48"/>
    <x v="8"/>
    <x v="4"/>
    <x v="15"/>
    <x v="0"/>
    <x v="2"/>
    <x v="3"/>
    <s v="Website"/>
    <x v="6"/>
    <s v="Usman Tariq"/>
    <n v="135797"/>
    <n v="30093"/>
    <n v="95.8"/>
    <n v="3"/>
    <n v="11"/>
    <n v="2"/>
    <n v="21"/>
    <n v="71"/>
    <x v="0"/>
    <x v="0"/>
  </r>
  <r>
    <s v="EMP01692"/>
    <x v="42"/>
    <x v="1"/>
    <n v="57"/>
    <x v="1"/>
    <x v="0"/>
    <x v="15"/>
    <x v="0"/>
    <x v="1"/>
    <x v="0"/>
    <s v="Website"/>
    <x v="0"/>
    <s v="Ahmed Raza"/>
    <n v="193901"/>
    <n v="40219"/>
    <n v="93.1"/>
    <n v="5"/>
    <n v="8"/>
    <n v="2"/>
    <n v="32"/>
    <n v="70"/>
    <x v="0"/>
    <x v="0"/>
  </r>
  <r>
    <s v="EMP01830"/>
    <x v="4"/>
    <x v="1"/>
    <n v="26"/>
    <x v="8"/>
    <x v="4"/>
    <x v="15"/>
    <x v="0"/>
    <x v="0"/>
    <x v="2"/>
    <s v="Linkedin"/>
    <x v="7"/>
    <s v="Fatima Noor"/>
    <n v="119008"/>
    <n v="35685"/>
    <n v="83"/>
    <n v="6"/>
    <n v="9"/>
    <n v="4"/>
    <n v="2"/>
    <n v="81"/>
    <x v="0"/>
    <x v="0"/>
  </r>
  <r>
    <s v="EMP01851"/>
    <x v="24"/>
    <x v="0"/>
    <n v="58"/>
    <x v="5"/>
    <x v="2"/>
    <x v="15"/>
    <x v="0"/>
    <x v="0"/>
    <x v="3"/>
    <s v="Website"/>
    <x v="1"/>
    <s v="Sara Ali"/>
    <n v="183775"/>
    <n v="8332"/>
    <n v="85.4"/>
    <n v="6"/>
    <n v="11"/>
    <n v="2"/>
    <n v="36"/>
    <n v="89"/>
    <x v="0"/>
    <x v="0"/>
  </r>
  <r>
    <s v="EMP01874"/>
    <x v="43"/>
    <x v="0"/>
    <n v="41"/>
    <x v="7"/>
    <x v="2"/>
    <x v="15"/>
    <x v="0"/>
    <x v="2"/>
    <x v="1"/>
    <s v="Campus"/>
    <x v="3"/>
    <s v="Bilal Khan"/>
    <n v="205041"/>
    <n v="37205"/>
    <n v="98.1"/>
    <n v="10"/>
    <n v="4"/>
    <n v="4"/>
    <n v="24"/>
    <n v="85"/>
    <x v="0"/>
    <x v="0"/>
  </r>
  <r>
    <s v="EMP00972"/>
    <x v="44"/>
    <x v="1"/>
    <n v="53"/>
    <x v="8"/>
    <x v="3"/>
    <x v="16"/>
    <x v="0"/>
    <x v="2"/>
    <x v="0"/>
    <s v="Campus"/>
    <x v="2"/>
    <s v="Fatima Noor"/>
    <n v="47287"/>
    <n v="15275"/>
    <n v="80.900000000000006"/>
    <n v="0"/>
    <n v="23"/>
    <n v="1"/>
    <n v="28"/>
    <n v="93"/>
    <x v="0"/>
    <x v="0"/>
  </r>
  <r>
    <s v="EMP00526"/>
    <x v="41"/>
    <x v="0"/>
    <n v="24"/>
    <x v="7"/>
    <x v="0"/>
    <x v="17"/>
    <x v="1"/>
    <x v="0"/>
    <x v="0"/>
    <s v="Referral"/>
    <x v="2"/>
    <s v="Usman Tariq"/>
    <n v="150937"/>
    <n v="42547"/>
    <n v="97.3"/>
    <n v="0"/>
    <n v="8"/>
    <n v="3"/>
    <n v="22"/>
    <n v="64"/>
    <x v="0"/>
    <x v="4"/>
  </r>
  <r>
    <s v="EMP01041"/>
    <x v="15"/>
    <x v="0"/>
    <n v="21"/>
    <x v="6"/>
    <x v="5"/>
    <x v="17"/>
    <x v="0"/>
    <x v="1"/>
    <x v="4"/>
    <s v="Website"/>
    <x v="0"/>
    <s v="Ahmed Raza"/>
    <n v="148002"/>
    <n v="37623"/>
    <n v="83.2"/>
    <n v="1"/>
    <n v="4"/>
    <n v="3"/>
    <n v="2"/>
    <n v="66"/>
    <x v="1"/>
    <x v="0"/>
  </r>
  <r>
    <s v="EMP01199"/>
    <x v="45"/>
    <x v="0"/>
    <n v="27"/>
    <x v="5"/>
    <x v="2"/>
    <x v="17"/>
    <x v="0"/>
    <x v="1"/>
    <x v="2"/>
    <s v="Website"/>
    <x v="2"/>
    <s v="Fatima Noor"/>
    <n v="153542"/>
    <n v="34429"/>
    <n v="82.4"/>
    <n v="10"/>
    <n v="27"/>
    <n v="3"/>
    <n v="22"/>
    <n v="69"/>
    <x v="0"/>
    <x v="0"/>
  </r>
  <r>
    <s v="EMP01242"/>
    <x v="46"/>
    <x v="0"/>
    <n v="42"/>
    <x v="0"/>
    <x v="2"/>
    <x v="17"/>
    <x v="1"/>
    <x v="0"/>
    <x v="0"/>
    <s v="Agency"/>
    <x v="0"/>
    <s v="Usman Tariq"/>
    <n v="234966"/>
    <n v="5051"/>
    <n v="88.7"/>
    <n v="3"/>
    <n v="0"/>
    <n v="3"/>
    <n v="18"/>
    <n v="96"/>
    <x v="0"/>
    <x v="3"/>
  </r>
  <r>
    <s v="EMP01382"/>
    <x v="39"/>
    <x v="1"/>
    <n v="47"/>
    <x v="0"/>
    <x v="1"/>
    <x v="17"/>
    <x v="0"/>
    <x v="1"/>
    <x v="3"/>
    <s v="Campus"/>
    <x v="6"/>
    <s v="Usman Tariq"/>
    <n v="129928"/>
    <n v="31794"/>
    <n v="83.5"/>
    <n v="5"/>
    <n v="16"/>
    <n v="4"/>
    <n v="5"/>
    <n v="60"/>
    <x v="0"/>
    <x v="0"/>
  </r>
  <r>
    <s v="EMP00744"/>
    <x v="47"/>
    <x v="1"/>
    <n v="52"/>
    <x v="5"/>
    <x v="7"/>
    <x v="18"/>
    <x v="0"/>
    <x v="0"/>
    <x v="3"/>
    <s v="Campus"/>
    <x v="5"/>
    <s v="Bilal Khan"/>
    <n v="240381"/>
    <n v="45095"/>
    <n v="91"/>
    <n v="3"/>
    <n v="8"/>
    <n v="1"/>
    <n v="1"/>
    <n v="73"/>
    <x v="0"/>
    <x v="0"/>
  </r>
  <r>
    <s v="EMP01257"/>
    <x v="48"/>
    <x v="0"/>
    <n v="32"/>
    <x v="3"/>
    <x v="0"/>
    <x v="18"/>
    <x v="0"/>
    <x v="2"/>
    <x v="2"/>
    <s v="Website"/>
    <x v="7"/>
    <s v="Bilal Khan"/>
    <n v="136490"/>
    <n v="19568"/>
    <n v="80.599999999999994"/>
    <n v="6"/>
    <n v="23"/>
    <n v="5"/>
    <n v="27"/>
    <n v="70"/>
    <x v="1"/>
    <x v="0"/>
  </r>
  <r>
    <s v="EMP01173"/>
    <x v="49"/>
    <x v="1"/>
    <n v="35"/>
    <x v="0"/>
    <x v="5"/>
    <x v="19"/>
    <x v="0"/>
    <x v="1"/>
    <x v="3"/>
    <s v="Agency"/>
    <x v="6"/>
    <s v="Fatima Noor"/>
    <n v="230229"/>
    <n v="40600"/>
    <n v="83.8"/>
    <n v="9"/>
    <n v="18"/>
    <n v="5"/>
    <n v="30"/>
    <n v="72"/>
    <x v="1"/>
    <x v="0"/>
  </r>
  <r>
    <s v="EMP01202"/>
    <x v="48"/>
    <x v="0"/>
    <n v="35"/>
    <x v="0"/>
    <x v="6"/>
    <x v="19"/>
    <x v="0"/>
    <x v="2"/>
    <x v="1"/>
    <s v="Referral"/>
    <x v="5"/>
    <s v="Usman Tariq"/>
    <n v="65294"/>
    <n v="8722"/>
    <n v="98.7"/>
    <n v="10"/>
    <n v="6"/>
    <n v="5"/>
    <n v="6"/>
    <n v="84"/>
    <x v="0"/>
    <x v="0"/>
  </r>
  <r>
    <s v="EMP01894"/>
    <x v="50"/>
    <x v="0"/>
    <n v="42"/>
    <x v="8"/>
    <x v="2"/>
    <x v="19"/>
    <x v="0"/>
    <x v="1"/>
    <x v="3"/>
    <s v="Campus"/>
    <x v="7"/>
    <s v="Bilal Khan"/>
    <n v="145785"/>
    <n v="16039"/>
    <n v="81.3"/>
    <n v="2"/>
    <n v="27"/>
    <n v="1"/>
    <n v="39"/>
    <n v="77"/>
    <x v="0"/>
    <x v="0"/>
  </r>
  <r>
    <s v="EMP01978"/>
    <x v="51"/>
    <x v="0"/>
    <n v="30"/>
    <x v="2"/>
    <x v="4"/>
    <x v="19"/>
    <x v="0"/>
    <x v="1"/>
    <x v="2"/>
    <s v="Agency"/>
    <x v="3"/>
    <s v="Usman Tariq"/>
    <n v="155440"/>
    <n v="11437"/>
    <n v="99.3"/>
    <n v="2"/>
    <n v="6"/>
    <n v="2"/>
    <n v="11"/>
    <n v="94"/>
    <x v="0"/>
    <x v="0"/>
  </r>
  <r>
    <s v="EMP00612"/>
    <x v="52"/>
    <x v="1"/>
    <n v="60"/>
    <x v="4"/>
    <x v="7"/>
    <x v="20"/>
    <x v="1"/>
    <x v="0"/>
    <x v="1"/>
    <s v="Website"/>
    <x v="7"/>
    <s v="Sara Ali"/>
    <n v="176745"/>
    <n v="28492"/>
    <n v="94.5"/>
    <n v="2"/>
    <n v="11"/>
    <n v="3"/>
    <n v="19"/>
    <n v="66"/>
    <x v="0"/>
    <x v="2"/>
  </r>
  <r>
    <s v="EMP00945"/>
    <x v="53"/>
    <x v="0"/>
    <n v="31"/>
    <x v="8"/>
    <x v="5"/>
    <x v="20"/>
    <x v="1"/>
    <x v="2"/>
    <x v="1"/>
    <s v="Website"/>
    <x v="0"/>
    <s v="Usman Tariq"/>
    <n v="152719"/>
    <n v="13536"/>
    <n v="86"/>
    <n v="2"/>
    <n v="27"/>
    <n v="4"/>
    <n v="17"/>
    <n v="78"/>
    <x v="0"/>
    <x v="5"/>
  </r>
  <r>
    <s v="EMP01116"/>
    <x v="54"/>
    <x v="1"/>
    <n v="31"/>
    <x v="8"/>
    <x v="2"/>
    <x v="20"/>
    <x v="0"/>
    <x v="2"/>
    <x v="2"/>
    <s v="Referral"/>
    <x v="1"/>
    <s v="Usman Tariq"/>
    <n v="42479"/>
    <n v="28262"/>
    <n v="87.1"/>
    <n v="0"/>
    <n v="0"/>
    <n v="1"/>
    <n v="39"/>
    <n v="78"/>
    <x v="0"/>
    <x v="0"/>
  </r>
  <r>
    <s v="EMP01652"/>
    <x v="55"/>
    <x v="1"/>
    <n v="43"/>
    <x v="6"/>
    <x v="4"/>
    <x v="20"/>
    <x v="0"/>
    <x v="2"/>
    <x v="2"/>
    <s v="Website"/>
    <x v="6"/>
    <s v="Ahmed Raza"/>
    <n v="194037"/>
    <n v="41395"/>
    <n v="94.4"/>
    <n v="5"/>
    <n v="10"/>
    <n v="4"/>
    <n v="35"/>
    <n v="61"/>
    <x v="0"/>
    <x v="0"/>
  </r>
  <r>
    <s v="EMP00341"/>
    <x v="56"/>
    <x v="0"/>
    <n v="25"/>
    <x v="0"/>
    <x v="1"/>
    <x v="21"/>
    <x v="0"/>
    <x v="1"/>
    <x v="4"/>
    <s v="Website"/>
    <x v="6"/>
    <s v="Ahmed Raza"/>
    <n v="144766"/>
    <n v="48083"/>
    <n v="84.5"/>
    <n v="6"/>
    <n v="27"/>
    <n v="5"/>
    <n v="32"/>
    <n v="100"/>
    <x v="0"/>
    <x v="0"/>
  </r>
  <r>
    <s v="EMP00477"/>
    <x v="57"/>
    <x v="0"/>
    <n v="30"/>
    <x v="5"/>
    <x v="2"/>
    <x v="21"/>
    <x v="0"/>
    <x v="2"/>
    <x v="0"/>
    <s v="Campus"/>
    <x v="4"/>
    <s v="Ahmed Raza"/>
    <n v="221616"/>
    <n v="6274"/>
    <n v="80.400000000000006"/>
    <n v="3"/>
    <n v="24"/>
    <n v="5"/>
    <n v="16"/>
    <n v="69"/>
    <x v="1"/>
    <x v="0"/>
  </r>
  <r>
    <s v="EMP01694"/>
    <x v="17"/>
    <x v="0"/>
    <n v="21"/>
    <x v="8"/>
    <x v="0"/>
    <x v="21"/>
    <x v="0"/>
    <x v="2"/>
    <x v="4"/>
    <s v="Referral"/>
    <x v="5"/>
    <s v="Usman Tariq"/>
    <n v="58691"/>
    <n v="21823"/>
    <n v="97.9"/>
    <n v="4"/>
    <n v="12"/>
    <n v="4"/>
    <n v="5"/>
    <n v="99"/>
    <x v="0"/>
    <x v="0"/>
  </r>
  <r>
    <s v="EMP01629"/>
    <x v="58"/>
    <x v="0"/>
    <n v="33"/>
    <x v="0"/>
    <x v="6"/>
    <x v="22"/>
    <x v="0"/>
    <x v="2"/>
    <x v="4"/>
    <s v="Campus"/>
    <x v="5"/>
    <s v="Ahmed Raza"/>
    <n v="201726"/>
    <n v="40566"/>
    <n v="86.7"/>
    <n v="3"/>
    <n v="22"/>
    <n v="1"/>
    <n v="2"/>
    <n v="85"/>
    <x v="0"/>
    <x v="0"/>
  </r>
  <r>
    <s v="EMP01794"/>
    <x v="48"/>
    <x v="0"/>
    <n v="55"/>
    <x v="8"/>
    <x v="1"/>
    <x v="22"/>
    <x v="0"/>
    <x v="2"/>
    <x v="1"/>
    <s v="Campus"/>
    <x v="3"/>
    <s v="Sara Ali"/>
    <n v="192929"/>
    <n v="12610"/>
    <n v="83.3"/>
    <n v="9"/>
    <n v="22"/>
    <n v="2"/>
    <n v="11"/>
    <n v="99"/>
    <x v="0"/>
    <x v="0"/>
  </r>
  <r>
    <s v="EMP00196"/>
    <x v="2"/>
    <x v="1"/>
    <n v="37"/>
    <x v="4"/>
    <x v="1"/>
    <x v="23"/>
    <x v="0"/>
    <x v="2"/>
    <x v="2"/>
    <s v="Referral"/>
    <x v="4"/>
    <s v="Bilal Khan"/>
    <n v="142436"/>
    <n v="9550"/>
    <n v="93"/>
    <n v="4"/>
    <n v="7"/>
    <n v="1"/>
    <n v="19"/>
    <n v="75"/>
    <x v="0"/>
    <x v="0"/>
  </r>
  <r>
    <s v="EMP00732"/>
    <x v="59"/>
    <x v="0"/>
    <n v="39"/>
    <x v="1"/>
    <x v="2"/>
    <x v="24"/>
    <x v="0"/>
    <x v="0"/>
    <x v="0"/>
    <s v="Referral"/>
    <x v="6"/>
    <s v="Fatima Noor"/>
    <n v="228918"/>
    <n v="24562"/>
    <n v="85"/>
    <n v="8"/>
    <n v="12"/>
    <n v="1"/>
    <n v="37"/>
    <n v="74"/>
    <x v="0"/>
    <x v="0"/>
  </r>
  <r>
    <s v="EMP01716"/>
    <x v="60"/>
    <x v="0"/>
    <n v="30"/>
    <x v="7"/>
    <x v="6"/>
    <x v="24"/>
    <x v="0"/>
    <x v="2"/>
    <x v="4"/>
    <s v="Linkedin"/>
    <x v="2"/>
    <s v="Fatima Noor"/>
    <n v="46516"/>
    <n v="11366"/>
    <n v="95.2"/>
    <n v="4"/>
    <n v="26"/>
    <n v="1"/>
    <n v="13"/>
    <n v="73"/>
    <x v="0"/>
    <x v="0"/>
  </r>
  <r>
    <s v="EMP01849"/>
    <x v="61"/>
    <x v="0"/>
    <n v="39"/>
    <x v="3"/>
    <x v="0"/>
    <x v="24"/>
    <x v="0"/>
    <x v="2"/>
    <x v="4"/>
    <s v="Referral"/>
    <x v="5"/>
    <s v="Sara Ali"/>
    <n v="88021"/>
    <n v="31049"/>
    <n v="84.9"/>
    <n v="2"/>
    <n v="22"/>
    <n v="3"/>
    <n v="19"/>
    <n v="62"/>
    <x v="0"/>
    <x v="0"/>
  </r>
  <r>
    <s v="EMP01855"/>
    <x v="49"/>
    <x v="0"/>
    <n v="59"/>
    <x v="3"/>
    <x v="6"/>
    <x v="24"/>
    <x v="0"/>
    <x v="0"/>
    <x v="3"/>
    <s v="Agency"/>
    <x v="7"/>
    <s v="Usman Tariq"/>
    <n v="212138"/>
    <n v="33738"/>
    <n v="91.1"/>
    <n v="2"/>
    <n v="29"/>
    <n v="3"/>
    <n v="40"/>
    <n v="84"/>
    <x v="0"/>
    <x v="0"/>
  </r>
  <r>
    <s v="EMP01322"/>
    <x v="62"/>
    <x v="1"/>
    <n v="57"/>
    <x v="1"/>
    <x v="5"/>
    <x v="25"/>
    <x v="0"/>
    <x v="2"/>
    <x v="3"/>
    <s v="Referral"/>
    <x v="6"/>
    <s v="Usman Tariq"/>
    <n v="43667"/>
    <n v="31826"/>
    <n v="84.5"/>
    <n v="6"/>
    <n v="25"/>
    <n v="5"/>
    <n v="12"/>
    <n v="90"/>
    <x v="0"/>
    <x v="0"/>
  </r>
  <r>
    <s v="EMP00565"/>
    <x v="54"/>
    <x v="0"/>
    <n v="57"/>
    <x v="8"/>
    <x v="6"/>
    <x v="26"/>
    <x v="1"/>
    <x v="2"/>
    <x v="4"/>
    <s v="Linkedin"/>
    <x v="6"/>
    <s v="Ahmed Raza"/>
    <n v="98508"/>
    <n v="48826"/>
    <n v="95.2"/>
    <n v="9"/>
    <n v="18"/>
    <n v="5"/>
    <n v="21"/>
    <n v="90"/>
    <x v="0"/>
    <x v="3"/>
  </r>
  <r>
    <s v="EMP00692"/>
    <x v="63"/>
    <x v="1"/>
    <n v="53"/>
    <x v="8"/>
    <x v="2"/>
    <x v="26"/>
    <x v="0"/>
    <x v="1"/>
    <x v="3"/>
    <s v="Referral"/>
    <x v="0"/>
    <s v="Fatima Noor"/>
    <n v="154589"/>
    <n v="36628"/>
    <n v="88.3"/>
    <n v="2"/>
    <n v="12"/>
    <n v="2"/>
    <n v="39"/>
    <n v="87"/>
    <x v="1"/>
    <x v="0"/>
  </r>
  <r>
    <s v="EMP01663"/>
    <x v="41"/>
    <x v="1"/>
    <n v="56"/>
    <x v="6"/>
    <x v="7"/>
    <x v="26"/>
    <x v="0"/>
    <x v="1"/>
    <x v="4"/>
    <s v="Agency"/>
    <x v="3"/>
    <s v="Ahmed Raza"/>
    <n v="199101"/>
    <n v="12547"/>
    <n v="90.2"/>
    <n v="7"/>
    <n v="12"/>
    <n v="5"/>
    <n v="14"/>
    <n v="60"/>
    <x v="0"/>
    <x v="0"/>
  </r>
  <r>
    <s v="EMP00093"/>
    <x v="64"/>
    <x v="0"/>
    <n v="27"/>
    <x v="2"/>
    <x v="4"/>
    <x v="27"/>
    <x v="0"/>
    <x v="2"/>
    <x v="1"/>
    <s v="Linkedin"/>
    <x v="5"/>
    <s v="Bilal Khan"/>
    <n v="180061"/>
    <n v="12587"/>
    <n v="92.1"/>
    <n v="9"/>
    <n v="9"/>
    <n v="4"/>
    <n v="11"/>
    <n v="81"/>
    <x v="1"/>
    <x v="0"/>
  </r>
  <r>
    <s v="EMP00511"/>
    <x v="8"/>
    <x v="1"/>
    <n v="26"/>
    <x v="4"/>
    <x v="2"/>
    <x v="27"/>
    <x v="0"/>
    <x v="2"/>
    <x v="1"/>
    <s v="Campus"/>
    <x v="5"/>
    <s v="Sara Ali"/>
    <n v="100502"/>
    <n v="27090"/>
    <n v="85.6"/>
    <n v="4"/>
    <n v="15"/>
    <n v="1"/>
    <n v="12"/>
    <n v="69"/>
    <x v="0"/>
    <x v="0"/>
  </r>
  <r>
    <s v="EMP00793"/>
    <x v="65"/>
    <x v="0"/>
    <n v="38"/>
    <x v="6"/>
    <x v="5"/>
    <x v="27"/>
    <x v="0"/>
    <x v="1"/>
    <x v="4"/>
    <s v="Campus"/>
    <x v="4"/>
    <s v="Fatima Noor"/>
    <n v="81893"/>
    <n v="39320"/>
    <n v="84"/>
    <n v="0"/>
    <n v="20"/>
    <n v="1"/>
    <n v="33"/>
    <n v="68"/>
    <x v="0"/>
    <x v="0"/>
  </r>
  <r>
    <s v="EMP00950"/>
    <x v="66"/>
    <x v="1"/>
    <n v="54"/>
    <x v="3"/>
    <x v="0"/>
    <x v="27"/>
    <x v="0"/>
    <x v="2"/>
    <x v="4"/>
    <s v="Agency"/>
    <x v="3"/>
    <s v="Bilal Khan"/>
    <n v="64854"/>
    <n v="18975"/>
    <n v="93.4"/>
    <n v="10"/>
    <n v="23"/>
    <n v="2"/>
    <n v="33"/>
    <n v="94"/>
    <x v="0"/>
    <x v="0"/>
  </r>
  <r>
    <s v="EMP01100"/>
    <x v="67"/>
    <x v="0"/>
    <n v="41"/>
    <x v="8"/>
    <x v="5"/>
    <x v="27"/>
    <x v="0"/>
    <x v="0"/>
    <x v="0"/>
    <s v="Campus"/>
    <x v="3"/>
    <s v="Bilal Khan"/>
    <n v="229720"/>
    <n v="37729"/>
    <n v="89.2"/>
    <n v="1"/>
    <n v="21"/>
    <n v="3"/>
    <n v="29"/>
    <n v="91"/>
    <x v="1"/>
    <x v="0"/>
  </r>
  <r>
    <s v="EMP01223"/>
    <x v="52"/>
    <x v="1"/>
    <n v="52"/>
    <x v="8"/>
    <x v="6"/>
    <x v="27"/>
    <x v="0"/>
    <x v="1"/>
    <x v="4"/>
    <s v="Website"/>
    <x v="6"/>
    <s v="Fatima Noor"/>
    <n v="56793"/>
    <n v="12816"/>
    <n v="88.2"/>
    <n v="4"/>
    <n v="4"/>
    <n v="5"/>
    <n v="21"/>
    <n v="91"/>
    <x v="0"/>
    <x v="0"/>
  </r>
  <r>
    <s v="EMP01753"/>
    <x v="25"/>
    <x v="1"/>
    <n v="58"/>
    <x v="4"/>
    <x v="4"/>
    <x v="27"/>
    <x v="0"/>
    <x v="1"/>
    <x v="3"/>
    <s v="Linkedin"/>
    <x v="3"/>
    <s v="Bilal Khan"/>
    <n v="120695"/>
    <n v="34411"/>
    <n v="83.4"/>
    <n v="6"/>
    <n v="27"/>
    <n v="1"/>
    <n v="23"/>
    <n v="78"/>
    <x v="0"/>
    <x v="0"/>
  </r>
  <r>
    <s v="EMP00105"/>
    <x v="68"/>
    <x v="0"/>
    <n v="48"/>
    <x v="6"/>
    <x v="4"/>
    <x v="28"/>
    <x v="0"/>
    <x v="2"/>
    <x v="0"/>
    <s v="Agency"/>
    <x v="0"/>
    <s v="Sara Ali"/>
    <n v="189813"/>
    <n v="37999"/>
    <n v="94.8"/>
    <n v="8"/>
    <n v="18"/>
    <n v="4"/>
    <n v="21"/>
    <n v="90"/>
    <x v="0"/>
    <x v="0"/>
  </r>
  <r>
    <s v="EMP00814"/>
    <x v="69"/>
    <x v="1"/>
    <n v="29"/>
    <x v="0"/>
    <x v="4"/>
    <x v="28"/>
    <x v="0"/>
    <x v="1"/>
    <x v="3"/>
    <s v="Website"/>
    <x v="2"/>
    <s v="Usman Tariq"/>
    <n v="57659"/>
    <n v="12585"/>
    <n v="88.5"/>
    <n v="9"/>
    <n v="18"/>
    <n v="4"/>
    <n v="12"/>
    <n v="77"/>
    <x v="0"/>
    <x v="0"/>
  </r>
  <r>
    <s v="EMP01371"/>
    <x v="37"/>
    <x v="0"/>
    <n v="40"/>
    <x v="0"/>
    <x v="1"/>
    <x v="28"/>
    <x v="0"/>
    <x v="0"/>
    <x v="4"/>
    <s v="Linkedin"/>
    <x v="3"/>
    <s v="Ahmed Raza"/>
    <n v="113206"/>
    <n v="39741"/>
    <n v="99.7"/>
    <n v="9"/>
    <n v="14"/>
    <n v="4"/>
    <n v="6"/>
    <n v="78"/>
    <x v="0"/>
    <x v="0"/>
  </r>
  <r>
    <s v="EMP00435"/>
    <x v="39"/>
    <x v="0"/>
    <n v="39"/>
    <x v="5"/>
    <x v="7"/>
    <x v="29"/>
    <x v="0"/>
    <x v="0"/>
    <x v="4"/>
    <s v="Linkedin"/>
    <x v="6"/>
    <s v="Sara Ali"/>
    <n v="131779"/>
    <n v="45577"/>
    <n v="82.7"/>
    <n v="8"/>
    <n v="20"/>
    <n v="2"/>
    <n v="16"/>
    <n v="89"/>
    <x v="0"/>
    <x v="0"/>
  </r>
  <r>
    <s v="EMP00828"/>
    <x v="43"/>
    <x v="0"/>
    <n v="28"/>
    <x v="2"/>
    <x v="6"/>
    <x v="29"/>
    <x v="0"/>
    <x v="1"/>
    <x v="1"/>
    <s v="Website"/>
    <x v="5"/>
    <s v="Usman Tariq"/>
    <n v="92087"/>
    <n v="26573"/>
    <n v="87.1"/>
    <n v="3"/>
    <n v="4"/>
    <n v="1"/>
    <n v="29"/>
    <n v="99"/>
    <x v="1"/>
    <x v="0"/>
  </r>
  <r>
    <s v="EMP00957"/>
    <x v="70"/>
    <x v="0"/>
    <n v="52"/>
    <x v="7"/>
    <x v="6"/>
    <x v="29"/>
    <x v="0"/>
    <x v="0"/>
    <x v="1"/>
    <s v="Agency"/>
    <x v="1"/>
    <s v="Ahmed Raza"/>
    <n v="105792"/>
    <n v="44435"/>
    <n v="87.7"/>
    <n v="1"/>
    <n v="17"/>
    <n v="4"/>
    <n v="9"/>
    <n v="64"/>
    <x v="0"/>
    <x v="0"/>
  </r>
  <r>
    <s v="EMP00015"/>
    <x v="71"/>
    <x v="1"/>
    <n v="46"/>
    <x v="2"/>
    <x v="7"/>
    <x v="30"/>
    <x v="0"/>
    <x v="1"/>
    <x v="1"/>
    <s v="Referral"/>
    <x v="6"/>
    <s v="Fatima Noor"/>
    <n v="207394"/>
    <n v="19457"/>
    <n v="95.9"/>
    <n v="1"/>
    <n v="18"/>
    <n v="2"/>
    <n v="7"/>
    <n v="91"/>
    <x v="0"/>
    <x v="0"/>
  </r>
  <r>
    <s v="EMP00740"/>
    <x v="41"/>
    <x v="0"/>
    <n v="27"/>
    <x v="5"/>
    <x v="5"/>
    <x v="30"/>
    <x v="0"/>
    <x v="0"/>
    <x v="1"/>
    <s v="Campus"/>
    <x v="1"/>
    <s v="Usman Tariq"/>
    <n v="226139"/>
    <n v="34771"/>
    <n v="82.5"/>
    <n v="5"/>
    <n v="8"/>
    <n v="2"/>
    <n v="28"/>
    <n v="97"/>
    <x v="0"/>
    <x v="0"/>
  </r>
  <r>
    <s v="EMP00869"/>
    <x v="72"/>
    <x v="0"/>
    <n v="60"/>
    <x v="6"/>
    <x v="5"/>
    <x v="30"/>
    <x v="0"/>
    <x v="2"/>
    <x v="3"/>
    <s v="Linkedin"/>
    <x v="6"/>
    <s v="Ahmed Raza"/>
    <n v="94236"/>
    <n v="49157"/>
    <n v="80.5"/>
    <n v="5"/>
    <n v="28"/>
    <n v="2"/>
    <n v="0"/>
    <n v="99"/>
    <x v="0"/>
    <x v="0"/>
  </r>
  <r>
    <s v="EMP00943"/>
    <x v="11"/>
    <x v="1"/>
    <n v="37"/>
    <x v="7"/>
    <x v="5"/>
    <x v="30"/>
    <x v="0"/>
    <x v="0"/>
    <x v="1"/>
    <s v="Linkedin"/>
    <x v="7"/>
    <s v="Usman Tariq"/>
    <n v="183785"/>
    <n v="28137"/>
    <n v="96.9"/>
    <n v="7"/>
    <n v="21"/>
    <n v="2"/>
    <n v="9"/>
    <n v="73"/>
    <x v="1"/>
    <x v="0"/>
  </r>
  <r>
    <s v="EMP01187"/>
    <x v="73"/>
    <x v="1"/>
    <n v="30"/>
    <x v="2"/>
    <x v="3"/>
    <x v="30"/>
    <x v="0"/>
    <x v="2"/>
    <x v="4"/>
    <s v="Referral"/>
    <x v="1"/>
    <s v="Sara Ali"/>
    <n v="200354"/>
    <n v="43892"/>
    <n v="87.3"/>
    <n v="8"/>
    <n v="13"/>
    <n v="2"/>
    <n v="11"/>
    <n v="90"/>
    <x v="0"/>
    <x v="0"/>
  </r>
  <r>
    <s v="EMP01529"/>
    <x v="46"/>
    <x v="0"/>
    <n v="39"/>
    <x v="0"/>
    <x v="0"/>
    <x v="31"/>
    <x v="0"/>
    <x v="1"/>
    <x v="2"/>
    <s v="Campus"/>
    <x v="1"/>
    <s v="Usman Tariq"/>
    <n v="49704"/>
    <n v="25996"/>
    <n v="84.8"/>
    <n v="0"/>
    <n v="2"/>
    <n v="4"/>
    <n v="2"/>
    <n v="77"/>
    <x v="0"/>
    <x v="0"/>
  </r>
  <r>
    <s v="EMP00001"/>
    <x v="74"/>
    <x v="0"/>
    <n v="26"/>
    <x v="5"/>
    <x v="4"/>
    <x v="32"/>
    <x v="0"/>
    <x v="2"/>
    <x v="0"/>
    <s v="Referral"/>
    <x v="0"/>
    <s v="Ahmed Raza"/>
    <n v="203635"/>
    <n v="28248"/>
    <n v="80.900000000000006"/>
    <n v="9"/>
    <n v="18"/>
    <n v="5"/>
    <n v="18"/>
    <n v="60"/>
    <x v="0"/>
    <x v="0"/>
  </r>
  <r>
    <s v="EMP00489"/>
    <x v="75"/>
    <x v="1"/>
    <n v="57"/>
    <x v="1"/>
    <x v="0"/>
    <x v="32"/>
    <x v="0"/>
    <x v="1"/>
    <x v="0"/>
    <s v="Campus"/>
    <x v="7"/>
    <s v="Sara Ali"/>
    <n v="140451"/>
    <n v="11804"/>
    <n v="88.3"/>
    <n v="1"/>
    <n v="5"/>
    <n v="4"/>
    <n v="20"/>
    <n v="71"/>
    <x v="0"/>
    <x v="0"/>
  </r>
  <r>
    <s v="EMP01875"/>
    <x v="60"/>
    <x v="1"/>
    <n v="31"/>
    <x v="7"/>
    <x v="7"/>
    <x v="32"/>
    <x v="0"/>
    <x v="0"/>
    <x v="3"/>
    <s v="Linkedin"/>
    <x v="4"/>
    <s v="Usman Tariq"/>
    <n v="240307"/>
    <n v="9995"/>
    <n v="89.8"/>
    <n v="1"/>
    <n v="20"/>
    <n v="3"/>
    <n v="26"/>
    <n v="68"/>
    <x v="0"/>
    <x v="0"/>
  </r>
  <r>
    <s v="EMP00482"/>
    <x v="33"/>
    <x v="0"/>
    <n v="27"/>
    <x v="7"/>
    <x v="2"/>
    <x v="33"/>
    <x v="1"/>
    <x v="0"/>
    <x v="1"/>
    <s v="Referral"/>
    <x v="2"/>
    <s v="Bilal Khan"/>
    <n v="116222"/>
    <n v="44928"/>
    <n v="88.1"/>
    <n v="10"/>
    <n v="14"/>
    <n v="4"/>
    <n v="35"/>
    <n v="95"/>
    <x v="0"/>
    <x v="4"/>
  </r>
  <r>
    <s v="EMP00536"/>
    <x v="37"/>
    <x v="0"/>
    <n v="23"/>
    <x v="1"/>
    <x v="6"/>
    <x v="33"/>
    <x v="1"/>
    <x v="2"/>
    <x v="3"/>
    <s v="Website"/>
    <x v="3"/>
    <s v="Sara Ali"/>
    <n v="56163"/>
    <n v="30880"/>
    <n v="92.4"/>
    <n v="3"/>
    <n v="7"/>
    <n v="5"/>
    <n v="39"/>
    <n v="71"/>
    <x v="0"/>
    <x v="2"/>
  </r>
  <r>
    <s v="EMP01143"/>
    <x v="76"/>
    <x v="0"/>
    <n v="44"/>
    <x v="4"/>
    <x v="2"/>
    <x v="33"/>
    <x v="0"/>
    <x v="2"/>
    <x v="3"/>
    <s v="Website"/>
    <x v="7"/>
    <s v="Fatima Noor"/>
    <n v="92480"/>
    <n v="45263"/>
    <n v="95.5"/>
    <n v="1"/>
    <n v="13"/>
    <n v="2"/>
    <n v="1"/>
    <n v="94"/>
    <x v="0"/>
    <x v="0"/>
  </r>
  <r>
    <s v="EMP01246"/>
    <x v="77"/>
    <x v="1"/>
    <n v="58"/>
    <x v="3"/>
    <x v="1"/>
    <x v="33"/>
    <x v="1"/>
    <x v="2"/>
    <x v="0"/>
    <s v="Referral"/>
    <x v="6"/>
    <s v="Bilal Khan"/>
    <n v="126563"/>
    <n v="6611"/>
    <n v="98.8"/>
    <n v="7"/>
    <n v="17"/>
    <n v="1"/>
    <n v="0"/>
    <n v="85"/>
    <x v="0"/>
    <x v="3"/>
  </r>
  <r>
    <s v="EMP00703"/>
    <x v="30"/>
    <x v="1"/>
    <n v="57"/>
    <x v="2"/>
    <x v="7"/>
    <x v="34"/>
    <x v="0"/>
    <x v="2"/>
    <x v="1"/>
    <s v="Linkedin"/>
    <x v="1"/>
    <s v="Usman Tariq"/>
    <n v="211235"/>
    <n v="26797"/>
    <n v="94.9"/>
    <n v="9"/>
    <n v="8"/>
    <n v="4"/>
    <n v="34"/>
    <n v="92"/>
    <x v="0"/>
    <x v="0"/>
  </r>
  <r>
    <s v="EMP01263"/>
    <x v="62"/>
    <x v="1"/>
    <n v="30"/>
    <x v="7"/>
    <x v="5"/>
    <x v="34"/>
    <x v="0"/>
    <x v="1"/>
    <x v="0"/>
    <s v="Agency"/>
    <x v="7"/>
    <s v="Ahmed Raza"/>
    <n v="94127"/>
    <n v="18503"/>
    <n v="90.1"/>
    <n v="7"/>
    <n v="14"/>
    <n v="5"/>
    <n v="18"/>
    <n v="68"/>
    <x v="0"/>
    <x v="0"/>
  </r>
  <r>
    <s v="EMP01492"/>
    <x v="78"/>
    <x v="1"/>
    <n v="32"/>
    <x v="3"/>
    <x v="6"/>
    <x v="34"/>
    <x v="0"/>
    <x v="1"/>
    <x v="0"/>
    <s v="Campus"/>
    <x v="6"/>
    <s v="Bilal Khan"/>
    <n v="106162"/>
    <n v="8043"/>
    <n v="86"/>
    <n v="10"/>
    <n v="16"/>
    <n v="1"/>
    <n v="25"/>
    <n v="84"/>
    <x v="0"/>
    <x v="0"/>
  </r>
  <r>
    <s v="EMP01514"/>
    <x v="79"/>
    <x v="0"/>
    <n v="60"/>
    <x v="7"/>
    <x v="1"/>
    <x v="34"/>
    <x v="0"/>
    <x v="1"/>
    <x v="2"/>
    <s v="Linkedin"/>
    <x v="6"/>
    <s v="Sara Ali"/>
    <n v="243728"/>
    <n v="7790"/>
    <n v="93.2"/>
    <n v="6"/>
    <n v="23"/>
    <n v="4"/>
    <n v="32"/>
    <n v="73"/>
    <x v="1"/>
    <x v="0"/>
  </r>
  <r>
    <s v="EMP01761"/>
    <x v="80"/>
    <x v="1"/>
    <n v="42"/>
    <x v="3"/>
    <x v="2"/>
    <x v="34"/>
    <x v="0"/>
    <x v="0"/>
    <x v="4"/>
    <s v="Referral"/>
    <x v="3"/>
    <s v="Bilal Khan"/>
    <n v="37540"/>
    <n v="18962"/>
    <n v="99.7"/>
    <n v="0"/>
    <n v="12"/>
    <n v="5"/>
    <n v="23"/>
    <n v="99"/>
    <x v="1"/>
    <x v="0"/>
  </r>
  <r>
    <s v="EMP01996"/>
    <x v="81"/>
    <x v="1"/>
    <n v="22"/>
    <x v="2"/>
    <x v="0"/>
    <x v="34"/>
    <x v="0"/>
    <x v="2"/>
    <x v="2"/>
    <s v="Campus"/>
    <x v="5"/>
    <s v="Bilal Khan"/>
    <n v="80741"/>
    <n v="9837"/>
    <n v="89.5"/>
    <n v="9"/>
    <n v="19"/>
    <n v="5"/>
    <n v="12"/>
    <n v="75"/>
    <x v="1"/>
    <x v="0"/>
  </r>
  <r>
    <s v="EMP00842"/>
    <x v="82"/>
    <x v="1"/>
    <n v="48"/>
    <x v="7"/>
    <x v="1"/>
    <x v="35"/>
    <x v="0"/>
    <x v="1"/>
    <x v="1"/>
    <s v="Campus"/>
    <x v="3"/>
    <s v="Bilal Khan"/>
    <n v="193178"/>
    <n v="11873"/>
    <n v="80.599999999999994"/>
    <n v="10"/>
    <n v="30"/>
    <n v="3"/>
    <n v="26"/>
    <n v="94"/>
    <x v="0"/>
    <x v="0"/>
  </r>
  <r>
    <s v="EMP01528"/>
    <x v="39"/>
    <x v="0"/>
    <n v="42"/>
    <x v="8"/>
    <x v="3"/>
    <x v="35"/>
    <x v="0"/>
    <x v="0"/>
    <x v="0"/>
    <s v="Agency"/>
    <x v="3"/>
    <s v="Fatima Noor"/>
    <n v="180252"/>
    <n v="40644"/>
    <n v="84.1"/>
    <n v="0"/>
    <n v="7"/>
    <n v="2"/>
    <n v="16"/>
    <n v="79"/>
    <x v="0"/>
    <x v="0"/>
  </r>
  <r>
    <s v="EMP01881"/>
    <x v="83"/>
    <x v="1"/>
    <n v="25"/>
    <x v="2"/>
    <x v="6"/>
    <x v="35"/>
    <x v="0"/>
    <x v="1"/>
    <x v="3"/>
    <s v="Linkedin"/>
    <x v="0"/>
    <s v="Usman Tariq"/>
    <n v="203419"/>
    <n v="36846"/>
    <n v="99.5"/>
    <n v="5"/>
    <n v="11"/>
    <n v="2"/>
    <n v="4"/>
    <n v="88"/>
    <x v="0"/>
    <x v="0"/>
  </r>
  <r>
    <s v="EMP00146"/>
    <x v="84"/>
    <x v="0"/>
    <n v="32"/>
    <x v="0"/>
    <x v="2"/>
    <x v="36"/>
    <x v="0"/>
    <x v="1"/>
    <x v="0"/>
    <s v="Referral"/>
    <x v="6"/>
    <s v="Ahmed Raza"/>
    <n v="205089"/>
    <n v="21839"/>
    <n v="95.6"/>
    <n v="6"/>
    <n v="25"/>
    <n v="1"/>
    <n v="9"/>
    <n v="66"/>
    <x v="0"/>
    <x v="0"/>
  </r>
  <r>
    <s v="EMP00925"/>
    <x v="85"/>
    <x v="0"/>
    <n v="45"/>
    <x v="3"/>
    <x v="5"/>
    <x v="36"/>
    <x v="1"/>
    <x v="2"/>
    <x v="2"/>
    <s v="Agency"/>
    <x v="4"/>
    <s v="Fatima Noor"/>
    <n v="45900"/>
    <n v="19354"/>
    <n v="88"/>
    <n v="10"/>
    <n v="8"/>
    <n v="2"/>
    <n v="26"/>
    <n v="77"/>
    <x v="1"/>
    <x v="2"/>
  </r>
  <r>
    <s v="EMP01620"/>
    <x v="86"/>
    <x v="1"/>
    <n v="30"/>
    <x v="8"/>
    <x v="0"/>
    <x v="36"/>
    <x v="1"/>
    <x v="2"/>
    <x v="1"/>
    <s v="Agency"/>
    <x v="7"/>
    <s v="Ahmed Raza"/>
    <n v="81216"/>
    <n v="31428"/>
    <n v="97.9"/>
    <n v="5"/>
    <n v="1"/>
    <n v="3"/>
    <n v="2"/>
    <n v="68"/>
    <x v="0"/>
    <x v="3"/>
  </r>
  <r>
    <s v="EMP00519"/>
    <x v="87"/>
    <x v="1"/>
    <n v="38"/>
    <x v="5"/>
    <x v="3"/>
    <x v="37"/>
    <x v="0"/>
    <x v="1"/>
    <x v="0"/>
    <s v="Referral"/>
    <x v="7"/>
    <s v="Usman Tariq"/>
    <n v="224973"/>
    <n v="29234"/>
    <n v="93"/>
    <n v="3"/>
    <n v="16"/>
    <n v="2"/>
    <n v="14"/>
    <n v="62"/>
    <x v="0"/>
    <x v="0"/>
  </r>
  <r>
    <s v="EMP01388"/>
    <x v="6"/>
    <x v="1"/>
    <n v="34"/>
    <x v="2"/>
    <x v="2"/>
    <x v="37"/>
    <x v="0"/>
    <x v="1"/>
    <x v="0"/>
    <s v="Agency"/>
    <x v="7"/>
    <s v="Ahmed Raza"/>
    <n v="234477"/>
    <n v="10033"/>
    <n v="98.5"/>
    <n v="1"/>
    <n v="12"/>
    <n v="3"/>
    <n v="31"/>
    <n v="69"/>
    <x v="0"/>
    <x v="0"/>
  </r>
  <r>
    <s v="EMP00582"/>
    <x v="88"/>
    <x v="1"/>
    <n v="37"/>
    <x v="1"/>
    <x v="0"/>
    <x v="38"/>
    <x v="0"/>
    <x v="1"/>
    <x v="0"/>
    <s v="Website"/>
    <x v="7"/>
    <s v="Usman Tariq"/>
    <n v="153008"/>
    <n v="40446"/>
    <n v="93.1"/>
    <n v="6"/>
    <n v="6"/>
    <n v="2"/>
    <n v="22"/>
    <n v="96"/>
    <x v="0"/>
    <x v="0"/>
  </r>
  <r>
    <s v="EMP01869"/>
    <x v="89"/>
    <x v="1"/>
    <n v="24"/>
    <x v="2"/>
    <x v="7"/>
    <x v="38"/>
    <x v="0"/>
    <x v="0"/>
    <x v="1"/>
    <s v="Website"/>
    <x v="2"/>
    <s v="Usman Tariq"/>
    <n v="214675"/>
    <n v="7732"/>
    <n v="87.1"/>
    <n v="0"/>
    <n v="8"/>
    <n v="2"/>
    <n v="20"/>
    <n v="93"/>
    <x v="0"/>
    <x v="0"/>
  </r>
  <r>
    <s v="EMP00133"/>
    <x v="21"/>
    <x v="1"/>
    <n v="60"/>
    <x v="5"/>
    <x v="5"/>
    <x v="39"/>
    <x v="0"/>
    <x v="2"/>
    <x v="1"/>
    <s v="Referral"/>
    <x v="2"/>
    <s v="Usman Tariq"/>
    <n v="174537"/>
    <n v="29206"/>
    <n v="87.5"/>
    <n v="3"/>
    <n v="9"/>
    <n v="3"/>
    <n v="36"/>
    <n v="83"/>
    <x v="0"/>
    <x v="0"/>
  </r>
  <r>
    <s v="EMP00514"/>
    <x v="90"/>
    <x v="0"/>
    <n v="56"/>
    <x v="7"/>
    <x v="2"/>
    <x v="39"/>
    <x v="0"/>
    <x v="2"/>
    <x v="3"/>
    <s v="Agency"/>
    <x v="6"/>
    <s v="Ahmed Raza"/>
    <n v="118505"/>
    <n v="8811"/>
    <n v="95.9"/>
    <n v="7"/>
    <n v="21"/>
    <n v="4"/>
    <n v="35"/>
    <n v="96"/>
    <x v="1"/>
    <x v="0"/>
  </r>
  <r>
    <s v="EMP01395"/>
    <x v="91"/>
    <x v="1"/>
    <n v="44"/>
    <x v="0"/>
    <x v="4"/>
    <x v="39"/>
    <x v="0"/>
    <x v="1"/>
    <x v="2"/>
    <s v="Referral"/>
    <x v="0"/>
    <s v="Sara Ali"/>
    <n v="102457"/>
    <n v="36871"/>
    <n v="86.9"/>
    <n v="0"/>
    <n v="8"/>
    <n v="4"/>
    <n v="10"/>
    <n v="75"/>
    <x v="0"/>
    <x v="0"/>
  </r>
  <r>
    <s v="EMP01461"/>
    <x v="92"/>
    <x v="1"/>
    <n v="30"/>
    <x v="6"/>
    <x v="3"/>
    <x v="39"/>
    <x v="0"/>
    <x v="0"/>
    <x v="3"/>
    <s v="Referral"/>
    <x v="5"/>
    <s v="Fatima Noor"/>
    <n v="167153"/>
    <n v="36331"/>
    <n v="92.8"/>
    <n v="10"/>
    <n v="17"/>
    <n v="2"/>
    <n v="3"/>
    <n v="75"/>
    <x v="0"/>
    <x v="0"/>
  </r>
  <r>
    <s v="EMP01785"/>
    <x v="93"/>
    <x v="1"/>
    <n v="51"/>
    <x v="6"/>
    <x v="4"/>
    <x v="39"/>
    <x v="0"/>
    <x v="2"/>
    <x v="2"/>
    <s v="Agency"/>
    <x v="6"/>
    <s v="Bilal Khan"/>
    <n v="112092"/>
    <n v="27858"/>
    <n v="83.8"/>
    <n v="7"/>
    <n v="26"/>
    <n v="5"/>
    <n v="2"/>
    <n v="87"/>
    <x v="0"/>
    <x v="0"/>
  </r>
  <r>
    <s v="EMP01450"/>
    <x v="59"/>
    <x v="1"/>
    <n v="58"/>
    <x v="4"/>
    <x v="2"/>
    <x v="40"/>
    <x v="0"/>
    <x v="0"/>
    <x v="4"/>
    <s v="Agency"/>
    <x v="1"/>
    <s v="Ahmed Raza"/>
    <n v="81579"/>
    <n v="31911"/>
    <n v="83.2"/>
    <n v="4"/>
    <n v="22"/>
    <n v="5"/>
    <n v="34"/>
    <n v="66"/>
    <x v="1"/>
    <x v="0"/>
  </r>
  <r>
    <s v="EMP01174"/>
    <x v="63"/>
    <x v="1"/>
    <n v="49"/>
    <x v="2"/>
    <x v="3"/>
    <x v="41"/>
    <x v="0"/>
    <x v="0"/>
    <x v="0"/>
    <s v="Agency"/>
    <x v="5"/>
    <s v="Sara Ali"/>
    <n v="101642"/>
    <n v="39995"/>
    <n v="98"/>
    <n v="0"/>
    <n v="8"/>
    <n v="1"/>
    <n v="7"/>
    <n v="75"/>
    <x v="1"/>
    <x v="0"/>
  </r>
  <r>
    <s v="EMP00055"/>
    <x v="68"/>
    <x v="0"/>
    <n v="21"/>
    <x v="0"/>
    <x v="0"/>
    <x v="42"/>
    <x v="0"/>
    <x v="0"/>
    <x v="2"/>
    <s v="Agency"/>
    <x v="0"/>
    <s v="Usman Tariq"/>
    <n v="109298"/>
    <n v="40561"/>
    <n v="93.4"/>
    <n v="7"/>
    <n v="12"/>
    <n v="1"/>
    <n v="5"/>
    <n v="62"/>
    <x v="0"/>
    <x v="0"/>
  </r>
  <r>
    <s v="EMP00089"/>
    <x v="84"/>
    <x v="0"/>
    <n v="37"/>
    <x v="2"/>
    <x v="3"/>
    <x v="42"/>
    <x v="0"/>
    <x v="2"/>
    <x v="0"/>
    <s v="Campus"/>
    <x v="1"/>
    <s v="Usman Tariq"/>
    <n v="155728"/>
    <n v="23929"/>
    <n v="99.1"/>
    <n v="1"/>
    <n v="17"/>
    <n v="4"/>
    <n v="8"/>
    <n v="96"/>
    <x v="0"/>
    <x v="0"/>
  </r>
  <r>
    <s v="EMP00711"/>
    <x v="80"/>
    <x v="0"/>
    <n v="21"/>
    <x v="3"/>
    <x v="3"/>
    <x v="42"/>
    <x v="0"/>
    <x v="2"/>
    <x v="3"/>
    <s v="Agency"/>
    <x v="2"/>
    <s v="Usman Tariq"/>
    <n v="128642"/>
    <n v="21574"/>
    <n v="88.9"/>
    <n v="2"/>
    <n v="24"/>
    <n v="3"/>
    <n v="12"/>
    <n v="89"/>
    <x v="0"/>
    <x v="0"/>
  </r>
  <r>
    <s v="EMP01733"/>
    <x v="36"/>
    <x v="0"/>
    <n v="46"/>
    <x v="0"/>
    <x v="2"/>
    <x v="42"/>
    <x v="0"/>
    <x v="1"/>
    <x v="3"/>
    <s v="Referral"/>
    <x v="1"/>
    <s v="Ahmed Raza"/>
    <n v="209641"/>
    <n v="30763"/>
    <n v="92.7"/>
    <n v="7"/>
    <n v="12"/>
    <n v="2"/>
    <n v="0"/>
    <n v="87"/>
    <x v="0"/>
    <x v="0"/>
  </r>
  <r>
    <s v="EMP00924"/>
    <x v="94"/>
    <x v="0"/>
    <n v="51"/>
    <x v="1"/>
    <x v="4"/>
    <x v="43"/>
    <x v="0"/>
    <x v="1"/>
    <x v="4"/>
    <s v="Agency"/>
    <x v="0"/>
    <s v="Usman Tariq"/>
    <n v="99552"/>
    <n v="14246"/>
    <n v="97.3"/>
    <n v="7"/>
    <n v="5"/>
    <n v="3"/>
    <n v="12"/>
    <n v="95"/>
    <x v="0"/>
    <x v="0"/>
  </r>
  <r>
    <s v="EMP01327"/>
    <x v="2"/>
    <x v="1"/>
    <n v="36"/>
    <x v="8"/>
    <x v="2"/>
    <x v="43"/>
    <x v="1"/>
    <x v="0"/>
    <x v="2"/>
    <s v="Linkedin"/>
    <x v="2"/>
    <s v="Sara Ali"/>
    <n v="151020"/>
    <n v="26901"/>
    <n v="84.1"/>
    <n v="8"/>
    <n v="17"/>
    <n v="2"/>
    <n v="36"/>
    <n v="95"/>
    <x v="0"/>
    <x v="4"/>
  </r>
  <r>
    <s v="EMP01822"/>
    <x v="95"/>
    <x v="1"/>
    <n v="42"/>
    <x v="7"/>
    <x v="3"/>
    <x v="43"/>
    <x v="0"/>
    <x v="0"/>
    <x v="3"/>
    <s v="Linkedin"/>
    <x v="3"/>
    <s v="Ahmed Raza"/>
    <n v="80420"/>
    <n v="36811"/>
    <n v="84.2"/>
    <n v="2"/>
    <n v="4"/>
    <n v="5"/>
    <n v="25"/>
    <n v="64"/>
    <x v="0"/>
    <x v="0"/>
  </r>
  <r>
    <s v="EMP00779"/>
    <x v="77"/>
    <x v="0"/>
    <n v="21"/>
    <x v="2"/>
    <x v="3"/>
    <x v="44"/>
    <x v="0"/>
    <x v="2"/>
    <x v="3"/>
    <s v="Agency"/>
    <x v="1"/>
    <s v="Sara Ali"/>
    <n v="238824"/>
    <n v="43073"/>
    <n v="93.9"/>
    <n v="10"/>
    <n v="1"/>
    <n v="3"/>
    <n v="5"/>
    <n v="90"/>
    <x v="0"/>
    <x v="0"/>
  </r>
  <r>
    <s v="EMP01557"/>
    <x v="96"/>
    <x v="1"/>
    <n v="51"/>
    <x v="6"/>
    <x v="4"/>
    <x v="44"/>
    <x v="0"/>
    <x v="0"/>
    <x v="2"/>
    <s v="Agency"/>
    <x v="3"/>
    <s v="Fatima Noor"/>
    <n v="230319"/>
    <n v="22376"/>
    <n v="88.3"/>
    <n v="0"/>
    <n v="4"/>
    <n v="3"/>
    <n v="22"/>
    <n v="99"/>
    <x v="0"/>
    <x v="0"/>
  </r>
  <r>
    <s v="EMP01669"/>
    <x v="97"/>
    <x v="0"/>
    <n v="34"/>
    <x v="0"/>
    <x v="7"/>
    <x v="44"/>
    <x v="0"/>
    <x v="2"/>
    <x v="0"/>
    <s v="Agency"/>
    <x v="6"/>
    <s v="Bilal Khan"/>
    <n v="199487"/>
    <n v="23921"/>
    <n v="83.5"/>
    <n v="4"/>
    <n v="30"/>
    <n v="3"/>
    <n v="40"/>
    <n v="78"/>
    <x v="0"/>
    <x v="0"/>
  </r>
  <r>
    <s v="EMP01229"/>
    <x v="85"/>
    <x v="0"/>
    <n v="42"/>
    <x v="1"/>
    <x v="5"/>
    <x v="45"/>
    <x v="0"/>
    <x v="2"/>
    <x v="1"/>
    <s v="Website"/>
    <x v="1"/>
    <s v="Usman Tariq"/>
    <n v="42333"/>
    <n v="49230"/>
    <n v="91.2"/>
    <n v="9"/>
    <n v="29"/>
    <n v="1"/>
    <n v="11"/>
    <n v="71"/>
    <x v="1"/>
    <x v="0"/>
  </r>
  <r>
    <s v="EMP01963"/>
    <x v="98"/>
    <x v="1"/>
    <n v="39"/>
    <x v="5"/>
    <x v="5"/>
    <x v="45"/>
    <x v="0"/>
    <x v="1"/>
    <x v="2"/>
    <s v="Campus"/>
    <x v="7"/>
    <s v="Sara Ali"/>
    <n v="171384"/>
    <n v="5949"/>
    <n v="85.7"/>
    <n v="4"/>
    <n v="22"/>
    <n v="4"/>
    <n v="33"/>
    <n v="91"/>
    <x v="0"/>
    <x v="0"/>
  </r>
  <r>
    <s v="EMP00573"/>
    <x v="2"/>
    <x v="0"/>
    <n v="53"/>
    <x v="0"/>
    <x v="7"/>
    <x v="46"/>
    <x v="0"/>
    <x v="1"/>
    <x v="1"/>
    <s v="Referral"/>
    <x v="5"/>
    <s v="Usman Tariq"/>
    <n v="153616"/>
    <n v="9600"/>
    <n v="99.3"/>
    <n v="3"/>
    <n v="26"/>
    <n v="1"/>
    <n v="34"/>
    <n v="97"/>
    <x v="0"/>
    <x v="0"/>
  </r>
  <r>
    <s v="EMP01065"/>
    <x v="2"/>
    <x v="0"/>
    <n v="40"/>
    <x v="8"/>
    <x v="2"/>
    <x v="46"/>
    <x v="0"/>
    <x v="1"/>
    <x v="4"/>
    <s v="Linkedin"/>
    <x v="5"/>
    <s v="Bilal Khan"/>
    <n v="48435"/>
    <n v="6620"/>
    <n v="94.2"/>
    <n v="2"/>
    <n v="19"/>
    <n v="3"/>
    <n v="19"/>
    <n v="90"/>
    <x v="0"/>
    <x v="0"/>
  </r>
  <r>
    <s v="EMP01291"/>
    <x v="99"/>
    <x v="0"/>
    <n v="58"/>
    <x v="8"/>
    <x v="6"/>
    <x v="47"/>
    <x v="0"/>
    <x v="0"/>
    <x v="4"/>
    <s v="Agency"/>
    <x v="3"/>
    <s v="Sara Ali"/>
    <n v="53958"/>
    <n v="32904"/>
    <n v="96.9"/>
    <n v="9"/>
    <n v="21"/>
    <n v="2"/>
    <n v="39"/>
    <n v="89"/>
    <x v="0"/>
    <x v="0"/>
  </r>
  <r>
    <s v="EMP01413"/>
    <x v="62"/>
    <x v="0"/>
    <n v="24"/>
    <x v="6"/>
    <x v="0"/>
    <x v="47"/>
    <x v="1"/>
    <x v="0"/>
    <x v="2"/>
    <s v="Website"/>
    <x v="0"/>
    <s v="Usman Tariq"/>
    <n v="154395"/>
    <n v="43823"/>
    <n v="99.3"/>
    <n v="0"/>
    <n v="25"/>
    <n v="3"/>
    <n v="2"/>
    <n v="61"/>
    <x v="1"/>
    <x v="2"/>
  </r>
  <r>
    <s v="EMP01899"/>
    <x v="90"/>
    <x v="0"/>
    <n v="23"/>
    <x v="8"/>
    <x v="6"/>
    <x v="47"/>
    <x v="0"/>
    <x v="0"/>
    <x v="2"/>
    <s v="Website"/>
    <x v="6"/>
    <s v="Usman Tariq"/>
    <n v="171422"/>
    <n v="12295"/>
    <n v="80.099999999999994"/>
    <n v="9"/>
    <n v="0"/>
    <n v="2"/>
    <n v="12"/>
    <n v="86"/>
    <x v="0"/>
    <x v="0"/>
  </r>
  <r>
    <s v="EMP00441"/>
    <x v="54"/>
    <x v="1"/>
    <n v="23"/>
    <x v="4"/>
    <x v="5"/>
    <x v="48"/>
    <x v="0"/>
    <x v="1"/>
    <x v="3"/>
    <s v="Agency"/>
    <x v="4"/>
    <s v="Sara Ali"/>
    <n v="198428"/>
    <n v="9976"/>
    <n v="86.6"/>
    <n v="5"/>
    <n v="1"/>
    <n v="4"/>
    <n v="29"/>
    <n v="100"/>
    <x v="0"/>
    <x v="0"/>
  </r>
  <r>
    <s v="EMP01313"/>
    <x v="8"/>
    <x v="0"/>
    <n v="38"/>
    <x v="8"/>
    <x v="4"/>
    <x v="48"/>
    <x v="0"/>
    <x v="0"/>
    <x v="2"/>
    <s v="Campus"/>
    <x v="7"/>
    <s v="Ahmed Raza"/>
    <n v="98644"/>
    <n v="31844"/>
    <n v="98.9"/>
    <n v="8"/>
    <n v="19"/>
    <n v="5"/>
    <n v="30"/>
    <n v="78"/>
    <x v="0"/>
    <x v="0"/>
  </r>
  <r>
    <s v="EMP01722"/>
    <x v="52"/>
    <x v="0"/>
    <n v="24"/>
    <x v="2"/>
    <x v="2"/>
    <x v="48"/>
    <x v="0"/>
    <x v="0"/>
    <x v="0"/>
    <s v="Referral"/>
    <x v="3"/>
    <s v="Fatima Noor"/>
    <n v="66511"/>
    <n v="9124"/>
    <n v="91.3"/>
    <n v="7"/>
    <n v="6"/>
    <n v="1"/>
    <n v="39"/>
    <n v="87"/>
    <x v="0"/>
    <x v="0"/>
  </r>
  <r>
    <s v="EMP01870"/>
    <x v="22"/>
    <x v="1"/>
    <n v="25"/>
    <x v="8"/>
    <x v="4"/>
    <x v="48"/>
    <x v="1"/>
    <x v="0"/>
    <x v="3"/>
    <s v="Referral"/>
    <x v="6"/>
    <s v="Bilal Khan"/>
    <n v="192735"/>
    <n v="10515"/>
    <n v="84.8"/>
    <n v="7"/>
    <n v="0"/>
    <n v="5"/>
    <n v="10"/>
    <n v="86"/>
    <x v="0"/>
    <x v="2"/>
  </r>
  <r>
    <s v="EMP00859"/>
    <x v="100"/>
    <x v="0"/>
    <n v="47"/>
    <x v="0"/>
    <x v="4"/>
    <x v="49"/>
    <x v="0"/>
    <x v="0"/>
    <x v="4"/>
    <s v="Linkedin"/>
    <x v="3"/>
    <s v="Fatima Noor"/>
    <n v="236581"/>
    <n v="40673"/>
    <n v="84.7"/>
    <n v="1"/>
    <n v="24"/>
    <n v="4"/>
    <n v="23"/>
    <n v="81"/>
    <x v="0"/>
    <x v="0"/>
  </r>
  <r>
    <s v="EMP00958"/>
    <x v="101"/>
    <x v="1"/>
    <n v="31"/>
    <x v="6"/>
    <x v="4"/>
    <x v="49"/>
    <x v="0"/>
    <x v="1"/>
    <x v="2"/>
    <s v="Agency"/>
    <x v="7"/>
    <s v="Fatima Noor"/>
    <n v="108309"/>
    <n v="21179"/>
    <n v="99.2"/>
    <n v="1"/>
    <n v="20"/>
    <n v="4"/>
    <n v="25"/>
    <n v="60"/>
    <x v="0"/>
    <x v="0"/>
  </r>
  <r>
    <s v="EMP01009"/>
    <x v="102"/>
    <x v="1"/>
    <n v="37"/>
    <x v="0"/>
    <x v="7"/>
    <x v="49"/>
    <x v="0"/>
    <x v="2"/>
    <x v="2"/>
    <s v="Campus"/>
    <x v="7"/>
    <s v="Sara Ali"/>
    <n v="151821"/>
    <n v="27814"/>
    <n v="91.7"/>
    <n v="7"/>
    <n v="17"/>
    <n v="2"/>
    <n v="37"/>
    <n v="82"/>
    <x v="0"/>
    <x v="0"/>
  </r>
  <r>
    <s v="EMP01028"/>
    <x v="65"/>
    <x v="1"/>
    <n v="22"/>
    <x v="8"/>
    <x v="4"/>
    <x v="49"/>
    <x v="0"/>
    <x v="0"/>
    <x v="2"/>
    <s v="Agency"/>
    <x v="6"/>
    <s v="Sara Ali"/>
    <n v="147446"/>
    <n v="14084"/>
    <n v="88.7"/>
    <n v="1"/>
    <n v="30"/>
    <n v="5"/>
    <n v="8"/>
    <n v="72"/>
    <x v="0"/>
    <x v="0"/>
  </r>
  <r>
    <s v="EMP01280"/>
    <x v="103"/>
    <x v="0"/>
    <n v="40"/>
    <x v="0"/>
    <x v="1"/>
    <x v="49"/>
    <x v="1"/>
    <x v="0"/>
    <x v="2"/>
    <s v="Website"/>
    <x v="4"/>
    <s v="Usman Tariq"/>
    <n v="87007"/>
    <n v="15278"/>
    <n v="86.9"/>
    <n v="9"/>
    <n v="22"/>
    <n v="5"/>
    <n v="19"/>
    <n v="95"/>
    <x v="0"/>
    <x v="2"/>
  </r>
  <r>
    <s v="EMP01604"/>
    <x v="104"/>
    <x v="0"/>
    <n v="39"/>
    <x v="6"/>
    <x v="4"/>
    <x v="49"/>
    <x v="0"/>
    <x v="1"/>
    <x v="4"/>
    <s v="Campus"/>
    <x v="1"/>
    <s v="Ahmed Raza"/>
    <n v="44861"/>
    <n v="49443"/>
    <n v="94.4"/>
    <n v="6"/>
    <n v="15"/>
    <n v="4"/>
    <n v="32"/>
    <n v="91"/>
    <x v="0"/>
    <x v="0"/>
  </r>
  <r>
    <s v="EMP01497"/>
    <x v="105"/>
    <x v="1"/>
    <n v="53"/>
    <x v="0"/>
    <x v="6"/>
    <x v="50"/>
    <x v="1"/>
    <x v="1"/>
    <x v="1"/>
    <s v="Agency"/>
    <x v="1"/>
    <s v="Usman Tariq"/>
    <n v="213010"/>
    <n v="11592"/>
    <n v="98.3"/>
    <n v="10"/>
    <n v="3"/>
    <n v="3"/>
    <n v="2"/>
    <n v="68"/>
    <x v="0"/>
    <x v="1"/>
  </r>
  <r>
    <s v="EMP01641"/>
    <x v="106"/>
    <x v="0"/>
    <n v="60"/>
    <x v="8"/>
    <x v="6"/>
    <x v="51"/>
    <x v="0"/>
    <x v="2"/>
    <x v="3"/>
    <s v="Agency"/>
    <x v="3"/>
    <s v="Ahmed Raza"/>
    <n v="106043"/>
    <n v="16407"/>
    <n v="93.3"/>
    <n v="3"/>
    <n v="20"/>
    <n v="5"/>
    <n v="4"/>
    <n v="65"/>
    <x v="0"/>
    <x v="0"/>
  </r>
  <r>
    <s v="EMP00085"/>
    <x v="82"/>
    <x v="1"/>
    <n v="60"/>
    <x v="2"/>
    <x v="3"/>
    <x v="52"/>
    <x v="0"/>
    <x v="2"/>
    <x v="0"/>
    <s v="Website"/>
    <x v="7"/>
    <s v="Sara Ali"/>
    <n v="94920"/>
    <n v="28542"/>
    <n v="95.7"/>
    <n v="9"/>
    <n v="9"/>
    <n v="2"/>
    <n v="19"/>
    <n v="78"/>
    <x v="1"/>
    <x v="0"/>
  </r>
  <r>
    <s v="EMP00288"/>
    <x v="107"/>
    <x v="0"/>
    <n v="59"/>
    <x v="0"/>
    <x v="5"/>
    <x v="52"/>
    <x v="0"/>
    <x v="1"/>
    <x v="2"/>
    <s v="Linkedin"/>
    <x v="3"/>
    <s v="Usman Tariq"/>
    <n v="116686"/>
    <n v="25815"/>
    <n v="80.599999999999994"/>
    <n v="8"/>
    <n v="6"/>
    <n v="5"/>
    <n v="18"/>
    <n v="91"/>
    <x v="0"/>
    <x v="0"/>
  </r>
  <r>
    <s v="EMP00518"/>
    <x v="108"/>
    <x v="0"/>
    <n v="46"/>
    <x v="7"/>
    <x v="1"/>
    <x v="52"/>
    <x v="0"/>
    <x v="2"/>
    <x v="2"/>
    <s v="Linkedin"/>
    <x v="0"/>
    <s v="Sara Ali"/>
    <n v="146702"/>
    <n v="39294"/>
    <n v="85.6"/>
    <n v="5"/>
    <n v="22"/>
    <n v="3"/>
    <n v="39"/>
    <n v="81"/>
    <x v="0"/>
    <x v="0"/>
  </r>
  <r>
    <s v="EMP01640"/>
    <x v="36"/>
    <x v="1"/>
    <n v="57"/>
    <x v="5"/>
    <x v="0"/>
    <x v="52"/>
    <x v="0"/>
    <x v="0"/>
    <x v="0"/>
    <s v="Referral"/>
    <x v="1"/>
    <s v="Usman Tariq"/>
    <n v="177005"/>
    <n v="26522"/>
    <n v="88.2"/>
    <n v="10"/>
    <n v="19"/>
    <n v="4"/>
    <n v="20"/>
    <n v="92"/>
    <x v="0"/>
    <x v="0"/>
  </r>
  <r>
    <s v="EMP00019"/>
    <x v="109"/>
    <x v="0"/>
    <n v="36"/>
    <x v="1"/>
    <x v="0"/>
    <x v="53"/>
    <x v="0"/>
    <x v="0"/>
    <x v="4"/>
    <s v="Website"/>
    <x v="1"/>
    <s v="Ahmed Raza"/>
    <n v="105950"/>
    <n v="29720"/>
    <n v="98.6"/>
    <n v="1"/>
    <n v="7"/>
    <n v="5"/>
    <n v="11"/>
    <n v="65"/>
    <x v="0"/>
    <x v="0"/>
  </r>
  <r>
    <s v="EMP00088"/>
    <x v="110"/>
    <x v="0"/>
    <n v="22"/>
    <x v="3"/>
    <x v="2"/>
    <x v="53"/>
    <x v="0"/>
    <x v="0"/>
    <x v="4"/>
    <s v="Referral"/>
    <x v="6"/>
    <s v="Usman Tariq"/>
    <n v="157856"/>
    <n v="28987"/>
    <n v="89.1"/>
    <n v="9"/>
    <n v="26"/>
    <n v="4"/>
    <n v="11"/>
    <n v="66"/>
    <x v="0"/>
    <x v="0"/>
  </r>
  <r>
    <s v="EMP00425"/>
    <x v="111"/>
    <x v="0"/>
    <n v="29"/>
    <x v="8"/>
    <x v="3"/>
    <x v="54"/>
    <x v="0"/>
    <x v="2"/>
    <x v="3"/>
    <s v="Campus"/>
    <x v="1"/>
    <s v="Sara Ali"/>
    <n v="244933"/>
    <n v="15646"/>
    <n v="92.3"/>
    <n v="5"/>
    <n v="0"/>
    <n v="3"/>
    <n v="2"/>
    <n v="74"/>
    <x v="1"/>
    <x v="0"/>
  </r>
  <r>
    <s v="EMP00502"/>
    <x v="112"/>
    <x v="1"/>
    <n v="53"/>
    <x v="2"/>
    <x v="4"/>
    <x v="54"/>
    <x v="0"/>
    <x v="1"/>
    <x v="2"/>
    <s v="Linkedin"/>
    <x v="1"/>
    <s v="Bilal Khan"/>
    <n v="125776"/>
    <n v="6292"/>
    <n v="82.3"/>
    <n v="6"/>
    <n v="21"/>
    <n v="5"/>
    <n v="11"/>
    <n v="82"/>
    <x v="0"/>
    <x v="0"/>
  </r>
  <r>
    <s v="EMP00543"/>
    <x v="113"/>
    <x v="0"/>
    <n v="45"/>
    <x v="4"/>
    <x v="5"/>
    <x v="54"/>
    <x v="0"/>
    <x v="2"/>
    <x v="3"/>
    <s v="Agency"/>
    <x v="1"/>
    <s v="Sara Ali"/>
    <n v="173841"/>
    <n v="10499"/>
    <n v="91.1"/>
    <n v="7"/>
    <n v="28"/>
    <n v="1"/>
    <n v="2"/>
    <n v="90"/>
    <x v="0"/>
    <x v="0"/>
  </r>
  <r>
    <s v="EMP00831"/>
    <x v="16"/>
    <x v="0"/>
    <n v="27"/>
    <x v="4"/>
    <x v="1"/>
    <x v="54"/>
    <x v="1"/>
    <x v="2"/>
    <x v="1"/>
    <s v="Referral"/>
    <x v="6"/>
    <s v="Fatima Noor"/>
    <n v="121749"/>
    <n v="10195"/>
    <n v="86.6"/>
    <n v="8"/>
    <n v="0"/>
    <n v="1"/>
    <n v="37"/>
    <n v="81"/>
    <x v="0"/>
    <x v="4"/>
  </r>
  <r>
    <s v="EMP01517"/>
    <x v="68"/>
    <x v="0"/>
    <n v="47"/>
    <x v="3"/>
    <x v="7"/>
    <x v="54"/>
    <x v="0"/>
    <x v="1"/>
    <x v="3"/>
    <s v="Website"/>
    <x v="4"/>
    <s v="Fatima Noor"/>
    <n v="151138"/>
    <n v="21770"/>
    <n v="94.6"/>
    <n v="0"/>
    <n v="6"/>
    <n v="3"/>
    <n v="24"/>
    <n v="82"/>
    <x v="0"/>
    <x v="0"/>
  </r>
  <r>
    <s v="EMP01956"/>
    <x v="114"/>
    <x v="1"/>
    <n v="59"/>
    <x v="8"/>
    <x v="1"/>
    <x v="54"/>
    <x v="0"/>
    <x v="0"/>
    <x v="1"/>
    <s v="Agency"/>
    <x v="7"/>
    <s v="Fatima Noor"/>
    <n v="226150"/>
    <n v="27375"/>
    <n v="97.8"/>
    <n v="4"/>
    <n v="19"/>
    <n v="4"/>
    <n v="35"/>
    <n v="86"/>
    <x v="0"/>
    <x v="0"/>
  </r>
  <r>
    <s v="EMP00856"/>
    <x v="104"/>
    <x v="1"/>
    <n v="23"/>
    <x v="2"/>
    <x v="0"/>
    <x v="55"/>
    <x v="0"/>
    <x v="0"/>
    <x v="3"/>
    <s v="Campus"/>
    <x v="5"/>
    <s v="Bilal Khan"/>
    <n v="248957"/>
    <n v="38630"/>
    <n v="90.9"/>
    <n v="7"/>
    <n v="0"/>
    <n v="5"/>
    <n v="5"/>
    <n v="86"/>
    <x v="0"/>
    <x v="0"/>
  </r>
  <r>
    <s v="EMP00903"/>
    <x v="57"/>
    <x v="1"/>
    <n v="24"/>
    <x v="3"/>
    <x v="2"/>
    <x v="55"/>
    <x v="0"/>
    <x v="2"/>
    <x v="0"/>
    <s v="Website"/>
    <x v="0"/>
    <s v="Sara Ali"/>
    <n v="199808"/>
    <n v="27714"/>
    <n v="82.8"/>
    <n v="7"/>
    <n v="1"/>
    <n v="5"/>
    <n v="8"/>
    <n v="77"/>
    <x v="0"/>
    <x v="0"/>
  </r>
  <r>
    <s v="EMP00813"/>
    <x v="115"/>
    <x v="1"/>
    <n v="35"/>
    <x v="4"/>
    <x v="1"/>
    <x v="56"/>
    <x v="0"/>
    <x v="1"/>
    <x v="1"/>
    <s v="Agency"/>
    <x v="5"/>
    <s v="Ahmed Raza"/>
    <n v="180963"/>
    <n v="9596"/>
    <n v="80.5"/>
    <n v="2"/>
    <n v="19"/>
    <n v="1"/>
    <n v="22"/>
    <n v="75"/>
    <x v="0"/>
    <x v="0"/>
  </r>
  <r>
    <s v="EMP00851"/>
    <x v="116"/>
    <x v="1"/>
    <n v="48"/>
    <x v="2"/>
    <x v="7"/>
    <x v="56"/>
    <x v="0"/>
    <x v="2"/>
    <x v="0"/>
    <s v="Campus"/>
    <x v="0"/>
    <s v="Usman Tariq"/>
    <n v="90361"/>
    <n v="31165"/>
    <n v="97.1"/>
    <n v="7"/>
    <n v="15"/>
    <n v="3"/>
    <n v="25"/>
    <n v="83"/>
    <x v="0"/>
    <x v="0"/>
  </r>
  <r>
    <s v="EMP01296"/>
    <x v="117"/>
    <x v="1"/>
    <n v="23"/>
    <x v="7"/>
    <x v="2"/>
    <x v="56"/>
    <x v="0"/>
    <x v="1"/>
    <x v="1"/>
    <s v="Agency"/>
    <x v="6"/>
    <s v="Fatima Noor"/>
    <n v="37990"/>
    <n v="25768"/>
    <n v="89.4"/>
    <n v="1"/>
    <n v="20"/>
    <n v="4"/>
    <n v="34"/>
    <n v="77"/>
    <x v="1"/>
    <x v="0"/>
  </r>
  <r>
    <s v="EMP01451"/>
    <x v="118"/>
    <x v="0"/>
    <n v="29"/>
    <x v="4"/>
    <x v="5"/>
    <x v="56"/>
    <x v="0"/>
    <x v="1"/>
    <x v="0"/>
    <s v="Agency"/>
    <x v="1"/>
    <s v="Bilal Khan"/>
    <n v="61486"/>
    <n v="8213"/>
    <n v="87.1"/>
    <n v="3"/>
    <n v="8"/>
    <n v="4"/>
    <n v="16"/>
    <n v="80"/>
    <x v="1"/>
    <x v="0"/>
  </r>
  <r>
    <s v="EMP01465"/>
    <x v="48"/>
    <x v="0"/>
    <n v="34"/>
    <x v="1"/>
    <x v="4"/>
    <x v="56"/>
    <x v="0"/>
    <x v="0"/>
    <x v="1"/>
    <s v="Referral"/>
    <x v="6"/>
    <s v="Sara Ali"/>
    <n v="157067"/>
    <n v="12748"/>
    <n v="88.8"/>
    <n v="7"/>
    <n v="30"/>
    <n v="2"/>
    <n v="8"/>
    <n v="85"/>
    <x v="0"/>
    <x v="0"/>
  </r>
  <r>
    <s v="EMP00244"/>
    <x v="115"/>
    <x v="1"/>
    <n v="25"/>
    <x v="5"/>
    <x v="2"/>
    <x v="57"/>
    <x v="0"/>
    <x v="2"/>
    <x v="0"/>
    <s v="Website"/>
    <x v="0"/>
    <s v="Usman Tariq"/>
    <n v="172666"/>
    <n v="46058"/>
    <n v="86.1"/>
    <n v="1"/>
    <n v="12"/>
    <n v="5"/>
    <n v="27"/>
    <n v="76"/>
    <x v="0"/>
    <x v="0"/>
  </r>
  <r>
    <s v="EMP01612"/>
    <x v="1"/>
    <x v="0"/>
    <n v="23"/>
    <x v="5"/>
    <x v="0"/>
    <x v="57"/>
    <x v="0"/>
    <x v="0"/>
    <x v="4"/>
    <s v="Campus"/>
    <x v="3"/>
    <s v="Fatima Noor"/>
    <n v="117268"/>
    <n v="49689"/>
    <n v="80.8"/>
    <n v="4"/>
    <n v="4"/>
    <n v="4"/>
    <n v="25"/>
    <n v="74"/>
    <x v="0"/>
    <x v="0"/>
  </r>
  <r>
    <s v="EMP01642"/>
    <x v="45"/>
    <x v="1"/>
    <n v="25"/>
    <x v="7"/>
    <x v="4"/>
    <x v="57"/>
    <x v="0"/>
    <x v="2"/>
    <x v="3"/>
    <s v="Website"/>
    <x v="0"/>
    <s v="Usman Tariq"/>
    <n v="144595"/>
    <n v="31350"/>
    <n v="90.4"/>
    <n v="7"/>
    <n v="29"/>
    <n v="5"/>
    <n v="17"/>
    <n v="78"/>
    <x v="1"/>
    <x v="0"/>
  </r>
  <r>
    <s v="EMP00156"/>
    <x v="95"/>
    <x v="0"/>
    <n v="42"/>
    <x v="2"/>
    <x v="1"/>
    <x v="58"/>
    <x v="0"/>
    <x v="0"/>
    <x v="0"/>
    <s v="Website"/>
    <x v="2"/>
    <s v="Fatima Noor"/>
    <n v="42166"/>
    <n v="20548"/>
    <n v="98"/>
    <n v="0"/>
    <n v="26"/>
    <n v="4"/>
    <n v="4"/>
    <n v="94"/>
    <x v="0"/>
    <x v="0"/>
  </r>
  <r>
    <s v="EMP00752"/>
    <x v="20"/>
    <x v="1"/>
    <n v="23"/>
    <x v="2"/>
    <x v="2"/>
    <x v="58"/>
    <x v="0"/>
    <x v="0"/>
    <x v="0"/>
    <s v="Website"/>
    <x v="0"/>
    <s v="Ahmed Raza"/>
    <n v="99385"/>
    <n v="38569"/>
    <n v="99.4"/>
    <n v="10"/>
    <n v="8"/>
    <n v="2"/>
    <n v="16"/>
    <n v="70"/>
    <x v="0"/>
    <x v="0"/>
  </r>
  <r>
    <s v="EMP00963"/>
    <x v="0"/>
    <x v="0"/>
    <n v="56"/>
    <x v="0"/>
    <x v="5"/>
    <x v="58"/>
    <x v="0"/>
    <x v="0"/>
    <x v="4"/>
    <s v="Website"/>
    <x v="3"/>
    <s v="Sara Ali"/>
    <n v="132605"/>
    <n v="27683"/>
    <n v="96.2"/>
    <n v="9"/>
    <n v="28"/>
    <n v="3"/>
    <n v="12"/>
    <n v="92"/>
    <x v="0"/>
    <x v="0"/>
  </r>
  <r>
    <s v="EMP01169"/>
    <x v="83"/>
    <x v="0"/>
    <n v="60"/>
    <x v="3"/>
    <x v="7"/>
    <x v="58"/>
    <x v="0"/>
    <x v="1"/>
    <x v="0"/>
    <s v="Agency"/>
    <x v="2"/>
    <s v="Bilal Khan"/>
    <n v="68107"/>
    <n v="25595"/>
    <n v="92.8"/>
    <n v="6"/>
    <n v="22"/>
    <n v="3"/>
    <n v="21"/>
    <n v="68"/>
    <x v="0"/>
    <x v="0"/>
  </r>
  <r>
    <s v="EMP01219"/>
    <x v="110"/>
    <x v="1"/>
    <n v="29"/>
    <x v="0"/>
    <x v="5"/>
    <x v="58"/>
    <x v="0"/>
    <x v="0"/>
    <x v="3"/>
    <s v="Referral"/>
    <x v="1"/>
    <s v="Ahmed Raza"/>
    <n v="136087"/>
    <n v="34550"/>
    <n v="85.6"/>
    <n v="5"/>
    <n v="0"/>
    <n v="4"/>
    <n v="25"/>
    <n v="92"/>
    <x v="1"/>
    <x v="0"/>
  </r>
  <r>
    <s v="EMP01611"/>
    <x v="69"/>
    <x v="0"/>
    <n v="40"/>
    <x v="1"/>
    <x v="2"/>
    <x v="58"/>
    <x v="0"/>
    <x v="1"/>
    <x v="4"/>
    <s v="Agency"/>
    <x v="5"/>
    <s v="Ahmed Raza"/>
    <n v="158114"/>
    <n v="35323"/>
    <n v="94.8"/>
    <n v="6"/>
    <n v="15"/>
    <n v="2"/>
    <n v="15"/>
    <n v="61"/>
    <x v="0"/>
    <x v="0"/>
  </r>
  <r>
    <s v="EMP00330"/>
    <x v="119"/>
    <x v="1"/>
    <n v="54"/>
    <x v="0"/>
    <x v="6"/>
    <x v="59"/>
    <x v="0"/>
    <x v="1"/>
    <x v="0"/>
    <s v="Linkedin"/>
    <x v="4"/>
    <s v="Bilal Khan"/>
    <n v="112017"/>
    <n v="36774"/>
    <n v="86.5"/>
    <n v="4"/>
    <n v="30"/>
    <n v="3"/>
    <n v="29"/>
    <n v="100"/>
    <x v="0"/>
    <x v="0"/>
  </r>
  <r>
    <s v="EMP00603"/>
    <x v="86"/>
    <x v="1"/>
    <n v="36"/>
    <x v="0"/>
    <x v="4"/>
    <x v="59"/>
    <x v="0"/>
    <x v="1"/>
    <x v="1"/>
    <s v="Agency"/>
    <x v="4"/>
    <s v="Fatima Noor"/>
    <n v="66751"/>
    <n v="49354"/>
    <n v="92.6"/>
    <n v="6"/>
    <n v="12"/>
    <n v="5"/>
    <n v="26"/>
    <n v="82"/>
    <x v="0"/>
    <x v="0"/>
  </r>
  <r>
    <s v="EMP01780"/>
    <x v="104"/>
    <x v="0"/>
    <n v="27"/>
    <x v="3"/>
    <x v="5"/>
    <x v="59"/>
    <x v="0"/>
    <x v="2"/>
    <x v="2"/>
    <s v="Website"/>
    <x v="6"/>
    <s v="Usman Tariq"/>
    <n v="200453"/>
    <n v="22798"/>
    <n v="84.4"/>
    <n v="2"/>
    <n v="8"/>
    <n v="2"/>
    <n v="28"/>
    <n v="86"/>
    <x v="0"/>
    <x v="0"/>
  </r>
  <r>
    <s v="EMP00262"/>
    <x v="120"/>
    <x v="0"/>
    <n v="27"/>
    <x v="1"/>
    <x v="2"/>
    <x v="60"/>
    <x v="0"/>
    <x v="1"/>
    <x v="2"/>
    <s v="Campus"/>
    <x v="3"/>
    <s v="Sara Ali"/>
    <n v="59547"/>
    <n v="42990"/>
    <n v="91.4"/>
    <n v="5"/>
    <n v="26"/>
    <n v="5"/>
    <n v="17"/>
    <n v="88"/>
    <x v="0"/>
    <x v="0"/>
  </r>
  <r>
    <s v="EMP00263"/>
    <x v="111"/>
    <x v="0"/>
    <n v="45"/>
    <x v="1"/>
    <x v="7"/>
    <x v="60"/>
    <x v="0"/>
    <x v="1"/>
    <x v="1"/>
    <s v="Referral"/>
    <x v="5"/>
    <s v="Usman Tariq"/>
    <n v="147876"/>
    <n v="19535"/>
    <n v="97.3"/>
    <n v="3"/>
    <n v="24"/>
    <n v="2"/>
    <n v="34"/>
    <n v="83"/>
    <x v="0"/>
    <x v="0"/>
  </r>
  <r>
    <s v="EMP01110"/>
    <x v="121"/>
    <x v="0"/>
    <n v="59"/>
    <x v="3"/>
    <x v="4"/>
    <x v="60"/>
    <x v="1"/>
    <x v="2"/>
    <x v="1"/>
    <s v="Campus"/>
    <x v="7"/>
    <s v="Ahmed Raza"/>
    <n v="161130"/>
    <n v="41540"/>
    <n v="99.6"/>
    <n v="7"/>
    <n v="11"/>
    <n v="3"/>
    <n v="40"/>
    <n v="96"/>
    <x v="0"/>
    <x v="1"/>
  </r>
  <r>
    <s v="EMP01359"/>
    <x v="122"/>
    <x v="0"/>
    <n v="59"/>
    <x v="3"/>
    <x v="3"/>
    <x v="60"/>
    <x v="0"/>
    <x v="2"/>
    <x v="4"/>
    <s v="Website"/>
    <x v="4"/>
    <s v="Bilal Khan"/>
    <n v="156033"/>
    <n v="24128"/>
    <n v="92"/>
    <n v="3"/>
    <n v="19"/>
    <n v="4"/>
    <n v="17"/>
    <n v="95"/>
    <x v="0"/>
    <x v="0"/>
  </r>
  <r>
    <s v="EMP01480"/>
    <x v="7"/>
    <x v="0"/>
    <n v="21"/>
    <x v="0"/>
    <x v="6"/>
    <x v="60"/>
    <x v="1"/>
    <x v="0"/>
    <x v="3"/>
    <s v="Linkedin"/>
    <x v="5"/>
    <s v="Sara Ali"/>
    <n v="138698"/>
    <n v="46098"/>
    <n v="86.2"/>
    <n v="2"/>
    <n v="10"/>
    <n v="2"/>
    <n v="34"/>
    <n v="97"/>
    <x v="0"/>
    <x v="5"/>
  </r>
  <r>
    <s v="EMP01672"/>
    <x v="123"/>
    <x v="1"/>
    <n v="22"/>
    <x v="8"/>
    <x v="0"/>
    <x v="60"/>
    <x v="0"/>
    <x v="0"/>
    <x v="1"/>
    <s v="Website"/>
    <x v="2"/>
    <s v="Usman Tariq"/>
    <n v="133594"/>
    <n v="41839"/>
    <n v="83.4"/>
    <n v="2"/>
    <n v="29"/>
    <n v="3"/>
    <n v="33"/>
    <n v="65"/>
    <x v="0"/>
    <x v="0"/>
  </r>
  <r>
    <s v="EMP00628"/>
    <x v="5"/>
    <x v="0"/>
    <n v="50"/>
    <x v="5"/>
    <x v="6"/>
    <x v="61"/>
    <x v="0"/>
    <x v="2"/>
    <x v="4"/>
    <s v="Website"/>
    <x v="2"/>
    <s v="Usman Tariq"/>
    <n v="45938"/>
    <n v="33067"/>
    <n v="99.9"/>
    <n v="6"/>
    <n v="13"/>
    <n v="2"/>
    <n v="31"/>
    <n v="60"/>
    <x v="0"/>
    <x v="0"/>
  </r>
  <r>
    <s v="EMP00962"/>
    <x v="19"/>
    <x v="0"/>
    <n v="43"/>
    <x v="0"/>
    <x v="2"/>
    <x v="61"/>
    <x v="0"/>
    <x v="1"/>
    <x v="0"/>
    <s v="Campus"/>
    <x v="4"/>
    <s v="Bilal Khan"/>
    <n v="120324"/>
    <n v="35109"/>
    <n v="85.6"/>
    <n v="6"/>
    <n v="8"/>
    <n v="1"/>
    <n v="1"/>
    <n v="75"/>
    <x v="0"/>
    <x v="0"/>
  </r>
  <r>
    <s v="EMP01541"/>
    <x v="55"/>
    <x v="0"/>
    <n v="42"/>
    <x v="6"/>
    <x v="3"/>
    <x v="61"/>
    <x v="0"/>
    <x v="2"/>
    <x v="1"/>
    <s v="Referral"/>
    <x v="3"/>
    <s v="Ahmed Raza"/>
    <n v="168144"/>
    <n v="14870"/>
    <n v="89.7"/>
    <n v="2"/>
    <n v="2"/>
    <n v="5"/>
    <n v="18"/>
    <n v="98"/>
    <x v="1"/>
    <x v="0"/>
  </r>
  <r>
    <s v="EMP01814"/>
    <x v="92"/>
    <x v="1"/>
    <n v="33"/>
    <x v="7"/>
    <x v="7"/>
    <x v="61"/>
    <x v="0"/>
    <x v="2"/>
    <x v="4"/>
    <s v="Agency"/>
    <x v="3"/>
    <s v="Sara Ali"/>
    <n v="163988"/>
    <n v="27988"/>
    <n v="85"/>
    <n v="4"/>
    <n v="0"/>
    <n v="2"/>
    <n v="32"/>
    <n v="71"/>
    <x v="0"/>
    <x v="0"/>
  </r>
  <r>
    <s v="EMP00635"/>
    <x v="124"/>
    <x v="1"/>
    <n v="25"/>
    <x v="6"/>
    <x v="6"/>
    <x v="62"/>
    <x v="0"/>
    <x v="1"/>
    <x v="0"/>
    <s v="Linkedin"/>
    <x v="1"/>
    <s v="Usman Tariq"/>
    <n v="167646"/>
    <n v="44478"/>
    <n v="94.4"/>
    <n v="0"/>
    <n v="10"/>
    <n v="5"/>
    <n v="21"/>
    <n v="83"/>
    <x v="0"/>
    <x v="0"/>
  </r>
  <r>
    <s v="EMP01463"/>
    <x v="91"/>
    <x v="1"/>
    <n v="49"/>
    <x v="2"/>
    <x v="3"/>
    <x v="62"/>
    <x v="0"/>
    <x v="2"/>
    <x v="1"/>
    <s v="Agency"/>
    <x v="3"/>
    <s v="Bilal Khan"/>
    <n v="108028"/>
    <n v="42143"/>
    <n v="86.8"/>
    <n v="8"/>
    <n v="30"/>
    <n v="5"/>
    <n v="2"/>
    <n v="82"/>
    <x v="0"/>
    <x v="0"/>
  </r>
  <r>
    <s v="EMP00142"/>
    <x v="52"/>
    <x v="1"/>
    <n v="58"/>
    <x v="5"/>
    <x v="6"/>
    <x v="63"/>
    <x v="0"/>
    <x v="0"/>
    <x v="3"/>
    <s v="Linkedin"/>
    <x v="4"/>
    <s v="Ahmed Raza"/>
    <n v="133941"/>
    <n v="14574"/>
    <n v="92.1"/>
    <n v="2"/>
    <n v="27"/>
    <n v="5"/>
    <n v="16"/>
    <n v="99"/>
    <x v="0"/>
    <x v="0"/>
  </r>
  <r>
    <s v="EMP00078"/>
    <x v="100"/>
    <x v="0"/>
    <n v="26"/>
    <x v="5"/>
    <x v="6"/>
    <x v="64"/>
    <x v="1"/>
    <x v="0"/>
    <x v="1"/>
    <s v="Agency"/>
    <x v="6"/>
    <s v="Sara Ali"/>
    <n v="114578"/>
    <n v="24133"/>
    <n v="93.6"/>
    <n v="7"/>
    <n v="15"/>
    <n v="2"/>
    <n v="40"/>
    <n v="64"/>
    <x v="1"/>
    <x v="5"/>
  </r>
  <r>
    <s v="EMP00422"/>
    <x v="125"/>
    <x v="1"/>
    <n v="53"/>
    <x v="4"/>
    <x v="2"/>
    <x v="64"/>
    <x v="0"/>
    <x v="1"/>
    <x v="4"/>
    <s v="Referral"/>
    <x v="2"/>
    <s v="Ahmed Raza"/>
    <n v="41468"/>
    <n v="9974"/>
    <n v="88.4"/>
    <n v="1"/>
    <n v="30"/>
    <n v="3"/>
    <n v="0"/>
    <n v="79"/>
    <x v="0"/>
    <x v="0"/>
  </r>
  <r>
    <s v="EMP01008"/>
    <x v="121"/>
    <x v="0"/>
    <n v="43"/>
    <x v="5"/>
    <x v="0"/>
    <x v="64"/>
    <x v="0"/>
    <x v="1"/>
    <x v="1"/>
    <s v="Website"/>
    <x v="6"/>
    <s v="Bilal Khan"/>
    <n v="244499"/>
    <n v="35083"/>
    <n v="80.400000000000006"/>
    <n v="1"/>
    <n v="22"/>
    <n v="4"/>
    <n v="4"/>
    <n v="71"/>
    <x v="0"/>
    <x v="0"/>
  </r>
  <r>
    <s v="EMP01657"/>
    <x v="35"/>
    <x v="1"/>
    <n v="53"/>
    <x v="5"/>
    <x v="3"/>
    <x v="64"/>
    <x v="0"/>
    <x v="2"/>
    <x v="1"/>
    <s v="Website"/>
    <x v="6"/>
    <s v="Bilal Khan"/>
    <n v="242327"/>
    <n v="11860"/>
    <n v="99.3"/>
    <n v="5"/>
    <n v="19"/>
    <n v="4"/>
    <n v="30"/>
    <n v="65"/>
    <x v="0"/>
    <x v="0"/>
  </r>
  <r>
    <s v="EMP00320"/>
    <x v="104"/>
    <x v="0"/>
    <n v="60"/>
    <x v="3"/>
    <x v="3"/>
    <x v="65"/>
    <x v="0"/>
    <x v="2"/>
    <x v="4"/>
    <s v="Agency"/>
    <x v="2"/>
    <s v="Fatima Noor"/>
    <n v="219656"/>
    <n v="23971"/>
    <n v="97.6"/>
    <n v="2"/>
    <n v="29"/>
    <n v="4"/>
    <n v="25"/>
    <n v="67"/>
    <x v="0"/>
    <x v="0"/>
  </r>
  <r>
    <s v="EMP01108"/>
    <x v="126"/>
    <x v="1"/>
    <n v="30"/>
    <x v="6"/>
    <x v="5"/>
    <x v="65"/>
    <x v="1"/>
    <x v="1"/>
    <x v="3"/>
    <s v="Referral"/>
    <x v="0"/>
    <s v="Bilal Khan"/>
    <n v="136791"/>
    <n v="11462"/>
    <n v="92.5"/>
    <n v="4"/>
    <n v="16"/>
    <n v="1"/>
    <n v="17"/>
    <n v="86"/>
    <x v="0"/>
    <x v="4"/>
  </r>
  <r>
    <s v="EMP01565"/>
    <x v="127"/>
    <x v="0"/>
    <n v="45"/>
    <x v="5"/>
    <x v="6"/>
    <x v="65"/>
    <x v="0"/>
    <x v="2"/>
    <x v="2"/>
    <s v="Agency"/>
    <x v="5"/>
    <s v="Fatima Noor"/>
    <n v="222308"/>
    <n v="7193"/>
    <n v="92.5"/>
    <n v="4"/>
    <n v="22"/>
    <n v="1"/>
    <n v="25"/>
    <n v="74"/>
    <x v="0"/>
    <x v="0"/>
  </r>
  <r>
    <s v="EMP01678"/>
    <x v="128"/>
    <x v="0"/>
    <n v="26"/>
    <x v="2"/>
    <x v="2"/>
    <x v="65"/>
    <x v="0"/>
    <x v="1"/>
    <x v="0"/>
    <s v="Agency"/>
    <x v="4"/>
    <s v="Sara Ali"/>
    <n v="38691"/>
    <n v="20742"/>
    <n v="90.3"/>
    <n v="10"/>
    <n v="1"/>
    <n v="2"/>
    <n v="18"/>
    <n v="67"/>
    <x v="1"/>
    <x v="0"/>
  </r>
  <r>
    <s v="EMP01745"/>
    <x v="44"/>
    <x v="1"/>
    <n v="30"/>
    <x v="2"/>
    <x v="2"/>
    <x v="65"/>
    <x v="0"/>
    <x v="2"/>
    <x v="3"/>
    <s v="Website"/>
    <x v="0"/>
    <s v="Sara Ali"/>
    <n v="126496"/>
    <n v="21806"/>
    <n v="96.6"/>
    <n v="1"/>
    <n v="10"/>
    <n v="2"/>
    <n v="2"/>
    <n v="74"/>
    <x v="0"/>
    <x v="0"/>
  </r>
  <r>
    <s v="EMP00846"/>
    <x v="17"/>
    <x v="0"/>
    <n v="36"/>
    <x v="7"/>
    <x v="0"/>
    <x v="66"/>
    <x v="0"/>
    <x v="0"/>
    <x v="4"/>
    <s v="Referral"/>
    <x v="1"/>
    <s v="Bilal Khan"/>
    <n v="148152"/>
    <n v="19755"/>
    <n v="87.4"/>
    <n v="6"/>
    <n v="6"/>
    <n v="4"/>
    <n v="38"/>
    <n v="99"/>
    <x v="1"/>
    <x v="0"/>
  </r>
  <r>
    <s v="EMP01163"/>
    <x v="129"/>
    <x v="0"/>
    <n v="45"/>
    <x v="7"/>
    <x v="0"/>
    <x v="66"/>
    <x v="0"/>
    <x v="0"/>
    <x v="2"/>
    <s v="Referral"/>
    <x v="1"/>
    <s v="Fatima Noor"/>
    <n v="210967"/>
    <n v="44401"/>
    <n v="83.7"/>
    <n v="9"/>
    <n v="6"/>
    <n v="4"/>
    <n v="36"/>
    <n v="100"/>
    <x v="0"/>
    <x v="0"/>
  </r>
  <r>
    <s v="EMP01475"/>
    <x v="100"/>
    <x v="1"/>
    <n v="26"/>
    <x v="8"/>
    <x v="2"/>
    <x v="66"/>
    <x v="0"/>
    <x v="2"/>
    <x v="2"/>
    <s v="Agency"/>
    <x v="6"/>
    <s v="Bilal Khan"/>
    <n v="109376"/>
    <n v="44999"/>
    <n v="91.5"/>
    <n v="8"/>
    <n v="13"/>
    <n v="3"/>
    <n v="22"/>
    <n v="88"/>
    <x v="1"/>
    <x v="0"/>
  </r>
  <r>
    <s v="EMP01841"/>
    <x v="26"/>
    <x v="1"/>
    <n v="24"/>
    <x v="7"/>
    <x v="6"/>
    <x v="66"/>
    <x v="0"/>
    <x v="1"/>
    <x v="1"/>
    <s v="Website"/>
    <x v="6"/>
    <s v="Usman Tariq"/>
    <n v="49426"/>
    <n v="5864"/>
    <n v="98.3"/>
    <n v="9"/>
    <n v="8"/>
    <n v="4"/>
    <n v="19"/>
    <n v="69"/>
    <x v="0"/>
    <x v="0"/>
  </r>
  <r>
    <s v="EMP01115"/>
    <x v="130"/>
    <x v="0"/>
    <n v="25"/>
    <x v="5"/>
    <x v="3"/>
    <x v="67"/>
    <x v="0"/>
    <x v="2"/>
    <x v="2"/>
    <s v="Linkedin"/>
    <x v="3"/>
    <s v="Bilal Khan"/>
    <n v="136128"/>
    <n v="34900"/>
    <n v="83.5"/>
    <n v="10"/>
    <n v="7"/>
    <n v="4"/>
    <n v="20"/>
    <n v="88"/>
    <x v="0"/>
    <x v="0"/>
  </r>
  <r>
    <s v="EMP01328"/>
    <x v="131"/>
    <x v="0"/>
    <n v="36"/>
    <x v="3"/>
    <x v="2"/>
    <x v="67"/>
    <x v="0"/>
    <x v="0"/>
    <x v="2"/>
    <s v="Campus"/>
    <x v="7"/>
    <s v="Fatima Noor"/>
    <n v="95230"/>
    <n v="34945"/>
    <n v="96"/>
    <n v="6"/>
    <n v="2"/>
    <n v="4"/>
    <n v="21"/>
    <n v="84"/>
    <x v="0"/>
    <x v="0"/>
  </r>
  <r>
    <s v="EMP01364"/>
    <x v="74"/>
    <x v="1"/>
    <n v="50"/>
    <x v="4"/>
    <x v="7"/>
    <x v="67"/>
    <x v="0"/>
    <x v="0"/>
    <x v="1"/>
    <s v="Website"/>
    <x v="2"/>
    <s v="Fatima Noor"/>
    <n v="77638"/>
    <n v="33243"/>
    <n v="85"/>
    <n v="8"/>
    <n v="10"/>
    <n v="3"/>
    <n v="15"/>
    <n v="65"/>
    <x v="1"/>
    <x v="0"/>
  </r>
  <r>
    <s v="EMP01558"/>
    <x v="98"/>
    <x v="1"/>
    <n v="41"/>
    <x v="2"/>
    <x v="4"/>
    <x v="67"/>
    <x v="0"/>
    <x v="2"/>
    <x v="4"/>
    <s v="Linkedin"/>
    <x v="3"/>
    <s v="Fatima Noor"/>
    <n v="243313"/>
    <n v="32310"/>
    <n v="83.5"/>
    <n v="0"/>
    <n v="2"/>
    <n v="3"/>
    <n v="13"/>
    <n v="70"/>
    <x v="0"/>
    <x v="0"/>
  </r>
  <r>
    <s v="EMP00037"/>
    <x v="129"/>
    <x v="0"/>
    <n v="23"/>
    <x v="1"/>
    <x v="4"/>
    <x v="68"/>
    <x v="0"/>
    <x v="1"/>
    <x v="1"/>
    <s v="Campus"/>
    <x v="6"/>
    <s v="Usman Tariq"/>
    <n v="83151"/>
    <n v="37963"/>
    <n v="87"/>
    <n v="4"/>
    <n v="12"/>
    <n v="1"/>
    <n v="17"/>
    <n v="81"/>
    <x v="0"/>
    <x v="0"/>
  </r>
  <r>
    <s v="EMP00331"/>
    <x v="47"/>
    <x v="0"/>
    <n v="56"/>
    <x v="6"/>
    <x v="7"/>
    <x v="68"/>
    <x v="0"/>
    <x v="0"/>
    <x v="0"/>
    <s v="Campus"/>
    <x v="3"/>
    <s v="Ahmed Raza"/>
    <n v="209808"/>
    <n v="36446"/>
    <n v="81.2"/>
    <n v="7"/>
    <n v="17"/>
    <n v="5"/>
    <n v="31"/>
    <n v="60"/>
    <x v="0"/>
    <x v="0"/>
  </r>
  <r>
    <s v="EMP01995"/>
    <x v="58"/>
    <x v="0"/>
    <n v="22"/>
    <x v="1"/>
    <x v="7"/>
    <x v="68"/>
    <x v="0"/>
    <x v="0"/>
    <x v="4"/>
    <s v="Linkedin"/>
    <x v="2"/>
    <s v="Bilal Khan"/>
    <n v="198231"/>
    <n v="47705"/>
    <n v="98.7"/>
    <n v="10"/>
    <n v="18"/>
    <n v="4"/>
    <n v="39"/>
    <n v="84"/>
    <x v="1"/>
    <x v="0"/>
  </r>
  <r>
    <s v="EMP01266"/>
    <x v="117"/>
    <x v="1"/>
    <n v="28"/>
    <x v="7"/>
    <x v="2"/>
    <x v="69"/>
    <x v="0"/>
    <x v="1"/>
    <x v="2"/>
    <s v="Linkedin"/>
    <x v="3"/>
    <s v="Fatima Noor"/>
    <n v="78586"/>
    <n v="9058"/>
    <n v="92.6"/>
    <n v="5"/>
    <n v="0"/>
    <n v="5"/>
    <n v="39"/>
    <n v="95"/>
    <x v="0"/>
    <x v="0"/>
  </r>
  <r>
    <s v="EMP01811"/>
    <x v="132"/>
    <x v="0"/>
    <n v="59"/>
    <x v="2"/>
    <x v="2"/>
    <x v="69"/>
    <x v="0"/>
    <x v="0"/>
    <x v="1"/>
    <s v="Agency"/>
    <x v="1"/>
    <s v="Fatima Noor"/>
    <n v="113314"/>
    <n v="15920"/>
    <n v="95.6"/>
    <n v="9"/>
    <n v="14"/>
    <n v="5"/>
    <n v="2"/>
    <n v="63"/>
    <x v="1"/>
    <x v="0"/>
  </r>
  <r>
    <s v="EMP01878"/>
    <x v="82"/>
    <x v="1"/>
    <n v="44"/>
    <x v="7"/>
    <x v="1"/>
    <x v="69"/>
    <x v="0"/>
    <x v="2"/>
    <x v="4"/>
    <s v="Referral"/>
    <x v="5"/>
    <s v="Usman Tariq"/>
    <n v="242192"/>
    <n v="24492"/>
    <n v="93.4"/>
    <n v="2"/>
    <n v="2"/>
    <n v="3"/>
    <n v="22"/>
    <n v="65"/>
    <x v="0"/>
    <x v="0"/>
  </r>
  <r>
    <s v="EMP00811"/>
    <x v="133"/>
    <x v="0"/>
    <n v="43"/>
    <x v="8"/>
    <x v="5"/>
    <x v="70"/>
    <x v="0"/>
    <x v="2"/>
    <x v="2"/>
    <s v="Campus"/>
    <x v="2"/>
    <s v="Bilal Khan"/>
    <n v="73181"/>
    <n v="8511"/>
    <n v="90.3"/>
    <n v="10"/>
    <n v="29"/>
    <n v="2"/>
    <n v="2"/>
    <n v="74"/>
    <x v="0"/>
    <x v="0"/>
  </r>
  <r>
    <s v="EMP01037"/>
    <x v="20"/>
    <x v="1"/>
    <n v="36"/>
    <x v="1"/>
    <x v="0"/>
    <x v="70"/>
    <x v="0"/>
    <x v="1"/>
    <x v="4"/>
    <s v="Linkedin"/>
    <x v="5"/>
    <s v="Ahmed Raza"/>
    <n v="129190"/>
    <n v="30298"/>
    <n v="87.8"/>
    <n v="2"/>
    <n v="5"/>
    <n v="3"/>
    <n v="7"/>
    <n v="97"/>
    <x v="0"/>
    <x v="0"/>
  </r>
  <r>
    <s v="EMP00065"/>
    <x v="134"/>
    <x v="0"/>
    <n v="59"/>
    <x v="3"/>
    <x v="0"/>
    <x v="71"/>
    <x v="0"/>
    <x v="2"/>
    <x v="0"/>
    <s v="Linkedin"/>
    <x v="5"/>
    <s v="Usman Tariq"/>
    <n v="53157"/>
    <n v="49963"/>
    <n v="92.9"/>
    <n v="1"/>
    <n v="9"/>
    <n v="2"/>
    <n v="15"/>
    <n v="68"/>
    <x v="1"/>
    <x v="0"/>
  </r>
  <r>
    <s v="EMP00715"/>
    <x v="135"/>
    <x v="1"/>
    <n v="60"/>
    <x v="0"/>
    <x v="6"/>
    <x v="71"/>
    <x v="1"/>
    <x v="1"/>
    <x v="0"/>
    <s v="Agency"/>
    <x v="2"/>
    <s v="Sara Ali"/>
    <n v="44438"/>
    <n v="31709"/>
    <n v="85.9"/>
    <n v="9"/>
    <n v="28"/>
    <n v="5"/>
    <n v="22"/>
    <n v="62"/>
    <x v="0"/>
    <x v="4"/>
  </r>
  <r>
    <s v="EMP00941"/>
    <x v="92"/>
    <x v="1"/>
    <n v="44"/>
    <x v="1"/>
    <x v="1"/>
    <x v="71"/>
    <x v="1"/>
    <x v="2"/>
    <x v="1"/>
    <s v="Campus"/>
    <x v="1"/>
    <s v="Usman Tariq"/>
    <n v="180875"/>
    <n v="12167"/>
    <n v="81.7"/>
    <n v="7"/>
    <n v="19"/>
    <n v="2"/>
    <n v="19"/>
    <n v="79"/>
    <x v="0"/>
    <x v="3"/>
  </r>
  <r>
    <s v="EMP01597"/>
    <x v="40"/>
    <x v="0"/>
    <n v="32"/>
    <x v="1"/>
    <x v="3"/>
    <x v="71"/>
    <x v="0"/>
    <x v="0"/>
    <x v="3"/>
    <s v="Linkedin"/>
    <x v="5"/>
    <s v="Usman Tariq"/>
    <n v="96817"/>
    <n v="48355"/>
    <n v="88"/>
    <n v="1"/>
    <n v="0"/>
    <n v="3"/>
    <n v="30"/>
    <n v="98"/>
    <x v="1"/>
    <x v="0"/>
  </r>
  <r>
    <s v="EMP00261"/>
    <x v="36"/>
    <x v="0"/>
    <n v="29"/>
    <x v="0"/>
    <x v="1"/>
    <x v="72"/>
    <x v="0"/>
    <x v="2"/>
    <x v="3"/>
    <s v="Agency"/>
    <x v="1"/>
    <s v="Bilal Khan"/>
    <n v="175130"/>
    <n v="22869"/>
    <n v="86.9"/>
    <n v="3"/>
    <n v="4"/>
    <n v="1"/>
    <n v="14"/>
    <n v="66"/>
    <x v="0"/>
    <x v="0"/>
  </r>
  <r>
    <s v="EMP00335"/>
    <x v="8"/>
    <x v="1"/>
    <n v="37"/>
    <x v="4"/>
    <x v="4"/>
    <x v="72"/>
    <x v="0"/>
    <x v="1"/>
    <x v="1"/>
    <s v="Linkedin"/>
    <x v="6"/>
    <s v="Sara Ali"/>
    <n v="192849"/>
    <n v="17323"/>
    <n v="88.3"/>
    <n v="7"/>
    <n v="23"/>
    <n v="1"/>
    <n v="37"/>
    <n v="86"/>
    <x v="0"/>
    <x v="0"/>
  </r>
  <r>
    <s v="EMP00660"/>
    <x v="91"/>
    <x v="0"/>
    <n v="28"/>
    <x v="0"/>
    <x v="7"/>
    <x v="72"/>
    <x v="0"/>
    <x v="2"/>
    <x v="2"/>
    <s v="Agency"/>
    <x v="0"/>
    <s v="Bilal Khan"/>
    <n v="172212"/>
    <n v="15226"/>
    <n v="80.2"/>
    <n v="6"/>
    <n v="10"/>
    <n v="5"/>
    <n v="19"/>
    <n v="93"/>
    <x v="0"/>
    <x v="0"/>
  </r>
  <r>
    <s v="EMP00654"/>
    <x v="73"/>
    <x v="0"/>
    <n v="44"/>
    <x v="0"/>
    <x v="2"/>
    <x v="73"/>
    <x v="0"/>
    <x v="0"/>
    <x v="2"/>
    <s v="Linkedin"/>
    <x v="3"/>
    <s v="Sara Ali"/>
    <n v="201684"/>
    <n v="11408"/>
    <n v="88.1"/>
    <n v="9"/>
    <n v="24"/>
    <n v="1"/>
    <n v="25"/>
    <n v="89"/>
    <x v="0"/>
    <x v="0"/>
  </r>
  <r>
    <s v="EMP01176"/>
    <x v="15"/>
    <x v="1"/>
    <n v="47"/>
    <x v="7"/>
    <x v="1"/>
    <x v="73"/>
    <x v="0"/>
    <x v="0"/>
    <x v="4"/>
    <s v="Referral"/>
    <x v="5"/>
    <s v="Usman Tariq"/>
    <n v="199356"/>
    <n v="35341"/>
    <n v="90.5"/>
    <n v="7"/>
    <n v="20"/>
    <n v="2"/>
    <n v="26"/>
    <n v="78"/>
    <x v="0"/>
    <x v="0"/>
  </r>
  <r>
    <s v="EMP01389"/>
    <x v="31"/>
    <x v="0"/>
    <n v="49"/>
    <x v="2"/>
    <x v="6"/>
    <x v="73"/>
    <x v="0"/>
    <x v="2"/>
    <x v="2"/>
    <s v="Agency"/>
    <x v="3"/>
    <s v="Ahmed Raza"/>
    <n v="138420"/>
    <n v="36059"/>
    <n v="86"/>
    <n v="6"/>
    <n v="19"/>
    <n v="5"/>
    <n v="14"/>
    <n v="93"/>
    <x v="0"/>
    <x v="0"/>
  </r>
  <r>
    <s v="EMP01712"/>
    <x v="35"/>
    <x v="0"/>
    <n v="60"/>
    <x v="0"/>
    <x v="6"/>
    <x v="73"/>
    <x v="0"/>
    <x v="2"/>
    <x v="0"/>
    <s v="Campus"/>
    <x v="6"/>
    <s v="Usman Tariq"/>
    <n v="101048"/>
    <n v="44803"/>
    <n v="83.7"/>
    <n v="6"/>
    <n v="20"/>
    <n v="5"/>
    <n v="10"/>
    <n v="77"/>
    <x v="0"/>
    <x v="0"/>
  </r>
  <r>
    <s v="EMP01981"/>
    <x v="92"/>
    <x v="0"/>
    <n v="22"/>
    <x v="3"/>
    <x v="3"/>
    <x v="74"/>
    <x v="0"/>
    <x v="0"/>
    <x v="4"/>
    <s v="Referral"/>
    <x v="1"/>
    <s v="Usman Tariq"/>
    <n v="149953"/>
    <n v="46585"/>
    <n v="81.599999999999994"/>
    <n v="3"/>
    <n v="8"/>
    <n v="3"/>
    <n v="37"/>
    <n v="61"/>
    <x v="0"/>
    <x v="0"/>
  </r>
  <r>
    <s v="EMP00500"/>
    <x v="134"/>
    <x v="0"/>
    <n v="30"/>
    <x v="2"/>
    <x v="0"/>
    <x v="75"/>
    <x v="0"/>
    <x v="0"/>
    <x v="2"/>
    <s v="Agency"/>
    <x v="0"/>
    <s v="Usman Tariq"/>
    <n v="86702"/>
    <n v="19366"/>
    <n v="86.5"/>
    <n v="9"/>
    <n v="29"/>
    <n v="5"/>
    <n v="10"/>
    <n v="97"/>
    <x v="0"/>
    <x v="0"/>
  </r>
  <r>
    <s v="EMP00602"/>
    <x v="136"/>
    <x v="0"/>
    <n v="25"/>
    <x v="2"/>
    <x v="3"/>
    <x v="75"/>
    <x v="0"/>
    <x v="1"/>
    <x v="2"/>
    <s v="Agency"/>
    <x v="0"/>
    <s v="Sara Ali"/>
    <n v="217217"/>
    <n v="5396"/>
    <n v="96.7"/>
    <n v="10"/>
    <n v="26"/>
    <n v="5"/>
    <n v="7"/>
    <n v="93"/>
    <x v="0"/>
    <x v="0"/>
  </r>
  <r>
    <s v="EMP01051"/>
    <x v="97"/>
    <x v="0"/>
    <n v="26"/>
    <x v="8"/>
    <x v="4"/>
    <x v="76"/>
    <x v="0"/>
    <x v="2"/>
    <x v="1"/>
    <s v="Linkedin"/>
    <x v="1"/>
    <s v="Sara Ali"/>
    <n v="144816"/>
    <n v="14887"/>
    <n v="92.5"/>
    <n v="3"/>
    <n v="6"/>
    <n v="1"/>
    <n v="0"/>
    <n v="73"/>
    <x v="0"/>
    <x v="0"/>
  </r>
  <r>
    <s v="EMP00910"/>
    <x v="116"/>
    <x v="0"/>
    <n v="48"/>
    <x v="5"/>
    <x v="2"/>
    <x v="77"/>
    <x v="0"/>
    <x v="0"/>
    <x v="1"/>
    <s v="Campus"/>
    <x v="5"/>
    <s v="Usman Tariq"/>
    <n v="204655"/>
    <n v="27192"/>
    <n v="99.1"/>
    <n v="1"/>
    <n v="6"/>
    <n v="5"/>
    <n v="22"/>
    <n v="79"/>
    <x v="0"/>
    <x v="0"/>
  </r>
  <r>
    <s v="EMP00997"/>
    <x v="107"/>
    <x v="1"/>
    <n v="36"/>
    <x v="0"/>
    <x v="5"/>
    <x v="77"/>
    <x v="1"/>
    <x v="0"/>
    <x v="2"/>
    <s v="Agency"/>
    <x v="4"/>
    <s v="Usman Tariq"/>
    <n v="193412"/>
    <n v="24121"/>
    <n v="84.9"/>
    <n v="10"/>
    <n v="12"/>
    <n v="3"/>
    <n v="12"/>
    <n v="95"/>
    <x v="0"/>
    <x v="4"/>
  </r>
  <r>
    <s v="EMP01092"/>
    <x v="137"/>
    <x v="1"/>
    <n v="38"/>
    <x v="1"/>
    <x v="1"/>
    <x v="77"/>
    <x v="0"/>
    <x v="2"/>
    <x v="1"/>
    <s v="Website"/>
    <x v="4"/>
    <s v="Ahmed Raza"/>
    <n v="92942"/>
    <n v="13539"/>
    <n v="80.7"/>
    <n v="6"/>
    <n v="3"/>
    <n v="5"/>
    <n v="36"/>
    <n v="74"/>
    <x v="0"/>
    <x v="0"/>
  </r>
  <r>
    <s v="EMP01104"/>
    <x v="53"/>
    <x v="0"/>
    <n v="57"/>
    <x v="1"/>
    <x v="7"/>
    <x v="78"/>
    <x v="0"/>
    <x v="1"/>
    <x v="1"/>
    <s v="Linkedin"/>
    <x v="4"/>
    <s v="Bilal Khan"/>
    <n v="126935"/>
    <n v="23859"/>
    <n v="90.6"/>
    <n v="0"/>
    <n v="6"/>
    <n v="3"/>
    <n v="17"/>
    <n v="91"/>
    <x v="1"/>
    <x v="0"/>
  </r>
  <r>
    <s v="EMP01283"/>
    <x v="87"/>
    <x v="1"/>
    <n v="51"/>
    <x v="4"/>
    <x v="5"/>
    <x v="79"/>
    <x v="0"/>
    <x v="2"/>
    <x v="3"/>
    <s v="Referral"/>
    <x v="3"/>
    <s v="Sara Ali"/>
    <n v="46711"/>
    <n v="18039"/>
    <n v="93.2"/>
    <n v="4"/>
    <n v="5"/>
    <n v="2"/>
    <n v="28"/>
    <n v="67"/>
    <x v="0"/>
    <x v="0"/>
  </r>
  <r>
    <s v="EMP01299"/>
    <x v="27"/>
    <x v="0"/>
    <n v="29"/>
    <x v="0"/>
    <x v="0"/>
    <x v="79"/>
    <x v="1"/>
    <x v="2"/>
    <x v="0"/>
    <s v="Agency"/>
    <x v="3"/>
    <s v="Usman Tariq"/>
    <n v="40757"/>
    <n v="48853"/>
    <n v="92.8"/>
    <n v="4"/>
    <n v="10"/>
    <n v="1"/>
    <n v="11"/>
    <n v="93"/>
    <x v="0"/>
    <x v="1"/>
  </r>
  <r>
    <s v="EMP01750"/>
    <x v="37"/>
    <x v="1"/>
    <n v="47"/>
    <x v="4"/>
    <x v="7"/>
    <x v="79"/>
    <x v="0"/>
    <x v="0"/>
    <x v="0"/>
    <s v="Referral"/>
    <x v="3"/>
    <s v="Ahmed Raza"/>
    <n v="175066"/>
    <n v="14875"/>
    <n v="95.5"/>
    <n v="3"/>
    <n v="4"/>
    <n v="2"/>
    <n v="30"/>
    <n v="83"/>
    <x v="0"/>
    <x v="0"/>
  </r>
  <r>
    <s v="EMP00347"/>
    <x v="24"/>
    <x v="0"/>
    <n v="34"/>
    <x v="8"/>
    <x v="2"/>
    <x v="80"/>
    <x v="0"/>
    <x v="0"/>
    <x v="2"/>
    <s v="Linkedin"/>
    <x v="4"/>
    <s v="Ahmed Raza"/>
    <n v="228968"/>
    <n v="17670"/>
    <n v="96.5"/>
    <n v="1"/>
    <n v="18"/>
    <n v="5"/>
    <n v="37"/>
    <n v="62"/>
    <x v="0"/>
    <x v="0"/>
  </r>
  <r>
    <s v="EMP00586"/>
    <x v="110"/>
    <x v="0"/>
    <n v="41"/>
    <x v="3"/>
    <x v="6"/>
    <x v="80"/>
    <x v="0"/>
    <x v="0"/>
    <x v="1"/>
    <s v="Referral"/>
    <x v="4"/>
    <s v="Usman Tariq"/>
    <n v="134909"/>
    <n v="6491"/>
    <n v="81.099999999999994"/>
    <n v="2"/>
    <n v="13"/>
    <n v="1"/>
    <n v="14"/>
    <n v="82"/>
    <x v="1"/>
    <x v="0"/>
  </r>
  <r>
    <s v="EMP01698"/>
    <x v="24"/>
    <x v="0"/>
    <n v="45"/>
    <x v="4"/>
    <x v="5"/>
    <x v="80"/>
    <x v="0"/>
    <x v="1"/>
    <x v="0"/>
    <s v="Referral"/>
    <x v="5"/>
    <s v="Usman Tariq"/>
    <n v="202993"/>
    <n v="46068"/>
    <n v="95.7"/>
    <n v="9"/>
    <n v="12"/>
    <n v="1"/>
    <n v="6"/>
    <n v="69"/>
    <x v="0"/>
    <x v="0"/>
  </r>
  <r>
    <s v="EMP00118"/>
    <x v="138"/>
    <x v="0"/>
    <n v="23"/>
    <x v="3"/>
    <x v="7"/>
    <x v="81"/>
    <x v="0"/>
    <x v="1"/>
    <x v="1"/>
    <s v="Linkedin"/>
    <x v="0"/>
    <s v="Ahmed Raza"/>
    <n v="194792"/>
    <n v="41991"/>
    <n v="88.6"/>
    <n v="7"/>
    <n v="16"/>
    <n v="2"/>
    <n v="9"/>
    <n v="68"/>
    <x v="0"/>
    <x v="0"/>
  </r>
  <r>
    <s v="EMP00547"/>
    <x v="139"/>
    <x v="1"/>
    <n v="44"/>
    <x v="7"/>
    <x v="3"/>
    <x v="81"/>
    <x v="0"/>
    <x v="1"/>
    <x v="0"/>
    <s v="Agency"/>
    <x v="1"/>
    <s v="Fatima Noor"/>
    <n v="125141"/>
    <n v="36254"/>
    <n v="86.6"/>
    <n v="8"/>
    <n v="18"/>
    <n v="3"/>
    <n v="22"/>
    <n v="64"/>
    <x v="0"/>
    <x v="0"/>
  </r>
  <r>
    <s v="EMP00680"/>
    <x v="19"/>
    <x v="0"/>
    <n v="38"/>
    <x v="7"/>
    <x v="4"/>
    <x v="81"/>
    <x v="0"/>
    <x v="1"/>
    <x v="0"/>
    <s v="Agency"/>
    <x v="5"/>
    <s v="Ahmed Raza"/>
    <n v="244444"/>
    <n v="49158"/>
    <n v="85.6"/>
    <n v="4"/>
    <n v="8"/>
    <n v="5"/>
    <n v="26"/>
    <n v="72"/>
    <x v="0"/>
    <x v="0"/>
  </r>
  <r>
    <s v="EMP00784"/>
    <x v="140"/>
    <x v="1"/>
    <n v="38"/>
    <x v="3"/>
    <x v="2"/>
    <x v="81"/>
    <x v="1"/>
    <x v="0"/>
    <x v="0"/>
    <s v="Campus"/>
    <x v="0"/>
    <s v="Fatima Noor"/>
    <n v="37748"/>
    <n v="46070"/>
    <n v="81.7"/>
    <n v="3"/>
    <n v="26"/>
    <n v="2"/>
    <n v="37"/>
    <n v="77"/>
    <x v="0"/>
    <x v="2"/>
  </r>
  <r>
    <s v="EMP01209"/>
    <x v="55"/>
    <x v="0"/>
    <n v="35"/>
    <x v="1"/>
    <x v="3"/>
    <x v="81"/>
    <x v="0"/>
    <x v="2"/>
    <x v="2"/>
    <s v="Referral"/>
    <x v="0"/>
    <s v="Fatima Noor"/>
    <n v="77004"/>
    <n v="5102"/>
    <n v="88.1"/>
    <n v="3"/>
    <n v="23"/>
    <n v="2"/>
    <n v="6"/>
    <n v="69"/>
    <x v="0"/>
    <x v="0"/>
  </r>
  <r>
    <s v="EMP01434"/>
    <x v="4"/>
    <x v="0"/>
    <n v="32"/>
    <x v="4"/>
    <x v="4"/>
    <x v="81"/>
    <x v="0"/>
    <x v="1"/>
    <x v="0"/>
    <s v="Linkedin"/>
    <x v="5"/>
    <s v="Bilal Khan"/>
    <n v="91254"/>
    <n v="48635"/>
    <n v="81.2"/>
    <n v="0"/>
    <n v="11"/>
    <n v="2"/>
    <n v="38"/>
    <n v="96"/>
    <x v="0"/>
    <x v="0"/>
  </r>
  <r>
    <s v="EMP01123"/>
    <x v="141"/>
    <x v="0"/>
    <n v="37"/>
    <x v="3"/>
    <x v="3"/>
    <x v="82"/>
    <x v="0"/>
    <x v="2"/>
    <x v="1"/>
    <s v="Campus"/>
    <x v="7"/>
    <s v="Sara Ali"/>
    <n v="84769"/>
    <n v="44043"/>
    <n v="93.8"/>
    <n v="8"/>
    <n v="23"/>
    <n v="5"/>
    <n v="8"/>
    <n v="62"/>
    <x v="0"/>
    <x v="0"/>
  </r>
  <r>
    <s v="EMP01349"/>
    <x v="60"/>
    <x v="1"/>
    <n v="27"/>
    <x v="2"/>
    <x v="3"/>
    <x v="82"/>
    <x v="0"/>
    <x v="0"/>
    <x v="2"/>
    <s v="Website"/>
    <x v="0"/>
    <s v="Ahmed Raza"/>
    <n v="100124"/>
    <n v="14748"/>
    <n v="94.1"/>
    <n v="2"/>
    <n v="11"/>
    <n v="1"/>
    <n v="17"/>
    <n v="84"/>
    <x v="0"/>
    <x v="0"/>
  </r>
  <r>
    <s v="EMP01583"/>
    <x v="91"/>
    <x v="1"/>
    <n v="50"/>
    <x v="4"/>
    <x v="0"/>
    <x v="83"/>
    <x v="0"/>
    <x v="2"/>
    <x v="3"/>
    <s v="Campus"/>
    <x v="2"/>
    <s v="Ahmed Raza"/>
    <n v="230560"/>
    <n v="6541"/>
    <n v="97"/>
    <n v="5"/>
    <n v="21"/>
    <n v="1"/>
    <n v="27"/>
    <n v="81"/>
    <x v="0"/>
    <x v="0"/>
  </r>
  <r>
    <s v="EMP00323"/>
    <x v="11"/>
    <x v="0"/>
    <n v="51"/>
    <x v="8"/>
    <x v="2"/>
    <x v="84"/>
    <x v="0"/>
    <x v="1"/>
    <x v="3"/>
    <s v="Referral"/>
    <x v="3"/>
    <s v="Usman Tariq"/>
    <n v="155827"/>
    <n v="42869"/>
    <n v="85.8"/>
    <n v="8"/>
    <n v="1"/>
    <n v="2"/>
    <n v="3"/>
    <n v="69"/>
    <x v="0"/>
    <x v="0"/>
  </r>
  <r>
    <s v="EMP01592"/>
    <x v="77"/>
    <x v="1"/>
    <n v="36"/>
    <x v="4"/>
    <x v="6"/>
    <x v="84"/>
    <x v="0"/>
    <x v="2"/>
    <x v="4"/>
    <s v="Agency"/>
    <x v="6"/>
    <s v="Ahmed Raza"/>
    <n v="225921"/>
    <n v="11852"/>
    <n v="89.4"/>
    <n v="10"/>
    <n v="20"/>
    <n v="2"/>
    <n v="19"/>
    <n v="74"/>
    <x v="0"/>
    <x v="0"/>
  </r>
  <r>
    <s v="EMP00098"/>
    <x v="43"/>
    <x v="1"/>
    <n v="50"/>
    <x v="6"/>
    <x v="3"/>
    <x v="85"/>
    <x v="0"/>
    <x v="0"/>
    <x v="3"/>
    <s v="Referral"/>
    <x v="4"/>
    <s v="Usman Tariq"/>
    <n v="141452"/>
    <n v="38480"/>
    <n v="82"/>
    <n v="4"/>
    <n v="22"/>
    <n v="4"/>
    <n v="22"/>
    <n v="67"/>
    <x v="1"/>
    <x v="0"/>
  </r>
  <r>
    <s v="EMP00724"/>
    <x v="115"/>
    <x v="0"/>
    <n v="46"/>
    <x v="8"/>
    <x v="0"/>
    <x v="85"/>
    <x v="0"/>
    <x v="1"/>
    <x v="1"/>
    <s v="Referral"/>
    <x v="3"/>
    <s v="Fatima Noor"/>
    <n v="45765"/>
    <n v="27338"/>
    <n v="91.6"/>
    <n v="2"/>
    <n v="11"/>
    <n v="2"/>
    <n v="10"/>
    <n v="78"/>
    <x v="0"/>
    <x v="0"/>
  </r>
  <r>
    <s v="EMP00908"/>
    <x v="142"/>
    <x v="1"/>
    <n v="50"/>
    <x v="5"/>
    <x v="0"/>
    <x v="86"/>
    <x v="0"/>
    <x v="1"/>
    <x v="2"/>
    <s v="Agency"/>
    <x v="3"/>
    <s v="Usman Tariq"/>
    <n v="146605"/>
    <n v="46858"/>
    <n v="89.7"/>
    <n v="4"/>
    <n v="9"/>
    <n v="3"/>
    <n v="34"/>
    <n v="87"/>
    <x v="1"/>
    <x v="0"/>
  </r>
  <r>
    <s v="EMP01091"/>
    <x v="143"/>
    <x v="1"/>
    <n v="48"/>
    <x v="4"/>
    <x v="7"/>
    <x v="86"/>
    <x v="0"/>
    <x v="0"/>
    <x v="3"/>
    <s v="Linkedin"/>
    <x v="5"/>
    <s v="Bilal Khan"/>
    <n v="37803"/>
    <n v="47246"/>
    <n v="81"/>
    <n v="1"/>
    <n v="10"/>
    <n v="5"/>
    <n v="8"/>
    <n v="99"/>
    <x v="0"/>
    <x v="0"/>
  </r>
  <r>
    <s v="EMP01428"/>
    <x v="136"/>
    <x v="0"/>
    <n v="43"/>
    <x v="6"/>
    <x v="7"/>
    <x v="86"/>
    <x v="0"/>
    <x v="1"/>
    <x v="0"/>
    <s v="Referral"/>
    <x v="7"/>
    <s v="Fatima Noor"/>
    <n v="137015"/>
    <n v="24873"/>
    <n v="96.1"/>
    <n v="9"/>
    <n v="3"/>
    <n v="3"/>
    <n v="3"/>
    <n v="83"/>
    <x v="0"/>
    <x v="0"/>
  </r>
  <r>
    <s v="EMP01284"/>
    <x v="144"/>
    <x v="1"/>
    <n v="39"/>
    <x v="4"/>
    <x v="7"/>
    <x v="87"/>
    <x v="0"/>
    <x v="2"/>
    <x v="2"/>
    <s v="Website"/>
    <x v="0"/>
    <s v="Bilal Khan"/>
    <n v="122097"/>
    <n v="47925"/>
    <n v="99.4"/>
    <n v="8"/>
    <n v="12"/>
    <n v="2"/>
    <n v="5"/>
    <n v="79"/>
    <x v="0"/>
    <x v="0"/>
  </r>
  <r>
    <s v="EMP01449"/>
    <x v="145"/>
    <x v="1"/>
    <n v="21"/>
    <x v="3"/>
    <x v="3"/>
    <x v="87"/>
    <x v="0"/>
    <x v="2"/>
    <x v="1"/>
    <s v="Linkedin"/>
    <x v="7"/>
    <s v="Sara Ali"/>
    <n v="142481"/>
    <n v="40015"/>
    <n v="86.8"/>
    <n v="2"/>
    <n v="1"/>
    <n v="4"/>
    <n v="29"/>
    <n v="98"/>
    <x v="0"/>
    <x v="0"/>
  </r>
  <r>
    <s v="EMP01770"/>
    <x v="11"/>
    <x v="0"/>
    <n v="45"/>
    <x v="3"/>
    <x v="1"/>
    <x v="87"/>
    <x v="0"/>
    <x v="1"/>
    <x v="2"/>
    <s v="Agency"/>
    <x v="0"/>
    <s v="Fatima Noor"/>
    <n v="114705"/>
    <n v="36323"/>
    <n v="80.8"/>
    <n v="6"/>
    <n v="12"/>
    <n v="1"/>
    <n v="35"/>
    <n v="61"/>
    <x v="0"/>
    <x v="0"/>
  </r>
  <r>
    <s v="EMP00026"/>
    <x v="15"/>
    <x v="1"/>
    <n v="43"/>
    <x v="1"/>
    <x v="0"/>
    <x v="88"/>
    <x v="0"/>
    <x v="0"/>
    <x v="2"/>
    <s v="Referral"/>
    <x v="6"/>
    <s v="Sara Ali"/>
    <n v="39900"/>
    <n v="24468"/>
    <n v="92.4"/>
    <n v="6"/>
    <n v="30"/>
    <n v="3"/>
    <n v="25"/>
    <n v="65"/>
    <x v="0"/>
    <x v="0"/>
  </r>
  <r>
    <s v="EMP00039"/>
    <x v="146"/>
    <x v="1"/>
    <n v="32"/>
    <x v="6"/>
    <x v="0"/>
    <x v="88"/>
    <x v="0"/>
    <x v="0"/>
    <x v="2"/>
    <s v="Agency"/>
    <x v="6"/>
    <s v="Sara Ali"/>
    <n v="153276"/>
    <n v="21345"/>
    <n v="88.4"/>
    <n v="10"/>
    <n v="25"/>
    <n v="2"/>
    <n v="15"/>
    <n v="62"/>
    <x v="0"/>
    <x v="0"/>
  </r>
  <r>
    <s v="EMP00858"/>
    <x v="107"/>
    <x v="1"/>
    <n v="48"/>
    <x v="1"/>
    <x v="2"/>
    <x v="88"/>
    <x v="0"/>
    <x v="2"/>
    <x v="4"/>
    <s v="Campus"/>
    <x v="0"/>
    <s v="Sara Ali"/>
    <n v="57392"/>
    <n v="8221"/>
    <n v="86.1"/>
    <n v="5"/>
    <n v="11"/>
    <n v="1"/>
    <n v="1"/>
    <n v="75"/>
    <x v="0"/>
    <x v="0"/>
  </r>
  <r>
    <s v="EMP00872"/>
    <x v="121"/>
    <x v="1"/>
    <n v="56"/>
    <x v="7"/>
    <x v="6"/>
    <x v="88"/>
    <x v="0"/>
    <x v="0"/>
    <x v="0"/>
    <s v="Linkedin"/>
    <x v="7"/>
    <s v="Usman Tariq"/>
    <n v="185965"/>
    <n v="13932"/>
    <n v="99.1"/>
    <n v="2"/>
    <n v="22"/>
    <n v="4"/>
    <n v="4"/>
    <n v="80"/>
    <x v="0"/>
    <x v="0"/>
  </r>
  <r>
    <s v="EMP01011"/>
    <x v="41"/>
    <x v="0"/>
    <n v="48"/>
    <x v="6"/>
    <x v="4"/>
    <x v="88"/>
    <x v="0"/>
    <x v="2"/>
    <x v="2"/>
    <s v="Agency"/>
    <x v="5"/>
    <s v="Usman Tariq"/>
    <n v="55576"/>
    <n v="22313"/>
    <n v="89.5"/>
    <n v="4"/>
    <n v="30"/>
    <n v="4"/>
    <n v="5"/>
    <n v="92"/>
    <x v="1"/>
    <x v="0"/>
  </r>
  <r>
    <s v="EMP01078"/>
    <x v="147"/>
    <x v="0"/>
    <n v="58"/>
    <x v="6"/>
    <x v="1"/>
    <x v="88"/>
    <x v="0"/>
    <x v="0"/>
    <x v="3"/>
    <s v="Agency"/>
    <x v="7"/>
    <s v="Sara Ali"/>
    <n v="222288"/>
    <n v="14560"/>
    <n v="94.5"/>
    <n v="0"/>
    <n v="17"/>
    <n v="2"/>
    <n v="13"/>
    <n v="83"/>
    <x v="0"/>
    <x v="0"/>
  </r>
  <r>
    <s v="EMP00380"/>
    <x v="59"/>
    <x v="1"/>
    <n v="25"/>
    <x v="6"/>
    <x v="6"/>
    <x v="89"/>
    <x v="0"/>
    <x v="0"/>
    <x v="3"/>
    <s v="Referral"/>
    <x v="0"/>
    <s v="Usman Tariq"/>
    <n v="116855"/>
    <n v="37893"/>
    <n v="81.2"/>
    <n v="3"/>
    <n v="3"/>
    <n v="1"/>
    <n v="36"/>
    <n v="71"/>
    <x v="0"/>
    <x v="0"/>
  </r>
  <r>
    <s v="EMP00870"/>
    <x v="103"/>
    <x v="1"/>
    <n v="31"/>
    <x v="7"/>
    <x v="7"/>
    <x v="89"/>
    <x v="0"/>
    <x v="1"/>
    <x v="2"/>
    <s v="Linkedin"/>
    <x v="3"/>
    <s v="Sara Ali"/>
    <n v="121352"/>
    <n v="24586"/>
    <n v="94.9"/>
    <n v="6"/>
    <n v="29"/>
    <n v="4"/>
    <n v="29"/>
    <n v="98"/>
    <x v="1"/>
    <x v="0"/>
  </r>
  <r>
    <s v="EMP00914"/>
    <x v="18"/>
    <x v="0"/>
    <n v="40"/>
    <x v="3"/>
    <x v="3"/>
    <x v="89"/>
    <x v="0"/>
    <x v="0"/>
    <x v="2"/>
    <s v="Campus"/>
    <x v="0"/>
    <s v="Sara Ali"/>
    <n v="168348"/>
    <n v="14833"/>
    <n v="85.5"/>
    <n v="6"/>
    <n v="20"/>
    <n v="4"/>
    <n v="23"/>
    <n v="60"/>
    <x v="0"/>
    <x v="0"/>
  </r>
  <r>
    <s v="EMP00656"/>
    <x v="98"/>
    <x v="0"/>
    <n v="59"/>
    <x v="2"/>
    <x v="5"/>
    <x v="90"/>
    <x v="0"/>
    <x v="2"/>
    <x v="2"/>
    <s v="Website"/>
    <x v="6"/>
    <s v="Sara Ali"/>
    <n v="49593"/>
    <n v="5825"/>
    <n v="94.5"/>
    <n v="5"/>
    <n v="3"/>
    <n v="5"/>
    <n v="32"/>
    <n v="65"/>
    <x v="1"/>
    <x v="0"/>
  </r>
  <r>
    <s v="EMP01032"/>
    <x v="33"/>
    <x v="1"/>
    <n v="52"/>
    <x v="1"/>
    <x v="7"/>
    <x v="91"/>
    <x v="0"/>
    <x v="0"/>
    <x v="0"/>
    <s v="Agency"/>
    <x v="4"/>
    <s v="Bilal Khan"/>
    <n v="192311"/>
    <n v="16058"/>
    <n v="80.599999999999994"/>
    <n v="8"/>
    <n v="25"/>
    <n v="4"/>
    <n v="25"/>
    <n v="91"/>
    <x v="1"/>
    <x v="0"/>
  </r>
  <r>
    <s v="EMP00508"/>
    <x v="77"/>
    <x v="1"/>
    <n v="28"/>
    <x v="6"/>
    <x v="5"/>
    <x v="92"/>
    <x v="0"/>
    <x v="2"/>
    <x v="0"/>
    <s v="Linkedin"/>
    <x v="3"/>
    <s v="Sara Ali"/>
    <n v="140194"/>
    <n v="41309"/>
    <n v="87.6"/>
    <n v="0"/>
    <n v="2"/>
    <n v="1"/>
    <n v="35"/>
    <n v="91"/>
    <x v="0"/>
    <x v="0"/>
  </r>
  <r>
    <s v="EMP01038"/>
    <x v="148"/>
    <x v="0"/>
    <n v="54"/>
    <x v="8"/>
    <x v="0"/>
    <x v="92"/>
    <x v="0"/>
    <x v="2"/>
    <x v="1"/>
    <s v="Linkedin"/>
    <x v="4"/>
    <s v="Ahmed Raza"/>
    <n v="220301"/>
    <n v="39510"/>
    <n v="98.1"/>
    <n v="7"/>
    <n v="20"/>
    <n v="2"/>
    <n v="9"/>
    <n v="69"/>
    <x v="0"/>
    <x v="0"/>
  </r>
  <r>
    <s v="EMP00805"/>
    <x v="149"/>
    <x v="1"/>
    <n v="58"/>
    <x v="5"/>
    <x v="3"/>
    <x v="93"/>
    <x v="0"/>
    <x v="2"/>
    <x v="4"/>
    <s v="Website"/>
    <x v="4"/>
    <s v="Sara Ali"/>
    <n v="45051"/>
    <n v="21276"/>
    <n v="82.9"/>
    <n v="4"/>
    <n v="17"/>
    <n v="1"/>
    <n v="16"/>
    <n v="89"/>
    <x v="0"/>
    <x v="0"/>
  </r>
  <r>
    <s v="EMP00122"/>
    <x v="59"/>
    <x v="1"/>
    <n v="43"/>
    <x v="1"/>
    <x v="0"/>
    <x v="94"/>
    <x v="0"/>
    <x v="0"/>
    <x v="3"/>
    <s v="Website"/>
    <x v="5"/>
    <s v="Ahmed Raza"/>
    <n v="183194"/>
    <n v="24449"/>
    <n v="93.2"/>
    <n v="2"/>
    <n v="6"/>
    <n v="1"/>
    <n v="23"/>
    <n v="71"/>
    <x v="0"/>
    <x v="0"/>
  </r>
  <r>
    <s v="EMP00279"/>
    <x v="91"/>
    <x v="0"/>
    <n v="34"/>
    <x v="7"/>
    <x v="3"/>
    <x v="94"/>
    <x v="0"/>
    <x v="0"/>
    <x v="1"/>
    <s v="Website"/>
    <x v="6"/>
    <s v="Ahmed Raza"/>
    <n v="163387"/>
    <n v="9054"/>
    <n v="90"/>
    <n v="9"/>
    <n v="13"/>
    <n v="5"/>
    <n v="20"/>
    <n v="69"/>
    <x v="1"/>
    <x v="0"/>
  </r>
  <r>
    <s v="EMP00159"/>
    <x v="27"/>
    <x v="1"/>
    <n v="36"/>
    <x v="1"/>
    <x v="6"/>
    <x v="95"/>
    <x v="0"/>
    <x v="1"/>
    <x v="1"/>
    <s v="Referral"/>
    <x v="5"/>
    <s v="Usman Tariq"/>
    <n v="86763"/>
    <n v="14098"/>
    <n v="98.6"/>
    <n v="10"/>
    <n v="6"/>
    <n v="5"/>
    <n v="4"/>
    <n v="62"/>
    <x v="0"/>
    <x v="0"/>
  </r>
  <r>
    <s v="EMP00256"/>
    <x v="58"/>
    <x v="1"/>
    <n v="40"/>
    <x v="3"/>
    <x v="1"/>
    <x v="95"/>
    <x v="0"/>
    <x v="2"/>
    <x v="1"/>
    <s v="Linkedin"/>
    <x v="4"/>
    <s v="Fatima Noor"/>
    <n v="67549"/>
    <n v="14360"/>
    <n v="93"/>
    <n v="4"/>
    <n v="25"/>
    <n v="1"/>
    <n v="28"/>
    <n v="65"/>
    <x v="0"/>
    <x v="0"/>
  </r>
  <r>
    <s v="EMP00361"/>
    <x v="30"/>
    <x v="1"/>
    <n v="38"/>
    <x v="7"/>
    <x v="7"/>
    <x v="95"/>
    <x v="0"/>
    <x v="0"/>
    <x v="4"/>
    <s v="Campus"/>
    <x v="5"/>
    <s v="Sara Ali"/>
    <n v="212558"/>
    <n v="12337"/>
    <n v="80.7"/>
    <n v="10"/>
    <n v="13"/>
    <n v="2"/>
    <n v="30"/>
    <n v="78"/>
    <x v="1"/>
    <x v="0"/>
  </r>
  <r>
    <s v="EMP00476"/>
    <x v="150"/>
    <x v="0"/>
    <n v="38"/>
    <x v="8"/>
    <x v="3"/>
    <x v="95"/>
    <x v="0"/>
    <x v="0"/>
    <x v="2"/>
    <s v="Agency"/>
    <x v="1"/>
    <s v="Bilal Khan"/>
    <n v="241671"/>
    <n v="44289"/>
    <n v="90.1"/>
    <n v="2"/>
    <n v="18"/>
    <n v="3"/>
    <n v="24"/>
    <n v="92"/>
    <x v="0"/>
    <x v="0"/>
  </r>
  <r>
    <s v="EMP01112"/>
    <x v="151"/>
    <x v="0"/>
    <n v="54"/>
    <x v="0"/>
    <x v="5"/>
    <x v="95"/>
    <x v="0"/>
    <x v="1"/>
    <x v="3"/>
    <s v="Agency"/>
    <x v="6"/>
    <s v="Bilal Khan"/>
    <n v="209673"/>
    <n v="29955"/>
    <n v="89"/>
    <n v="6"/>
    <n v="7"/>
    <n v="4"/>
    <n v="14"/>
    <n v="65"/>
    <x v="0"/>
    <x v="0"/>
  </r>
  <r>
    <s v="EMP01273"/>
    <x v="10"/>
    <x v="0"/>
    <n v="42"/>
    <x v="1"/>
    <x v="4"/>
    <x v="95"/>
    <x v="0"/>
    <x v="2"/>
    <x v="4"/>
    <s v="Linkedin"/>
    <x v="2"/>
    <s v="Sara Ali"/>
    <n v="129331"/>
    <n v="45731"/>
    <n v="96.7"/>
    <n v="7"/>
    <n v="3"/>
    <n v="2"/>
    <n v="32"/>
    <n v="80"/>
    <x v="0"/>
    <x v="0"/>
  </r>
  <r>
    <s v="EMP01211"/>
    <x v="130"/>
    <x v="1"/>
    <n v="45"/>
    <x v="7"/>
    <x v="1"/>
    <x v="96"/>
    <x v="0"/>
    <x v="1"/>
    <x v="1"/>
    <s v="Website"/>
    <x v="3"/>
    <s v="Bilal Khan"/>
    <n v="195950"/>
    <n v="38244"/>
    <n v="90.8"/>
    <n v="0"/>
    <n v="22"/>
    <n v="3"/>
    <n v="33"/>
    <n v="87"/>
    <x v="0"/>
    <x v="0"/>
  </r>
  <r>
    <s v="EMP01901"/>
    <x v="76"/>
    <x v="1"/>
    <n v="52"/>
    <x v="4"/>
    <x v="5"/>
    <x v="96"/>
    <x v="0"/>
    <x v="1"/>
    <x v="4"/>
    <s v="Linkedin"/>
    <x v="7"/>
    <s v="Usman Tariq"/>
    <n v="205607"/>
    <n v="7637"/>
    <n v="91.3"/>
    <n v="10"/>
    <n v="30"/>
    <n v="2"/>
    <n v="0"/>
    <n v="85"/>
    <x v="0"/>
    <x v="0"/>
  </r>
  <r>
    <s v="EMP01994"/>
    <x v="4"/>
    <x v="0"/>
    <n v="53"/>
    <x v="1"/>
    <x v="5"/>
    <x v="96"/>
    <x v="0"/>
    <x v="0"/>
    <x v="3"/>
    <s v="Website"/>
    <x v="5"/>
    <s v="Ahmed Raza"/>
    <n v="75947"/>
    <n v="21741"/>
    <n v="85"/>
    <n v="0"/>
    <n v="16"/>
    <n v="4"/>
    <n v="19"/>
    <n v="78"/>
    <x v="0"/>
    <x v="0"/>
  </r>
  <r>
    <s v="EMP00284"/>
    <x v="100"/>
    <x v="1"/>
    <n v="29"/>
    <x v="4"/>
    <x v="6"/>
    <x v="97"/>
    <x v="1"/>
    <x v="0"/>
    <x v="0"/>
    <s v="Website"/>
    <x v="2"/>
    <s v="Ahmed Raza"/>
    <n v="203916"/>
    <n v="7781"/>
    <n v="99.1"/>
    <n v="10"/>
    <n v="30"/>
    <n v="2"/>
    <n v="1"/>
    <n v="78"/>
    <x v="0"/>
    <x v="5"/>
  </r>
  <r>
    <s v="EMP00975"/>
    <x v="152"/>
    <x v="1"/>
    <n v="28"/>
    <x v="3"/>
    <x v="2"/>
    <x v="97"/>
    <x v="1"/>
    <x v="2"/>
    <x v="0"/>
    <s v="Referral"/>
    <x v="2"/>
    <s v="Bilal Khan"/>
    <n v="175253"/>
    <n v="16116"/>
    <n v="85"/>
    <n v="9"/>
    <n v="19"/>
    <n v="3"/>
    <n v="3"/>
    <n v="73"/>
    <x v="0"/>
    <x v="5"/>
  </r>
  <r>
    <s v="EMP01411"/>
    <x v="139"/>
    <x v="0"/>
    <n v="41"/>
    <x v="3"/>
    <x v="3"/>
    <x v="98"/>
    <x v="0"/>
    <x v="1"/>
    <x v="0"/>
    <s v="Website"/>
    <x v="6"/>
    <s v="Ahmed Raza"/>
    <n v="180010"/>
    <n v="5022"/>
    <n v="90.8"/>
    <n v="2"/>
    <n v="30"/>
    <n v="5"/>
    <n v="20"/>
    <n v="76"/>
    <x v="0"/>
    <x v="0"/>
  </r>
  <r>
    <s v="EMP01479"/>
    <x v="108"/>
    <x v="1"/>
    <n v="58"/>
    <x v="0"/>
    <x v="2"/>
    <x v="98"/>
    <x v="0"/>
    <x v="1"/>
    <x v="4"/>
    <s v="Website"/>
    <x v="3"/>
    <s v="Ahmed Raza"/>
    <n v="102867"/>
    <n v="28728"/>
    <n v="82.7"/>
    <n v="6"/>
    <n v="12"/>
    <n v="4"/>
    <n v="0"/>
    <n v="95"/>
    <x v="0"/>
    <x v="0"/>
  </r>
  <r>
    <s v="EMP01808"/>
    <x v="65"/>
    <x v="1"/>
    <n v="44"/>
    <x v="2"/>
    <x v="1"/>
    <x v="98"/>
    <x v="0"/>
    <x v="1"/>
    <x v="0"/>
    <s v="Linkedin"/>
    <x v="0"/>
    <s v="Fatima Noor"/>
    <n v="148222"/>
    <n v="46138"/>
    <n v="95.5"/>
    <n v="0"/>
    <n v="23"/>
    <n v="2"/>
    <n v="30"/>
    <n v="96"/>
    <x v="1"/>
    <x v="0"/>
  </r>
  <r>
    <s v="EMP01253"/>
    <x v="153"/>
    <x v="1"/>
    <n v="49"/>
    <x v="0"/>
    <x v="2"/>
    <x v="99"/>
    <x v="0"/>
    <x v="0"/>
    <x v="2"/>
    <s v="Referral"/>
    <x v="5"/>
    <s v="Fatima Noor"/>
    <n v="198059"/>
    <n v="32806"/>
    <n v="89"/>
    <n v="4"/>
    <n v="12"/>
    <n v="1"/>
    <n v="26"/>
    <n v="79"/>
    <x v="0"/>
    <x v="0"/>
  </r>
  <r>
    <s v="EMP00575"/>
    <x v="154"/>
    <x v="0"/>
    <n v="50"/>
    <x v="0"/>
    <x v="0"/>
    <x v="100"/>
    <x v="0"/>
    <x v="2"/>
    <x v="4"/>
    <s v="Referral"/>
    <x v="2"/>
    <s v="Fatima Noor"/>
    <n v="183992"/>
    <n v="20393"/>
    <n v="99.6"/>
    <n v="7"/>
    <n v="24"/>
    <n v="5"/>
    <n v="8"/>
    <n v="60"/>
    <x v="0"/>
    <x v="0"/>
  </r>
  <r>
    <s v="EMP01760"/>
    <x v="155"/>
    <x v="1"/>
    <n v="31"/>
    <x v="7"/>
    <x v="1"/>
    <x v="100"/>
    <x v="0"/>
    <x v="1"/>
    <x v="2"/>
    <s v="Linkedin"/>
    <x v="6"/>
    <s v="Ahmed Raza"/>
    <n v="122935"/>
    <n v="10024"/>
    <n v="99.7"/>
    <n v="6"/>
    <n v="25"/>
    <n v="4"/>
    <n v="8"/>
    <n v="100"/>
    <x v="0"/>
    <x v="0"/>
  </r>
  <r>
    <s v="EMP01783"/>
    <x v="105"/>
    <x v="0"/>
    <n v="33"/>
    <x v="5"/>
    <x v="0"/>
    <x v="100"/>
    <x v="0"/>
    <x v="2"/>
    <x v="1"/>
    <s v="Campus"/>
    <x v="2"/>
    <s v="Usman Tariq"/>
    <n v="88347"/>
    <n v="35044"/>
    <n v="88.9"/>
    <n v="0"/>
    <n v="6"/>
    <n v="5"/>
    <n v="18"/>
    <n v="81"/>
    <x v="1"/>
    <x v="0"/>
  </r>
  <r>
    <s v="EMP01993"/>
    <x v="90"/>
    <x v="1"/>
    <n v="49"/>
    <x v="0"/>
    <x v="5"/>
    <x v="100"/>
    <x v="0"/>
    <x v="0"/>
    <x v="4"/>
    <s v="Website"/>
    <x v="2"/>
    <s v="Bilal Khan"/>
    <n v="126954"/>
    <n v="10724"/>
    <n v="91"/>
    <n v="7"/>
    <n v="21"/>
    <n v="2"/>
    <n v="0"/>
    <n v="96"/>
    <x v="1"/>
    <x v="0"/>
  </r>
  <r>
    <s v="EMP00988"/>
    <x v="89"/>
    <x v="0"/>
    <n v="51"/>
    <x v="2"/>
    <x v="6"/>
    <x v="101"/>
    <x v="0"/>
    <x v="1"/>
    <x v="1"/>
    <s v="Agency"/>
    <x v="7"/>
    <s v="Usman Tariq"/>
    <n v="191879"/>
    <n v="21976"/>
    <n v="82.6"/>
    <n v="0"/>
    <n v="25"/>
    <n v="5"/>
    <n v="3"/>
    <n v="87"/>
    <x v="1"/>
    <x v="0"/>
  </r>
  <r>
    <s v="EMP01259"/>
    <x v="156"/>
    <x v="0"/>
    <n v="48"/>
    <x v="8"/>
    <x v="5"/>
    <x v="101"/>
    <x v="0"/>
    <x v="0"/>
    <x v="3"/>
    <s v="Website"/>
    <x v="6"/>
    <s v="Bilal Khan"/>
    <n v="148148"/>
    <n v="32662"/>
    <n v="98.2"/>
    <n v="7"/>
    <n v="15"/>
    <n v="2"/>
    <n v="36"/>
    <n v="79"/>
    <x v="0"/>
    <x v="0"/>
  </r>
  <r>
    <s v="EMP01368"/>
    <x v="37"/>
    <x v="0"/>
    <n v="59"/>
    <x v="5"/>
    <x v="5"/>
    <x v="101"/>
    <x v="0"/>
    <x v="0"/>
    <x v="2"/>
    <s v="Linkedin"/>
    <x v="4"/>
    <s v="Bilal Khan"/>
    <n v="235343"/>
    <n v="9915"/>
    <n v="80.8"/>
    <n v="5"/>
    <n v="25"/>
    <n v="1"/>
    <n v="37"/>
    <n v="85"/>
    <x v="0"/>
    <x v="0"/>
  </r>
  <r>
    <s v="EMP01509"/>
    <x v="43"/>
    <x v="0"/>
    <n v="47"/>
    <x v="7"/>
    <x v="7"/>
    <x v="101"/>
    <x v="0"/>
    <x v="1"/>
    <x v="2"/>
    <s v="Campus"/>
    <x v="2"/>
    <s v="Usman Tariq"/>
    <n v="36737"/>
    <n v="43445"/>
    <n v="85.7"/>
    <n v="4"/>
    <n v="18"/>
    <n v="4"/>
    <n v="5"/>
    <n v="96"/>
    <x v="0"/>
    <x v="0"/>
  </r>
  <r>
    <s v="EMP00229"/>
    <x v="25"/>
    <x v="0"/>
    <n v="43"/>
    <x v="3"/>
    <x v="4"/>
    <x v="102"/>
    <x v="0"/>
    <x v="1"/>
    <x v="1"/>
    <s v="Referral"/>
    <x v="5"/>
    <s v="Ahmed Raza"/>
    <n v="236988"/>
    <n v="29906"/>
    <n v="84.2"/>
    <n v="5"/>
    <n v="19"/>
    <n v="1"/>
    <n v="17"/>
    <n v="83"/>
    <x v="0"/>
    <x v="0"/>
  </r>
  <r>
    <s v="EMP01677"/>
    <x v="60"/>
    <x v="1"/>
    <n v="50"/>
    <x v="3"/>
    <x v="2"/>
    <x v="102"/>
    <x v="0"/>
    <x v="1"/>
    <x v="1"/>
    <s v="Linkedin"/>
    <x v="4"/>
    <s v="Bilal Khan"/>
    <n v="69377"/>
    <n v="11298"/>
    <n v="88"/>
    <n v="9"/>
    <n v="30"/>
    <n v="2"/>
    <n v="10"/>
    <n v="91"/>
    <x v="1"/>
    <x v="0"/>
  </r>
  <r>
    <s v="EMP00332"/>
    <x v="153"/>
    <x v="0"/>
    <n v="51"/>
    <x v="2"/>
    <x v="6"/>
    <x v="103"/>
    <x v="0"/>
    <x v="0"/>
    <x v="1"/>
    <s v="Linkedin"/>
    <x v="2"/>
    <s v="Ahmed Raza"/>
    <n v="96819"/>
    <n v="41323"/>
    <n v="91.3"/>
    <n v="9"/>
    <n v="16"/>
    <n v="1"/>
    <n v="18"/>
    <n v="91"/>
    <x v="0"/>
    <x v="0"/>
  </r>
  <r>
    <s v="EMP00741"/>
    <x v="98"/>
    <x v="0"/>
    <n v="59"/>
    <x v="4"/>
    <x v="5"/>
    <x v="103"/>
    <x v="1"/>
    <x v="1"/>
    <x v="4"/>
    <s v="Linkedin"/>
    <x v="6"/>
    <s v="Usman Tariq"/>
    <n v="58970"/>
    <n v="46118"/>
    <n v="92.2"/>
    <n v="6"/>
    <n v="21"/>
    <n v="2"/>
    <n v="38"/>
    <n v="78"/>
    <x v="0"/>
    <x v="4"/>
  </r>
  <r>
    <s v="EMP00825"/>
    <x v="30"/>
    <x v="1"/>
    <n v="54"/>
    <x v="4"/>
    <x v="2"/>
    <x v="103"/>
    <x v="0"/>
    <x v="1"/>
    <x v="4"/>
    <s v="Website"/>
    <x v="7"/>
    <s v="Ahmed Raza"/>
    <n v="149188"/>
    <n v="49682"/>
    <n v="82"/>
    <n v="6"/>
    <n v="23"/>
    <n v="4"/>
    <n v="39"/>
    <n v="64"/>
    <x v="0"/>
    <x v="0"/>
  </r>
  <r>
    <s v="EMP01360"/>
    <x v="10"/>
    <x v="0"/>
    <n v="43"/>
    <x v="2"/>
    <x v="7"/>
    <x v="103"/>
    <x v="0"/>
    <x v="2"/>
    <x v="2"/>
    <s v="Campus"/>
    <x v="5"/>
    <s v="Ahmed Raza"/>
    <n v="70774"/>
    <n v="37087"/>
    <n v="93.7"/>
    <n v="0"/>
    <n v="27"/>
    <n v="1"/>
    <n v="16"/>
    <n v="92"/>
    <x v="0"/>
    <x v="0"/>
  </r>
  <r>
    <s v="EMP01559"/>
    <x v="2"/>
    <x v="1"/>
    <n v="50"/>
    <x v="3"/>
    <x v="6"/>
    <x v="103"/>
    <x v="0"/>
    <x v="0"/>
    <x v="0"/>
    <s v="Campus"/>
    <x v="7"/>
    <s v="Ahmed Raza"/>
    <n v="221823"/>
    <n v="47535"/>
    <n v="99.9"/>
    <n v="8"/>
    <n v="6"/>
    <n v="3"/>
    <n v="4"/>
    <n v="97"/>
    <x v="0"/>
    <x v="0"/>
  </r>
  <r>
    <s v="EMP00139"/>
    <x v="15"/>
    <x v="1"/>
    <n v="26"/>
    <x v="0"/>
    <x v="5"/>
    <x v="104"/>
    <x v="0"/>
    <x v="0"/>
    <x v="0"/>
    <s v="Referral"/>
    <x v="1"/>
    <s v="Bilal Khan"/>
    <n v="78502"/>
    <n v="47594"/>
    <n v="81.2"/>
    <n v="8"/>
    <n v="7"/>
    <n v="4"/>
    <n v="4"/>
    <n v="93"/>
    <x v="0"/>
    <x v="0"/>
  </r>
  <r>
    <s v="EMP00550"/>
    <x v="119"/>
    <x v="1"/>
    <n v="47"/>
    <x v="0"/>
    <x v="1"/>
    <x v="104"/>
    <x v="0"/>
    <x v="0"/>
    <x v="0"/>
    <s v="Linkedin"/>
    <x v="3"/>
    <s v="Sara Ali"/>
    <n v="46390"/>
    <n v="29900"/>
    <n v="86.6"/>
    <n v="6"/>
    <n v="10"/>
    <n v="5"/>
    <n v="19"/>
    <n v="71"/>
    <x v="0"/>
    <x v="0"/>
  </r>
  <r>
    <s v="EMP00563"/>
    <x v="147"/>
    <x v="0"/>
    <n v="59"/>
    <x v="8"/>
    <x v="0"/>
    <x v="104"/>
    <x v="0"/>
    <x v="2"/>
    <x v="2"/>
    <s v="Website"/>
    <x v="4"/>
    <s v="Usman Tariq"/>
    <n v="146562"/>
    <n v="25795"/>
    <n v="88.3"/>
    <n v="4"/>
    <n v="16"/>
    <n v="1"/>
    <n v="39"/>
    <n v="86"/>
    <x v="0"/>
    <x v="0"/>
  </r>
  <r>
    <s v="EMP00150"/>
    <x v="147"/>
    <x v="0"/>
    <n v="48"/>
    <x v="6"/>
    <x v="4"/>
    <x v="105"/>
    <x v="0"/>
    <x v="0"/>
    <x v="2"/>
    <s v="Campus"/>
    <x v="2"/>
    <s v="Sara Ali"/>
    <n v="79802"/>
    <n v="23866"/>
    <n v="83.5"/>
    <n v="0"/>
    <n v="27"/>
    <n v="5"/>
    <n v="38"/>
    <n v="70"/>
    <x v="0"/>
    <x v="0"/>
  </r>
  <r>
    <s v="EMP00633"/>
    <x v="151"/>
    <x v="1"/>
    <n v="27"/>
    <x v="0"/>
    <x v="1"/>
    <x v="105"/>
    <x v="0"/>
    <x v="0"/>
    <x v="4"/>
    <s v="Referral"/>
    <x v="0"/>
    <s v="Bilal Khan"/>
    <n v="131895"/>
    <n v="6168"/>
    <n v="87"/>
    <n v="10"/>
    <n v="8"/>
    <n v="2"/>
    <n v="29"/>
    <n v="88"/>
    <x v="0"/>
    <x v="0"/>
  </r>
  <r>
    <s v="EMP01482"/>
    <x v="89"/>
    <x v="1"/>
    <n v="21"/>
    <x v="8"/>
    <x v="5"/>
    <x v="105"/>
    <x v="0"/>
    <x v="0"/>
    <x v="4"/>
    <s v="Website"/>
    <x v="4"/>
    <s v="Sara Ali"/>
    <n v="49364"/>
    <n v="13462"/>
    <n v="97.8"/>
    <n v="0"/>
    <n v="28"/>
    <n v="1"/>
    <n v="27"/>
    <n v="82"/>
    <x v="1"/>
    <x v="0"/>
  </r>
  <r>
    <s v="EMP01898"/>
    <x v="106"/>
    <x v="0"/>
    <n v="32"/>
    <x v="1"/>
    <x v="7"/>
    <x v="105"/>
    <x v="0"/>
    <x v="0"/>
    <x v="3"/>
    <s v="Website"/>
    <x v="1"/>
    <s v="Ahmed Raza"/>
    <n v="205078"/>
    <n v="10287"/>
    <n v="97.6"/>
    <n v="1"/>
    <n v="4"/>
    <n v="5"/>
    <n v="28"/>
    <n v="94"/>
    <x v="1"/>
    <x v="0"/>
  </r>
  <r>
    <s v="EMP00708"/>
    <x v="81"/>
    <x v="0"/>
    <n v="42"/>
    <x v="7"/>
    <x v="3"/>
    <x v="106"/>
    <x v="0"/>
    <x v="0"/>
    <x v="1"/>
    <s v="Campus"/>
    <x v="5"/>
    <s v="Usman Tariq"/>
    <n v="107511"/>
    <n v="16638"/>
    <n v="80.5"/>
    <n v="9"/>
    <n v="0"/>
    <n v="5"/>
    <n v="16"/>
    <n v="78"/>
    <x v="1"/>
    <x v="0"/>
  </r>
  <r>
    <s v="EMP01063"/>
    <x v="27"/>
    <x v="1"/>
    <n v="52"/>
    <x v="0"/>
    <x v="1"/>
    <x v="106"/>
    <x v="0"/>
    <x v="2"/>
    <x v="1"/>
    <s v="Linkedin"/>
    <x v="7"/>
    <s v="Ahmed Raza"/>
    <n v="128025"/>
    <n v="34945"/>
    <n v="93.6"/>
    <n v="7"/>
    <n v="1"/>
    <n v="3"/>
    <n v="33"/>
    <n v="93"/>
    <x v="1"/>
    <x v="0"/>
  </r>
  <r>
    <s v="EMP01161"/>
    <x v="46"/>
    <x v="0"/>
    <n v="29"/>
    <x v="8"/>
    <x v="7"/>
    <x v="107"/>
    <x v="0"/>
    <x v="0"/>
    <x v="0"/>
    <s v="Agency"/>
    <x v="3"/>
    <s v="Fatima Noor"/>
    <n v="66792"/>
    <n v="47036"/>
    <n v="89.1"/>
    <n v="6"/>
    <n v="19"/>
    <n v="2"/>
    <n v="8"/>
    <n v="91"/>
    <x v="0"/>
    <x v="0"/>
  </r>
  <r>
    <s v="EMP01749"/>
    <x v="129"/>
    <x v="1"/>
    <n v="29"/>
    <x v="8"/>
    <x v="2"/>
    <x v="107"/>
    <x v="0"/>
    <x v="1"/>
    <x v="4"/>
    <s v="Linkedin"/>
    <x v="4"/>
    <s v="Ahmed Raza"/>
    <n v="249768"/>
    <n v="6993"/>
    <n v="82.6"/>
    <n v="10"/>
    <n v="2"/>
    <n v="2"/>
    <n v="27"/>
    <n v="96"/>
    <x v="0"/>
    <x v="0"/>
  </r>
  <r>
    <s v="EMP00081"/>
    <x v="125"/>
    <x v="1"/>
    <n v="44"/>
    <x v="0"/>
    <x v="4"/>
    <x v="108"/>
    <x v="1"/>
    <x v="0"/>
    <x v="1"/>
    <s v="Website"/>
    <x v="1"/>
    <s v="Sara Ali"/>
    <n v="63594"/>
    <n v="11307"/>
    <n v="93.1"/>
    <n v="7"/>
    <n v="0"/>
    <n v="1"/>
    <n v="22"/>
    <n v="70"/>
    <x v="0"/>
    <x v="3"/>
  </r>
  <r>
    <s v="EMP01630"/>
    <x v="7"/>
    <x v="1"/>
    <n v="22"/>
    <x v="8"/>
    <x v="4"/>
    <x v="108"/>
    <x v="0"/>
    <x v="1"/>
    <x v="3"/>
    <s v="Agency"/>
    <x v="6"/>
    <s v="Ahmed Raza"/>
    <n v="41219"/>
    <n v="32200"/>
    <n v="89.4"/>
    <n v="5"/>
    <n v="28"/>
    <n v="5"/>
    <n v="1"/>
    <n v="95"/>
    <x v="0"/>
    <x v="0"/>
  </r>
  <r>
    <s v="EMP00895"/>
    <x v="157"/>
    <x v="0"/>
    <n v="28"/>
    <x v="4"/>
    <x v="7"/>
    <x v="109"/>
    <x v="1"/>
    <x v="0"/>
    <x v="0"/>
    <s v="Linkedin"/>
    <x v="5"/>
    <s v="Sara Ali"/>
    <n v="82369"/>
    <n v="5362"/>
    <n v="84.5"/>
    <n v="9"/>
    <n v="23"/>
    <n v="3"/>
    <n v="22"/>
    <n v="61"/>
    <x v="0"/>
    <x v="2"/>
  </r>
  <r>
    <s v="EMP00112"/>
    <x v="158"/>
    <x v="0"/>
    <n v="27"/>
    <x v="6"/>
    <x v="2"/>
    <x v="110"/>
    <x v="0"/>
    <x v="1"/>
    <x v="2"/>
    <s v="Referral"/>
    <x v="4"/>
    <s v="Ahmed Raza"/>
    <n v="133744"/>
    <n v="49409"/>
    <n v="93.6"/>
    <n v="2"/>
    <n v="9"/>
    <n v="4"/>
    <n v="40"/>
    <n v="90"/>
    <x v="0"/>
    <x v="0"/>
  </r>
  <r>
    <s v="EMP00300"/>
    <x v="116"/>
    <x v="0"/>
    <n v="21"/>
    <x v="2"/>
    <x v="1"/>
    <x v="110"/>
    <x v="0"/>
    <x v="1"/>
    <x v="2"/>
    <s v="Agency"/>
    <x v="6"/>
    <s v="Usman Tariq"/>
    <n v="188745"/>
    <n v="16944"/>
    <n v="86.5"/>
    <n v="10"/>
    <n v="29"/>
    <n v="4"/>
    <n v="11"/>
    <n v="63"/>
    <x v="0"/>
    <x v="0"/>
  </r>
  <r>
    <s v="EMP00701"/>
    <x v="111"/>
    <x v="1"/>
    <n v="28"/>
    <x v="7"/>
    <x v="6"/>
    <x v="110"/>
    <x v="0"/>
    <x v="0"/>
    <x v="1"/>
    <s v="Linkedin"/>
    <x v="7"/>
    <s v="Ahmed Raza"/>
    <n v="98700"/>
    <n v="5705"/>
    <n v="89.7"/>
    <n v="3"/>
    <n v="13"/>
    <n v="1"/>
    <n v="3"/>
    <n v="78"/>
    <x v="1"/>
    <x v="0"/>
  </r>
  <r>
    <s v="EMP00955"/>
    <x v="46"/>
    <x v="1"/>
    <n v="36"/>
    <x v="5"/>
    <x v="0"/>
    <x v="110"/>
    <x v="0"/>
    <x v="1"/>
    <x v="1"/>
    <s v="Campus"/>
    <x v="3"/>
    <s v="Sara Ali"/>
    <n v="236344"/>
    <n v="34751"/>
    <n v="83"/>
    <n v="4"/>
    <n v="16"/>
    <n v="5"/>
    <n v="0"/>
    <n v="88"/>
    <x v="1"/>
    <x v="0"/>
  </r>
  <r>
    <s v="EMP01370"/>
    <x v="85"/>
    <x v="1"/>
    <n v="46"/>
    <x v="4"/>
    <x v="6"/>
    <x v="110"/>
    <x v="0"/>
    <x v="1"/>
    <x v="2"/>
    <s v="Agency"/>
    <x v="1"/>
    <s v="Fatima Noor"/>
    <n v="191749"/>
    <n v="35214"/>
    <n v="99.7"/>
    <n v="5"/>
    <n v="13"/>
    <n v="5"/>
    <n v="37"/>
    <n v="70"/>
    <x v="0"/>
    <x v="0"/>
  </r>
  <r>
    <s v="EMP01489"/>
    <x v="7"/>
    <x v="0"/>
    <n v="46"/>
    <x v="5"/>
    <x v="0"/>
    <x v="110"/>
    <x v="0"/>
    <x v="1"/>
    <x v="3"/>
    <s v="Linkedin"/>
    <x v="5"/>
    <s v="Usman Tariq"/>
    <n v="35902"/>
    <n v="36335"/>
    <n v="96.4"/>
    <n v="10"/>
    <n v="19"/>
    <n v="2"/>
    <n v="15"/>
    <n v="78"/>
    <x v="0"/>
    <x v="0"/>
  </r>
  <r>
    <s v="EMP00363"/>
    <x v="121"/>
    <x v="1"/>
    <n v="44"/>
    <x v="3"/>
    <x v="1"/>
    <x v="111"/>
    <x v="0"/>
    <x v="2"/>
    <x v="4"/>
    <s v="Referral"/>
    <x v="2"/>
    <s v="Usman Tariq"/>
    <n v="91569"/>
    <n v="42611"/>
    <n v="88"/>
    <n v="5"/>
    <n v="5"/>
    <n v="4"/>
    <n v="17"/>
    <n v="82"/>
    <x v="0"/>
    <x v="0"/>
  </r>
  <r>
    <s v="EMP00557"/>
    <x v="50"/>
    <x v="1"/>
    <n v="49"/>
    <x v="7"/>
    <x v="4"/>
    <x v="111"/>
    <x v="1"/>
    <x v="2"/>
    <x v="3"/>
    <s v="Campus"/>
    <x v="4"/>
    <s v="Fatima Noor"/>
    <n v="44134"/>
    <n v="38171"/>
    <n v="87.1"/>
    <n v="0"/>
    <n v="4"/>
    <n v="2"/>
    <n v="7"/>
    <n v="85"/>
    <x v="0"/>
    <x v="2"/>
  </r>
  <r>
    <s v="EMP00626"/>
    <x v="85"/>
    <x v="1"/>
    <n v="55"/>
    <x v="3"/>
    <x v="4"/>
    <x v="111"/>
    <x v="0"/>
    <x v="2"/>
    <x v="0"/>
    <s v="Campus"/>
    <x v="7"/>
    <s v="Fatima Noor"/>
    <n v="98518"/>
    <n v="24358"/>
    <n v="88.2"/>
    <n v="6"/>
    <n v="4"/>
    <n v="1"/>
    <n v="20"/>
    <n v="72"/>
    <x v="1"/>
    <x v="0"/>
  </r>
  <r>
    <s v="EMP00822"/>
    <x v="81"/>
    <x v="1"/>
    <n v="32"/>
    <x v="8"/>
    <x v="5"/>
    <x v="111"/>
    <x v="0"/>
    <x v="1"/>
    <x v="0"/>
    <s v="Linkedin"/>
    <x v="5"/>
    <s v="Ahmed Raza"/>
    <n v="81041"/>
    <n v="32349"/>
    <n v="88.5"/>
    <n v="2"/>
    <n v="20"/>
    <n v="1"/>
    <n v="1"/>
    <n v="66"/>
    <x v="0"/>
    <x v="0"/>
  </r>
  <r>
    <s v="EMP01194"/>
    <x v="159"/>
    <x v="1"/>
    <n v="51"/>
    <x v="4"/>
    <x v="0"/>
    <x v="111"/>
    <x v="1"/>
    <x v="0"/>
    <x v="0"/>
    <s v="Referral"/>
    <x v="0"/>
    <s v="Fatima Noor"/>
    <n v="140944"/>
    <n v="6730"/>
    <n v="86.6"/>
    <n v="10"/>
    <n v="27"/>
    <n v="5"/>
    <n v="0"/>
    <n v="91"/>
    <x v="1"/>
    <x v="5"/>
  </r>
  <r>
    <s v="EMP00797"/>
    <x v="55"/>
    <x v="1"/>
    <n v="56"/>
    <x v="7"/>
    <x v="3"/>
    <x v="112"/>
    <x v="0"/>
    <x v="2"/>
    <x v="3"/>
    <s v="Campus"/>
    <x v="3"/>
    <s v="Usman Tariq"/>
    <n v="228520"/>
    <n v="5905"/>
    <n v="86.3"/>
    <n v="0"/>
    <n v="22"/>
    <n v="4"/>
    <n v="14"/>
    <n v="73"/>
    <x v="1"/>
    <x v="0"/>
  </r>
  <r>
    <s v="EMP00830"/>
    <x v="109"/>
    <x v="1"/>
    <n v="56"/>
    <x v="5"/>
    <x v="5"/>
    <x v="112"/>
    <x v="1"/>
    <x v="1"/>
    <x v="1"/>
    <s v="Campus"/>
    <x v="6"/>
    <s v="Fatima Noor"/>
    <n v="192305"/>
    <n v="42413"/>
    <n v="81.3"/>
    <n v="6"/>
    <n v="10"/>
    <n v="1"/>
    <n v="18"/>
    <n v="79"/>
    <x v="0"/>
    <x v="3"/>
  </r>
  <r>
    <s v="EMP01721"/>
    <x v="154"/>
    <x v="0"/>
    <n v="49"/>
    <x v="8"/>
    <x v="5"/>
    <x v="112"/>
    <x v="0"/>
    <x v="0"/>
    <x v="2"/>
    <s v="Referral"/>
    <x v="4"/>
    <s v="Usman Tariq"/>
    <n v="236411"/>
    <n v="8470"/>
    <n v="85.5"/>
    <n v="3"/>
    <n v="17"/>
    <n v="5"/>
    <n v="33"/>
    <n v="93"/>
    <x v="0"/>
    <x v="0"/>
  </r>
  <r>
    <s v="EMP00010"/>
    <x v="160"/>
    <x v="1"/>
    <n v="28"/>
    <x v="4"/>
    <x v="7"/>
    <x v="113"/>
    <x v="0"/>
    <x v="2"/>
    <x v="3"/>
    <s v="Agency"/>
    <x v="3"/>
    <s v="Sara Ali"/>
    <n v="154892"/>
    <n v="48971"/>
    <n v="96"/>
    <n v="8"/>
    <n v="16"/>
    <n v="2"/>
    <n v="33"/>
    <n v="66"/>
    <x v="1"/>
    <x v="0"/>
  </r>
  <r>
    <s v="EMP00948"/>
    <x v="40"/>
    <x v="1"/>
    <n v="26"/>
    <x v="2"/>
    <x v="3"/>
    <x v="113"/>
    <x v="0"/>
    <x v="2"/>
    <x v="4"/>
    <s v="Referral"/>
    <x v="4"/>
    <s v="Ahmed Raza"/>
    <n v="231865"/>
    <n v="13372"/>
    <n v="94.8"/>
    <n v="10"/>
    <n v="8"/>
    <n v="1"/>
    <n v="40"/>
    <n v="61"/>
    <x v="0"/>
    <x v="0"/>
  </r>
  <r>
    <s v="EMP01109"/>
    <x v="104"/>
    <x v="1"/>
    <n v="47"/>
    <x v="8"/>
    <x v="5"/>
    <x v="113"/>
    <x v="0"/>
    <x v="2"/>
    <x v="0"/>
    <s v="Campus"/>
    <x v="6"/>
    <s v="Ahmed Raza"/>
    <n v="78481"/>
    <n v="36450"/>
    <n v="85.5"/>
    <n v="8"/>
    <n v="28"/>
    <n v="3"/>
    <n v="25"/>
    <n v="86"/>
    <x v="0"/>
    <x v="0"/>
  </r>
  <r>
    <s v="EMP01467"/>
    <x v="49"/>
    <x v="1"/>
    <n v="26"/>
    <x v="4"/>
    <x v="7"/>
    <x v="113"/>
    <x v="1"/>
    <x v="0"/>
    <x v="2"/>
    <s v="Agency"/>
    <x v="1"/>
    <s v="Bilal Khan"/>
    <n v="96031"/>
    <n v="35375"/>
    <n v="93.4"/>
    <n v="6"/>
    <n v="3"/>
    <n v="3"/>
    <n v="27"/>
    <n v="86"/>
    <x v="0"/>
    <x v="5"/>
  </r>
  <r>
    <s v="EMP01243"/>
    <x v="94"/>
    <x v="0"/>
    <n v="29"/>
    <x v="5"/>
    <x v="3"/>
    <x v="114"/>
    <x v="0"/>
    <x v="2"/>
    <x v="2"/>
    <s v="Agency"/>
    <x v="2"/>
    <s v="Ahmed Raza"/>
    <n v="46183"/>
    <n v="9981"/>
    <n v="87.8"/>
    <n v="4"/>
    <n v="27"/>
    <n v="3"/>
    <n v="31"/>
    <n v="94"/>
    <x v="1"/>
    <x v="0"/>
  </r>
  <r>
    <s v="EMP00152"/>
    <x v="128"/>
    <x v="0"/>
    <n v="25"/>
    <x v="6"/>
    <x v="5"/>
    <x v="115"/>
    <x v="0"/>
    <x v="1"/>
    <x v="4"/>
    <s v="Referral"/>
    <x v="3"/>
    <s v="Sara Ali"/>
    <n v="172940"/>
    <n v="32908"/>
    <n v="85.7"/>
    <n v="2"/>
    <n v="18"/>
    <n v="4"/>
    <n v="6"/>
    <n v="60"/>
    <x v="0"/>
    <x v="0"/>
  </r>
  <r>
    <s v="EMP00179"/>
    <x v="68"/>
    <x v="1"/>
    <n v="29"/>
    <x v="7"/>
    <x v="5"/>
    <x v="115"/>
    <x v="0"/>
    <x v="2"/>
    <x v="1"/>
    <s v="Website"/>
    <x v="1"/>
    <s v="Fatima Noor"/>
    <n v="170526"/>
    <n v="23645"/>
    <n v="82.2"/>
    <n v="10"/>
    <n v="25"/>
    <n v="3"/>
    <n v="40"/>
    <n v="97"/>
    <x v="0"/>
    <x v="0"/>
  </r>
  <r>
    <s v="EMP00493"/>
    <x v="161"/>
    <x v="1"/>
    <n v="33"/>
    <x v="6"/>
    <x v="3"/>
    <x v="115"/>
    <x v="0"/>
    <x v="2"/>
    <x v="3"/>
    <s v="Campus"/>
    <x v="5"/>
    <s v="Usman Tariq"/>
    <n v="59665"/>
    <n v="14813"/>
    <n v="86.3"/>
    <n v="0"/>
    <n v="11"/>
    <n v="4"/>
    <n v="38"/>
    <n v="91"/>
    <x v="0"/>
    <x v="0"/>
  </r>
  <r>
    <s v="EMP00114"/>
    <x v="161"/>
    <x v="0"/>
    <n v="57"/>
    <x v="6"/>
    <x v="2"/>
    <x v="116"/>
    <x v="0"/>
    <x v="1"/>
    <x v="0"/>
    <s v="Linkedin"/>
    <x v="4"/>
    <s v="Usman Tariq"/>
    <n v="150828"/>
    <n v="28614"/>
    <n v="80"/>
    <n v="1"/>
    <n v="2"/>
    <n v="4"/>
    <n v="33"/>
    <n v="73"/>
    <x v="1"/>
    <x v="0"/>
  </r>
  <r>
    <s v="EMP00276"/>
    <x v="85"/>
    <x v="1"/>
    <n v="37"/>
    <x v="0"/>
    <x v="2"/>
    <x v="116"/>
    <x v="0"/>
    <x v="0"/>
    <x v="4"/>
    <s v="Website"/>
    <x v="3"/>
    <s v="Usman Tariq"/>
    <n v="113803"/>
    <n v="18458"/>
    <n v="92.5"/>
    <n v="1"/>
    <n v="23"/>
    <n v="3"/>
    <n v="9"/>
    <n v="68"/>
    <x v="0"/>
    <x v="0"/>
  </r>
  <r>
    <s v="EMP00431"/>
    <x v="98"/>
    <x v="0"/>
    <n v="55"/>
    <x v="0"/>
    <x v="2"/>
    <x v="116"/>
    <x v="0"/>
    <x v="2"/>
    <x v="4"/>
    <s v="Campus"/>
    <x v="1"/>
    <s v="Bilal Khan"/>
    <n v="166771"/>
    <n v="18723"/>
    <n v="95.9"/>
    <n v="0"/>
    <n v="12"/>
    <n v="1"/>
    <n v="8"/>
    <n v="98"/>
    <x v="0"/>
    <x v="0"/>
  </r>
  <r>
    <s v="EMP00597"/>
    <x v="116"/>
    <x v="0"/>
    <n v="44"/>
    <x v="0"/>
    <x v="5"/>
    <x v="116"/>
    <x v="0"/>
    <x v="1"/>
    <x v="2"/>
    <s v="Linkedin"/>
    <x v="0"/>
    <s v="Fatima Noor"/>
    <n v="156427"/>
    <n v="12027"/>
    <n v="83.5"/>
    <n v="0"/>
    <n v="30"/>
    <n v="4"/>
    <n v="37"/>
    <n v="100"/>
    <x v="0"/>
    <x v="0"/>
  </r>
  <r>
    <s v="EMP00673"/>
    <x v="113"/>
    <x v="1"/>
    <n v="28"/>
    <x v="7"/>
    <x v="5"/>
    <x v="116"/>
    <x v="0"/>
    <x v="1"/>
    <x v="3"/>
    <s v="Website"/>
    <x v="6"/>
    <s v="Ahmed Raza"/>
    <n v="176606"/>
    <n v="38478"/>
    <n v="87.8"/>
    <n v="3"/>
    <n v="13"/>
    <n v="2"/>
    <n v="22"/>
    <n v="79"/>
    <x v="0"/>
    <x v="0"/>
  </r>
  <r>
    <s v="EMP01006"/>
    <x v="160"/>
    <x v="0"/>
    <n v="25"/>
    <x v="8"/>
    <x v="7"/>
    <x v="116"/>
    <x v="0"/>
    <x v="1"/>
    <x v="1"/>
    <s v="Referral"/>
    <x v="2"/>
    <s v="Bilal Khan"/>
    <n v="168744"/>
    <n v="44620"/>
    <n v="92.2"/>
    <n v="6"/>
    <n v="7"/>
    <n v="2"/>
    <n v="1"/>
    <n v="68"/>
    <x v="0"/>
    <x v="0"/>
  </r>
  <r>
    <s v="EMP01452"/>
    <x v="162"/>
    <x v="1"/>
    <n v="43"/>
    <x v="6"/>
    <x v="3"/>
    <x v="116"/>
    <x v="0"/>
    <x v="1"/>
    <x v="3"/>
    <s v="Campus"/>
    <x v="4"/>
    <s v="Usman Tariq"/>
    <n v="81966"/>
    <n v="11986"/>
    <n v="88.5"/>
    <n v="7"/>
    <n v="7"/>
    <n v="5"/>
    <n v="8"/>
    <n v="81"/>
    <x v="0"/>
    <x v="0"/>
  </r>
  <r>
    <s v="EMP00607"/>
    <x v="14"/>
    <x v="0"/>
    <n v="31"/>
    <x v="6"/>
    <x v="2"/>
    <x v="117"/>
    <x v="0"/>
    <x v="2"/>
    <x v="4"/>
    <s v="Campus"/>
    <x v="4"/>
    <s v="Fatima Noor"/>
    <n v="76599"/>
    <n v="16591"/>
    <n v="94.9"/>
    <n v="2"/>
    <n v="18"/>
    <n v="2"/>
    <n v="15"/>
    <n v="92"/>
    <x v="0"/>
    <x v="0"/>
  </r>
  <r>
    <s v="EMP01058"/>
    <x v="58"/>
    <x v="0"/>
    <n v="32"/>
    <x v="3"/>
    <x v="0"/>
    <x v="117"/>
    <x v="0"/>
    <x v="0"/>
    <x v="1"/>
    <s v="Linkedin"/>
    <x v="6"/>
    <s v="Usman Tariq"/>
    <n v="156636"/>
    <n v="30453"/>
    <n v="92.7"/>
    <n v="10"/>
    <n v="9"/>
    <n v="4"/>
    <n v="34"/>
    <n v="89"/>
    <x v="0"/>
    <x v="0"/>
  </r>
  <r>
    <s v="EMP01314"/>
    <x v="161"/>
    <x v="0"/>
    <n v="25"/>
    <x v="7"/>
    <x v="1"/>
    <x v="117"/>
    <x v="0"/>
    <x v="1"/>
    <x v="2"/>
    <s v="Referral"/>
    <x v="7"/>
    <s v="Sara Ali"/>
    <n v="137008"/>
    <n v="49697"/>
    <n v="82"/>
    <n v="2"/>
    <n v="15"/>
    <n v="2"/>
    <n v="24"/>
    <n v="78"/>
    <x v="0"/>
    <x v="0"/>
  </r>
  <r>
    <s v="EMP01343"/>
    <x v="53"/>
    <x v="1"/>
    <n v="45"/>
    <x v="2"/>
    <x v="0"/>
    <x v="117"/>
    <x v="1"/>
    <x v="2"/>
    <x v="0"/>
    <s v="Agency"/>
    <x v="7"/>
    <s v="Bilal Khan"/>
    <n v="244478"/>
    <n v="30494"/>
    <n v="98.1"/>
    <n v="1"/>
    <n v="25"/>
    <n v="1"/>
    <n v="18"/>
    <n v="74"/>
    <x v="0"/>
    <x v="5"/>
  </r>
  <r>
    <s v="EMP01210"/>
    <x v="39"/>
    <x v="1"/>
    <n v="60"/>
    <x v="7"/>
    <x v="1"/>
    <x v="118"/>
    <x v="0"/>
    <x v="0"/>
    <x v="0"/>
    <s v="Referral"/>
    <x v="3"/>
    <s v="Usman Tariq"/>
    <n v="177427"/>
    <n v="5494"/>
    <n v="97"/>
    <n v="3"/>
    <n v="2"/>
    <n v="2"/>
    <n v="8"/>
    <n v="94"/>
    <x v="1"/>
    <x v="0"/>
  </r>
  <r>
    <s v="EMP01430"/>
    <x v="78"/>
    <x v="0"/>
    <n v="22"/>
    <x v="1"/>
    <x v="0"/>
    <x v="118"/>
    <x v="0"/>
    <x v="0"/>
    <x v="3"/>
    <s v="Campus"/>
    <x v="3"/>
    <s v="Fatima Noor"/>
    <n v="42171"/>
    <n v="39537"/>
    <n v="99.8"/>
    <n v="7"/>
    <n v="29"/>
    <n v="2"/>
    <n v="33"/>
    <n v="97"/>
    <x v="0"/>
    <x v="0"/>
  </r>
  <r>
    <s v="EMP01659"/>
    <x v="109"/>
    <x v="1"/>
    <n v="58"/>
    <x v="3"/>
    <x v="1"/>
    <x v="118"/>
    <x v="0"/>
    <x v="0"/>
    <x v="1"/>
    <s v="Linkedin"/>
    <x v="4"/>
    <s v="Ahmed Raza"/>
    <n v="159996"/>
    <n v="31359"/>
    <n v="86.1"/>
    <n v="4"/>
    <n v="5"/>
    <n v="4"/>
    <n v="9"/>
    <n v="100"/>
    <x v="0"/>
    <x v="0"/>
  </r>
  <r>
    <s v="EMP00033"/>
    <x v="39"/>
    <x v="1"/>
    <n v="60"/>
    <x v="1"/>
    <x v="2"/>
    <x v="119"/>
    <x v="0"/>
    <x v="1"/>
    <x v="1"/>
    <s v="Linkedin"/>
    <x v="3"/>
    <s v="Ahmed Raza"/>
    <n v="173873"/>
    <n v="21603"/>
    <n v="95.1"/>
    <n v="7"/>
    <n v="21"/>
    <n v="2"/>
    <n v="3"/>
    <n v="82"/>
    <x v="1"/>
    <x v="0"/>
  </r>
  <r>
    <s v="EMP00734"/>
    <x v="163"/>
    <x v="0"/>
    <n v="52"/>
    <x v="1"/>
    <x v="6"/>
    <x v="119"/>
    <x v="0"/>
    <x v="1"/>
    <x v="3"/>
    <s v="Linkedin"/>
    <x v="3"/>
    <s v="Fatima Noor"/>
    <n v="179537"/>
    <n v="10486"/>
    <n v="91"/>
    <n v="5"/>
    <n v="7"/>
    <n v="5"/>
    <n v="38"/>
    <n v="82"/>
    <x v="1"/>
    <x v="0"/>
  </r>
  <r>
    <s v="EMP01414"/>
    <x v="164"/>
    <x v="0"/>
    <n v="23"/>
    <x v="0"/>
    <x v="3"/>
    <x v="119"/>
    <x v="1"/>
    <x v="2"/>
    <x v="0"/>
    <s v="Agency"/>
    <x v="6"/>
    <s v="Bilal Khan"/>
    <n v="79891"/>
    <n v="5401"/>
    <n v="96.6"/>
    <n v="6"/>
    <n v="14"/>
    <n v="2"/>
    <n v="27"/>
    <n v="93"/>
    <x v="0"/>
    <x v="2"/>
  </r>
  <r>
    <s v="EMP01820"/>
    <x v="133"/>
    <x v="0"/>
    <n v="51"/>
    <x v="4"/>
    <x v="6"/>
    <x v="119"/>
    <x v="0"/>
    <x v="1"/>
    <x v="1"/>
    <s v="Campus"/>
    <x v="6"/>
    <s v="Usman Tariq"/>
    <n v="222234"/>
    <n v="44268"/>
    <n v="95.9"/>
    <n v="0"/>
    <n v="14"/>
    <n v="1"/>
    <n v="15"/>
    <n v="67"/>
    <x v="1"/>
    <x v="0"/>
  </r>
  <r>
    <s v="EMP00138"/>
    <x v="87"/>
    <x v="0"/>
    <n v="43"/>
    <x v="7"/>
    <x v="3"/>
    <x v="120"/>
    <x v="0"/>
    <x v="1"/>
    <x v="0"/>
    <s v="Referral"/>
    <x v="7"/>
    <s v="Usman Tariq"/>
    <n v="211136"/>
    <n v="25201"/>
    <n v="84.7"/>
    <n v="6"/>
    <n v="16"/>
    <n v="5"/>
    <n v="35"/>
    <n v="61"/>
    <x v="0"/>
    <x v="0"/>
  </r>
  <r>
    <s v="EMP00253"/>
    <x v="148"/>
    <x v="0"/>
    <n v="31"/>
    <x v="2"/>
    <x v="0"/>
    <x v="120"/>
    <x v="0"/>
    <x v="1"/>
    <x v="2"/>
    <s v="Campus"/>
    <x v="1"/>
    <s v="Fatima Noor"/>
    <n v="223196"/>
    <n v="31800"/>
    <n v="85.3"/>
    <n v="2"/>
    <n v="5"/>
    <n v="2"/>
    <n v="23"/>
    <n v="86"/>
    <x v="0"/>
    <x v="0"/>
  </r>
  <r>
    <s v="EMP01478"/>
    <x v="125"/>
    <x v="1"/>
    <n v="22"/>
    <x v="4"/>
    <x v="7"/>
    <x v="120"/>
    <x v="0"/>
    <x v="0"/>
    <x v="2"/>
    <s v="Agency"/>
    <x v="3"/>
    <s v="Fatima Noor"/>
    <n v="244153"/>
    <n v="17502"/>
    <n v="83.9"/>
    <n v="4"/>
    <n v="3"/>
    <n v="1"/>
    <n v="39"/>
    <n v="82"/>
    <x v="1"/>
    <x v="0"/>
  </r>
  <r>
    <s v="EMP00521"/>
    <x v="165"/>
    <x v="0"/>
    <n v="46"/>
    <x v="2"/>
    <x v="2"/>
    <x v="121"/>
    <x v="0"/>
    <x v="2"/>
    <x v="4"/>
    <s v="Campus"/>
    <x v="2"/>
    <s v="Ahmed Raza"/>
    <n v="68704"/>
    <n v="28036"/>
    <n v="96.5"/>
    <n v="1"/>
    <n v="24"/>
    <n v="4"/>
    <n v="9"/>
    <n v="95"/>
    <x v="0"/>
    <x v="0"/>
  </r>
  <r>
    <s v="EMP00699"/>
    <x v="109"/>
    <x v="0"/>
    <n v="52"/>
    <x v="0"/>
    <x v="5"/>
    <x v="121"/>
    <x v="0"/>
    <x v="2"/>
    <x v="3"/>
    <s v="Campus"/>
    <x v="0"/>
    <s v="Sara Ali"/>
    <n v="132090"/>
    <n v="44211"/>
    <n v="93"/>
    <n v="5"/>
    <n v="1"/>
    <n v="3"/>
    <n v="25"/>
    <n v="68"/>
    <x v="0"/>
    <x v="0"/>
  </r>
  <r>
    <s v="EMP00900"/>
    <x v="86"/>
    <x v="1"/>
    <n v="55"/>
    <x v="8"/>
    <x v="0"/>
    <x v="121"/>
    <x v="0"/>
    <x v="0"/>
    <x v="1"/>
    <s v="Agency"/>
    <x v="7"/>
    <s v="Fatima Noor"/>
    <n v="198289"/>
    <n v="5153"/>
    <n v="98.4"/>
    <n v="9"/>
    <n v="16"/>
    <n v="2"/>
    <n v="4"/>
    <n v="71"/>
    <x v="0"/>
    <x v="0"/>
  </r>
  <r>
    <s v="EMP01407"/>
    <x v="124"/>
    <x v="1"/>
    <n v="41"/>
    <x v="8"/>
    <x v="3"/>
    <x v="121"/>
    <x v="0"/>
    <x v="2"/>
    <x v="1"/>
    <s v="Linkedin"/>
    <x v="2"/>
    <s v="Fatima Noor"/>
    <n v="138309"/>
    <n v="12571"/>
    <n v="91"/>
    <n v="1"/>
    <n v="14"/>
    <n v="3"/>
    <n v="3"/>
    <n v="85"/>
    <x v="0"/>
    <x v="0"/>
  </r>
  <r>
    <s v="EMP00562"/>
    <x v="139"/>
    <x v="1"/>
    <n v="36"/>
    <x v="5"/>
    <x v="4"/>
    <x v="122"/>
    <x v="0"/>
    <x v="2"/>
    <x v="4"/>
    <s v="Referral"/>
    <x v="2"/>
    <s v="Bilal Khan"/>
    <n v="81216"/>
    <n v="23817"/>
    <n v="82.3"/>
    <n v="8"/>
    <n v="14"/>
    <n v="2"/>
    <n v="14"/>
    <n v="81"/>
    <x v="0"/>
    <x v="0"/>
  </r>
  <r>
    <s v="EMP01928"/>
    <x v="77"/>
    <x v="1"/>
    <n v="39"/>
    <x v="3"/>
    <x v="0"/>
    <x v="122"/>
    <x v="0"/>
    <x v="1"/>
    <x v="3"/>
    <s v="Linkedin"/>
    <x v="0"/>
    <s v="Ahmed Raza"/>
    <n v="185624"/>
    <n v="13090"/>
    <n v="81.400000000000006"/>
    <n v="6"/>
    <n v="29"/>
    <n v="4"/>
    <n v="40"/>
    <n v="66"/>
    <x v="0"/>
    <x v="0"/>
  </r>
  <r>
    <s v="EMP01936"/>
    <x v="63"/>
    <x v="1"/>
    <n v="33"/>
    <x v="7"/>
    <x v="5"/>
    <x v="122"/>
    <x v="0"/>
    <x v="1"/>
    <x v="0"/>
    <s v="Campus"/>
    <x v="3"/>
    <s v="Usman Tariq"/>
    <n v="168915"/>
    <n v="28453"/>
    <n v="80.599999999999994"/>
    <n v="5"/>
    <n v="30"/>
    <n v="1"/>
    <n v="14"/>
    <n v="84"/>
    <x v="0"/>
    <x v="0"/>
  </r>
  <r>
    <s v="EMP00791"/>
    <x v="85"/>
    <x v="1"/>
    <n v="56"/>
    <x v="0"/>
    <x v="7"/>
    <x v="123"/>
    <x v="0"/>
    <x v="0"/>
    <x v="3"/>
    <s v="Referral"/>
    <x v="2"/>
    <s v="Fatima Noor"/>
    <n v="36393"/>
    <n v="28648"/>
    <n v="83.5"/>
    <n v="2"/>
    <n v="12"/>
    <n v="1"/>
    <n v="24"/>
    <n v="73"/>
    <x v="0"/>
    <x v="0"/>
  </r>
  <r>
    <s v="EMP01560"/>
    <x v="18"/>
    <x v="0"/>
    <n v="50"/>
    <x v="8"/>
    <x v="6"/>
    <x v="123"/>
    <x v="0"/>
    <x v="0"/>
    <x v="2"/>
    <s v="Agency"/>
    <x v="1"/>
    <s v="Bilal Khan"/>
    <n v="146848"/>
    <n v="17004"/>
    <n v="92.1"/>
    <n v="4"/>
    <n v="3"/>
    <n v="2"/>
    <n v="30"/>
    <n v="95"/>
    <x v="0"/>
    <x v="0"/>
  </r>
  <r>
    <s v="EMP01595"/>
    <x v="166"/>
    <x v="1"/>
    <n v="53"/>
    <x v="4"/>
    <x v="4"/>
    <x v="123"/>
    <x v="0"/>
    <x v="0"/>
    <x v="3"/>
    <s v="Referral"/>
    <x v="5"/>
    <s v="Ahmed Raza"/>
    <n v="201338"/>
    <n v="21082"/>
    <n v="98.6"/>
    <n v="7"/>
    <n v="24"/>
    <n v="3"/>
    <n v="39"/>
    <n v="93"/>
    <x v="0"/>
    <x v="0"/>
  </r>
  <r>
    <s v="EMP01890"/>
    <x v="108"/>
    <x v="1"/>
    <n v="46"/>
    <x v="6"/>
    <x v="1"/>
    <x v="124"/>
    <x v="0"/>
    <x v="2"/>
    <x v="1"/>
    <s v="Website"/>
    <x v="0"/>
    <s v="Fatima Noor"/>
    <n v="200902"/>
    <n v="27763"/>
    <n v="89.3"/>
    <n v="8"/>
    <n v="26"/>
    <n v="4"/>
    <n v="2"/>
    <n v="84"/>
    <x v="0"/>
    <x v="0"/>
  </r>
  <r>
    <s v="EMP00302"/>
    <x v="31"/>
    <x v="0"/>
    <n v="26"/>
    <x v="6"/>
    <x v="5"/>
    <x v="125"/>
    <x v="0"/>
    <x v="2"/>
    <x v="3"/>
    <s v="Website"/>
    <x v="7"/>
    <s v="Fatima Noor"/>
    <n v="37779"/>
    <n v="6889"/>
    <n v="93.3"/>
    <n v="0"/>
    <n v="7"/>
    <n v="3"/>
    <n v="12"/>
    <n v="86"/>
    <x v="0"/>
    <x v="0"/>
  </r>
  <r>
    <s v="EMP01522"/>
    <x v="86"/>
    <x v="1"/>
    <n v="28"/>
    <x v="3"/>
    <x v="7"/>
    <x v="125"/>
    <x v="0"/>
    <x v="1"/>
    <x v="1"/>
    <s v="Campus"/>
    <x v="6"/>
    <s v="Ahmed Raza"/>
    <n v="60634"/>
    <n v="31379"/>
    <n v="94.2"/>
    <n v="5"/>
    <n v="12"/>
    <n v="1"/>
    <n v="16"/>
    <n v="99"/>
    <x v="0"/>
    <x v="0"/>
  </r>
  <r>
    <s v="EMP01574"/>
    <x v="36"/>
    <x v="0"/>
    <n v="23"/>
    <x v="8"/>
    <x v="6"/>
    <x v="125"/>
    <x v="0"/>
    <x v="1"/>
    <x v="4"/>
    <s v="Website"/>
    <x v="6"/>
    <s v="Bilal Khan"/>
    <n v="120802"/>
    <n v="35357"/>
    <n v="89.4"/>
    <n v="4"/>
    <n v="13"/>
    <n v="1"/>
    <n v="10"/>
    <n v="91"/>
    <x v="0"/>
    <x v="0"/>
  </r>
  <r>
    <s v="EMP00523"/>
    <x v="6"/>
    <x v="1"/>
    <n v="43"/>
    <x v="3"/>
    <x v="0"/>
    <x v="126"/>
    <x v="0"/>
    <x v="0"/>
    <x v="3"/>
    <s v="Linkedin"/>
    <x v="0"/>
    <s v="Ahmed Raza"/>
    <n v="89776"/>
    <n v="49166"/>
    <n v="97.1"/>
    <n v="2"/>
    <n v="18"/>
    <n v="3"/>
    <n v="17"/>
    <n v="93"/>
    <x v="0"/>
    <x v="0"/>
  </r>
  <r>
    <s v="EMP01540"/>
    <x v="114"/>
    <x v="1"/>
    <n v="30"/>
    <x v="6"/>
    <x v="4"/>
    <x v="126"/>
    <x v="0"/>
    <x v="0"/>
    <x v="0"/>
    <s v="Linkedin"/>
    <x v="6"/>
    <s v="Ahmed Raza"/>
    <n v="66134"/>
    <n v="38798"/>
    <n v="82"/>
    <n v="3"/>
    <n v="18"/>
    <n v="2"/>
    <n v="25"/>
    <n v="70"/>
    <x v="1"/>
    <x v="0"/>
  </r>
  <r>
    <s v="EMP01905"/>
    <x v="62"/>
    <x v="0"/>
    <n v="41"/>
    <x v="2"/>
    <x v="3"/>
    <x v="127"/>
    <x v="0"/>
    <x v="0"/>
    <x v="2"/>
    <s v="Agency"/>
    <x v="1"/>
    <s v="Fatima Noor"/>
    <n v="134909"/>
    <n v="8653"/>
    <n v="93.1"/>
    <n v="4"/>
    <n v="8"/>
    <n v="4"/>
    <n v="23"/>
    <n v="82"/>
    <x v="0"/>
    <x v="0"/>
  </r>
  <r>
    <s v="EMP00281"/>
    <x v="59"/>
    <x v="1"/>
    <n v="22"/>
    <x v="7"/>
    <x v="5"/>
    <x v="128"/>
    <x v="0"/>
    <x v="1"/>
    <x v="1"/>
    <s v="Linkedin"/>
    <x v="0"/>
    <s v="Sara Ali"/>
    <n v="203663"/>
    <n v="32746"/>
    <n v="96.1"/>
    <n v="8"/>
    <n v="16"/>
    <n v="3"/>
    <n v="2"/>
    <n v="75"/>
    <x v="0"/>
    <x v="0"/>
  </r>
  <r>
    <s v="EMP01673"/>
    <x v="30"/>
    <x v="1"/>
    <n v="47"/>
    <x v="8"/>
    <x v="5"/>
    <x v="128"/>
    <x v="0"/>
    <x v="1"/>
    <x v="3"/>
    <s v="Linkedin"/>
    <x v="6"/>
    <s v="Usman Tariq"/>
    <n v="191044"/>
    <n v="27357"/>
    <n v="90.1"/>
    <n v="4"/>
    <n v="27"/>
    <n v="5"/>
    <n v="2"/>
    <n v="77"/>
    <x v="0"/>
    <x v="0"/>
  </r>
  <r>
    <s v="EMP01935"/>
    <x v="85"/>
    <x v="0"/>
    <n v="54"/>
    <x v="0"/>
    <x v="3"/>
    <x v="128"/>
    <x v="0"/>
    <x v="0"/>
    <x v="3"/>
    <s v="Referral"/>
    <x v="2"/>
    <s v="Bilal Khan"/>
    <n v="54118"/>
    <n v="43519"/>
    <n v="90.8"/>
    <n v="3"/>
    <n v="14"/>
    <n v="4"/>
    <n v="33"/>
    <n v="95"/>
    <x v="1"/>
    <x v="0"/>
  </r>
  <r>
    <s v="EMP00101"/>
    <x v="135"/>
    <x v="0"/>
    <n v="60"/>
    <x v="6"/>
    <x v="3"/>
    <x v="129"/>
    <x v="0"/>
    <x v="1"/>
    <x v="1"/>
    <s v="Agency"/>
    <x v="3"/>
    <s v="Ahmed Raza"/>
    <n v="77265"/>
    <n v="43544"/>
    <n v="94.7"/>
    <n v="2"/>
    <n v="4"/>
    <n v="5"/>
    <n v="36"/>
    <n v="86"/>
    <x v="0"/>
    <x v="0"/>
  </r>
  <r>
    <s v="EMP00164"/>
    <x v="79"/>
    <x v="0"/>
    <n v="56"/>
    <x v="5"/>
    <x v="0"/>
    <x v="129"/>
    <x v="0"/>
    <x v="2"/>
    <x v="2"/>
    <s v="Website"/>
    <x v="0"/>
    <s v="Usman Tariq"/>
    <n v="191916"/>
    <n v="8974"/>
    <n v="94.9"/>
    <n v="9"/>
    <n v="26"/>
    <n v="4"/>
    <n v="35"/>
    <n v="83"/>
    <x v="0"/>
    <x v="0"/>
  </r>
  <r>
    <s v="EMP00291"/>
    <x v="55"/>
    <x v="0"/>
    <n v="45"/>
    <x v="1"/>
    <x v="1"/>
    <x v="129"/>
    <x v="0"/>
    <x v="1"/>
    <x v="4"/>
    <s v="Agency"/>
    <x v="3"/>
    <s v="Usman Tariq"/>
    <n v="77015"/>
    <n v="8572"/>
    <n v="97.3"/>
    <n v="2"/>
    <n v="27"/>
    <n v="3"/>
    <n v="4"/>
    <n v="68"/>
    <x v="0"/>
    <x v="0"/>
  </r>
  <r>
    <s v="EMP01884"/>
    <x v="167"/>
    <x v="1"/>
    <n v="55"/>
    <x v="3"/>
    <x v="4"/>
    <x v="130"/>
    <x v="0"/>
    <x v="2"/>
    <x v="1"/>
    <s v="Agency"/>
    <x v="4"/>
    <s v="Usman Tariq"/>
    <n v="64732"/>
    <n v="20618"/>
    <n v="87.6"/>
    <n v="1"/>
    <n v="1"/>
    <n v="2"/>
    <n v="11"/>
    <n v="99"/>
    <x v="0"/>
    <x v="0"/>
  </r>
  <r>
    <s v="EMP00491"/>
    <x v="99"/>
    <x v="0"/>
    <n v="34"/>
    <x v="0"/>
    <x v="4"/>
    <x v="131"/>
    <x v="0"/>
    <x v="2"/>
    <x v="0"/>
    <s v="Linkedin"/>
    <x v="3"/>
    <s v="Usman Tariq"/>
    <n v="130653"/>
    <n v="46973"/>
    <n v="84.6"/>
    <n v="2"/>
    <n v="16"/>
    <n v="1"/>
    <n v="25"/>
    <n v="66"/>
    <x v="1"/>
    <x v="0"/>
  </r>
  <r>
    <s v="EMP01201"/>
    <x v="148"/>
    <x v="0"/>
    <n v="59"/>
    <x v="1"/>
    <x v="5"/>
    <x v="131"/>
    <x v="0"/>
    <x v="2"/>
    <x v="0"/>
    <s v="Agency"/>
    <x v="4"/>
    <s v="Sara Ali"/>
    <n v="116036"/>
    <n v="30467"/>
    <n v="82.9"/>
    <n v="2"/>
    <n v="14"/>
    <n v="5"/>
    <n v="11"/>
    <n v="84"/>
    <x v="0"/>
    <x v="0"/>
  </r>
  <r>
    <s v="EMP01803"/>
    <x v="45"/>
    <x v="0"/>
    <n v="33"/>
    <x v="7"/>
    <x v="7"/>
    <x v="131"/>
    <x v="0"/>
    <x v="0"/>
    <x v="4"/>
    <s v="Referral"/>
    <x v="5"/>
    <s v="Ahmed Raza"/>
    <n v="140161"/>
    <n v="12285"/>
    <n v="89.8"/>
    <n v="6"/>
    <n v="18"/>
    <n v="1"/>
    <n v="7"/>
    <n v="97"/>
    <x v="0"/>
    <x v="0"/>
  </r>
  <r>
    <s v="EMP01965"/>
    <x v="37"/>
    <x v="1"/>
    <n v="58"/>
    <x v="2"/>
    <x v="0"/>
    <x v="131"/>
    <x v="0"/>
    <x v="0"/>
    <x v="2"/>
    <s v="Campus"/>
    <x v="2"/>
    <s v="Bilal Khan"/>
    <n v="232574"/>
    <n v="23035"/>
    <n v="86"/>
    <n v="7"/>
    <n v="6"/>
    <n v="2"/>
    <n v="8"/>
    <n v="99"/>
    <x v="0"/>
    <x v="0"/>
  </r>
  <r>
    <s v="EMP00054"/>
    <x v="168"/>
    <x v="0"/>
    <n v="50"/>
    <x v="1"/>
    <x v="4"/>
    <x v="132"/>
    <x v="0"/>
    <x v="0"/>
    <x v="0"/>
    <s v="Referral"/>
    <x v="7"/>
    <s v="Fatima Noor"/>
    <n v="35247"/>
    <n v="47995"/>
    <n v="82.8"/>
    <n v="9"/>
    <n v="2"/>
    <n v="3"/>
    <n v="25"/>
    <n v="65"/>
    <x v="0"/>
    <x v="0"/>
  </r>
  <r>
    <s v="EMP01354"/>
    <x v="69"/>
    <x v="1"/>
    <n v="26"/>
    <x v="2"/>
    <x v="1"/>
    <x v="133"/>
    <x v="0"/>
    <x v="1"/>
    <x v="0"/>
    <s v="Referral"/>
    <x v="0"/>
    <s v="Bilal Khan"/>
    <n v="56463"/>
    <n v="15042"/>
    <n v="90"/>
    <n v="5"/>
    <n v="15"/>
    <n v="4"/>
    <n v="4"/>
    <n v="71"/>
    <x v="0"/>
    <x v="0"/>
  </r>
  <r>
    <s v="EMP01581"/>
    <x v="96"/>
    <x v="0"/>
    <n v="53"/>
    <x v="5"/>
    <x v="7"/>
    <x v="133"/>
    <x v="0"/>
    <x v="2"/>
    <x v="0"/>
    <s v="Website"/>
    <x v="4"/>
    <s v="Sara Ali"/>
    <n v="208387"/>
    <n v="26625"/>
    <n v="92.4"/>
    <n v="2"/>
    <n v="16"/>
    <n v="5"/>
    <n v="21"/>
    <n v="72"/>
    <x v="0"/>
    <x v="0"/>
  </r>
  <r>
    <s v="EMP00242"/>
    <x v="106"/>
    <x v="1"/>
    <n v="56"/>
    <x v="7"/>
    <x v="7"/>
    <x v="134"/>
    <x v="0"/>
    <x v="1"/>
    <x v="4"/>
    <s v="Linkedin"/>
    <x v="4"/>
    <s v="Fatima Noor"/>
    <n v="189691"/>
    <n v="16127"/>
    <n v="81.099999999999994"/>
    <n v="1"/>
    <n v="12"/>
    <n v="2"/>
    <n v="14"/>
    <n v="82"/>
    <x v="0"/>
    <x v="0"/>
  </r>
  <r>
    <s v="EMP00520"/>
    <x v="64"/>
    <x v="0"/>
    <n v="57"/>
    <x v="2"/>
    <x v="0"/>
    <x v="135"/>
    <x v="0"/>
    <x v="0"/>
    <x v="0"/>
    <s v="Campus"/>
    <x v="4"/>
    <s v="Ahmed Raza"/>
    <n v="101926"/>
    <n v="17658"/>
    <n v="84.6"/>
    <n v="1"/>
    <n v="22"/>
    <n v="3"/>
    <n v="11"/>
    <n v="70"/>
    <x v="0"/>
    <x v="0"/>
  </r>
  <r>
    <s v="EMP01518"/>
    <x v="60"/>
    <x v="0"/>
    <n v="27"/>
    <x v="3"/>
    <x v="7"/>
    <x v="135"/>
    <x v="0"/>
    <x v="1"/>
    <x v="3"/>
    <s v="Linkedin"/>
    <x v="4"/>
    <s v="Ahmed Raza"/>
    <n v="86353"/>
    <n v="13098"/>
    <n v="83.8"/>
    <n v="6"/>
    <n v="12"/>
    <n v="5"/>
    <n v="4"/>
    <n v="85"/>
    <x v="0"/>
    <x v="0"/>
  </r>
  <r>
    <s v="EMP01178"/>
    <x v="144"/>
    <x v="0"/>
    <n v="23"/>
    <x v="7"/>
    <x v="7"/>
    <x v="136"/>
    <x v="0"/>
    <x v="0"/>
    <x v="0"/>
    <s v="Campus"/>
    <x v="7"/>
    <s v="Usman Tariq"/>
    <n v="39680"/>
    <n v="39925"/>
    <n v="90.3"/>
    <n v="3"/>
    <n v="17"/>
    <n v="3"/>
    <n v="6"/>
    <n v="84"/>
    <x v="1"/>
    <x v="0"/>
  </r>
  <r>
    <s v="EMP01707"/>
    <x v="112"/>
    <x v="1"/>
    <n v="25"/>
    <x v="1"/>
    <x v="5"/>
    <x v="136"/>
    <x v="0"/>
    <x v="0"/>
    <x v="4"/>
    <s v="Linkedin"/>
    <x v="3"/>
    <s v="Fatima Noor"/>
    <n v="38706"/>
    <n v="37305"/>
    <n v="80.3"/>
    <n v="5"/>
    <n v="30"/>
    <n v="3"/>
    <n v="32"/>
    <n v="92"/>
    <x v="0"/>
    <x v="0"/>
  </r>
  <r>
    <s v="EMP01960"/>
    <x v="169"/>
    <x v="0"/>
    <n v="27"/>
    <x v="5"/>
    <x v="3"/>
    <x v="136"/>
    <x v="0"/>
    <x v="2"/>
    <x v="0"/>
    <s v="Referral"/>
    <x v="1"/>
    <s v="Ahmed Raza"/>
    <n v="213828"/>
    <n v="13274"/>
    <n v="98.9"/>
    <n v="0"/>
    <n v="30"/>
    <n v="2"/>
    <n v="0"/>
    <n v="87"/>
    <x v="0"/>
    <x v="0"/>
  </r>
  <r>
    <s v="EMP00155"/>
    <x v="142"/>
    <x v="1"/>
    <n v="51"/>
    <x v="7"/>
    <x v="1"/>
    <x v="137"/>
    <x v="0"/>
    <x v="0"/>
    <x v="4"/>
    <s v="Campus"/>
    <x v="7"/>
    <s v="Usman Tariq"/>
    <n v="74321"/>
    <n v="13642"/>
    <n v="95.3"/>
    <n v="2"/>
    <n v="28"/>
    <n v="2"/>
    <n v="3"/>
    <n v="79"/>
    <x v="0"/>
    <x v="0"/>
  </r>
  <r>
    <s v="EMP00533"/>
    <x v="3"/>
    <x v="0"/>
    <n v="43"/>
    <x v="1"/>
    <x v="6"/>
    <x v="137"/>
    <x v="0"/>
    <x v="2"/>
    <x v="3"/>
    <s v="Website"/>
    <x v="0"/>
    <s v="Fatima Noor"/>
    <n v="228064"/>
    <n v="6756"/>
    <n v="92.7"/>
    <n v="4"/>
    <n v="6"/>
    <n v="5"/>
    <n v="6"/>
    <n v="89"/>
    <x v="1"/>
    <x v="0"/>
  </r>
  <r>
    <s v="EMP00780"/>
    <x v="10"/>
    <x v="0"/>
    <n v="52"/>
    <x v="1"/>
    <x v="3"/>
    <x v="137"/>
    <x v="0"/>
    <x v="0"/>
    <x v="2"/>
    <s v="Website"/>
    <x v="1"/>
    <s v="Bilal Khan"/>
    <n v="37660"/>
    <n v="21503"/>
    <n v="86.1"/>
    <n v="5"/>
    <n v="22"/>
    <n v="5"/>
    <n v="29"/>
    <n v="74"/>
    <x v="1"/>
    <x v="0"/>
  </r>
  <r>
    <s v="EMP01225"/>
    <x v="52"/>
    <x v="1"/>
    <n v="33"/>
    <x v="1"/>
    <x v="4"/>
    <x v="138"/>
    <x v="0"/>
    <x v="2"/>
    <x v="0"/>
    <s v="Linkedin"/>
    <x v="2"/>
    <s v="Bilal Khan"/>
    <n v="239793"/>
    <n v="16740"/>
    <n v="85.7"/>
    <n v="8"/>
    <n v="27"/>
    <n v="2"/>
    <n v="21"/>
    <n v="73"/>
    <x v="0"/>
    <x v="0"/>
  </r>
  <r>
    <s v="EMP01605"/>
    <x v="170"/>
    <x v="0"/>
    <n v="21"/>
    <x v="6"/>
    <x v="1"/>
    <x v="138"/>
    <x v="0"/>
    <x v="1"/>
    <x v="1"/>
    <s v="Agency"/>
    <x v="0"/>
    <s v="Sara Ali"/>
    <n v="197803"/>
    <n v="11903"/>
    <n v="82.2"/>
    <n v="7"/>
    <n v="14"/>
    <n v="1"/>
    <n v="19"/>
    <n v="81"/>
    <x v="0"/>
    <x v="0"/>
  </r>
  <r>
    <s v="EMP01747"/>
    <x v="121"/>
    <x v="0"/>
    <n v="52"/>
    <x v="4"/>
    <x v="6"/>
    <x v="138"/>
    <x v="0"/>
    <x v="1"/>
    <x v="1"/>
    <s v="Linkedin"/>
    <x v="6"/>
    <s v="Usman Tariq"/>
    <n v="74660"/>
    <n v="37087"/>
    <n v="87.8"/>
    <n v="10"/>
    <n v="27"/>
    <n v="1"/>
    <n v="22"/>
    <n v="74"/>
    <x v="1"/>
    <x v="0"/>
  </r>
  <r>
    <s v="EMP00973"/>
    <x v="73"/>
    <x v="0"/>
    <n v="25"/>
    <x v="3"/>
    <x v="3"/>
    <x v="139"/>
    <x v="0"/>
    <x v="2"/>
    <x v="4"/>
    <s v="Agency"/>
    <x v="4"/>
    <s v="Bilal Khan"/>
    <n v="98617"/>
    <n v="46675"/>
    <n v="93.3"/>
    <n v="0"/>
    <n v="7"/>
    <n v="1"/>
    <n v="11"/>
    <n v="93"/>
    <x v="0"/>
    <x v="0"/>
  </r>
  <r>
    <s v="EMP01367"/>
    <x v="85"/>
    <x v="1"/>
    <n v="22"/>
    <x v="6"/>
    <x v="1"/>
    <x v="139"/>
    <x v="1"/>
    <x v="0"/>
    <x v="4"/>
    <s v="Agency"/>
    <x v="3"/>
    <s v="Fatima Noor"/>
    <n v="202491"/>
    <n v="15649"/>
    <n v="88.8"/>
    <n v="9"/>
    <n v="13"/>
    <n v="2"/>
    <n v="38"/>
    <n v="73"/>
    <x v="0"/>
    <x v="1"/>
  </r>
  <r>
    <s v="EMP01681"/>
    <x v="55"/>
    <x v="0"/>
    <n v="57"/>
    <x v="8"/>
    <x v="3"/>
    <x v="139"/>
    <x v="0"/>
    <x v="2"/>
    <x v="4"/>
    <s v="Linkedin"/>
    <x v="7"/>
    <s v="Bilal Khan"/>
    <n v="166192"/>
    <n v="44948"/>
    <n v="87.1"/>
    <n v="9"/>
    <n v="11"/>
    <n v="3"/>
    <n v="33"/>
    <n v="94"/>
    <x v="0"/>
    <x v="0"/>
  </r>
  <r>
    <s v="EMP01910"/>
    <x v="146"/>
    <x v="0"/>
    <n v="21"/>
    <x v="8"/>
    <x v="3"/>
    <x v="139"/>
    <x v="0"/>
    <x v="0"/>
    <x v="1"/>
    <s v="Linkedin"/>
    <x v="0"/>
    <s v="Usman Tariq"/>
    <n v="219746"/>
    <n v="29748"/>
    <n v="88.4"/>
    <n v="2"/>
    <n v="10"/>
    <n v="4"/>
    <n v="5"/>
    <n v="65"/>
    <x v="0"/>
    <x v="0"/>
  </r>
  <r>
    <s v="EMP00992"/>
    <x v="106"/>
    <x v="0"/>
    <n v="32"/>
    <x v="3"/>
    <x v="6"/>
    <x v="140"/>
    <x v="0"/>
    <x v="1"/>
    <x v="1"/>
    <s v="Website"/>
    <x v="7"/>
    <s v="Bilal Khan"/>
    <n v="223421"/>
    <n v="30059"/>
    <n v="91"/>
    <n v="4"/>
    <n v="22"/>
    <n v="1"/>
    <n v="11"/>
    <n v="89"/>
    <x v="0"/>
    <x v="0"/>
  </r>
  <r>
    <s v="EMP00817"/>
    <x v="121"/>
    <x v="0"/>
    <n v="57"/>
    <x v="0"/>
    <x v="3"/>
    <x v="141"/>
    <x v="0"/>
    <x v="2"/>
    <x v="2"/>
    <s v="Linkedin"/>
    <x v="3"/>
    <s v="Ahmed Raza"/>
    <n v="50988"/>
    <n v="36373"/>
    <n v="84.4"/>
    <n v="7"/>
    <n v="7"/>
    <n v="3"/>
    <n v="34"/>
    <n v="78"/>
    <x v="0"/>
    <x v="0"/>
  </r>
  <r>
    <s v="EMP01177"/>
    <x v="53"/>
    <x v="0"/>
    <n v="39"/>
    <x v="7"/>
    <x v="1"/>
    <x v="141"/>
    <x v="1"/>
    <x v="0"/>
    <x v="4"/>
    <s v="Linkedin"/>
    <x v="1"/>
    <s v="Ahmed Raza"/>
    <n v="210930"/>
    <n v="12616"/>
    <n v="83.7"/>
    <n v="7"/>
    <n v="15"/>
    <n v="3"/>
    <n v="26"/>
    <n v="79"/>
    <x v="0"/>
    <x v="5"/>
  </r>
  <r>
    <s v="EMP01724"/>
    <x v="117"/>
    <x v="0"/>
    <n v="47"/>
    <x v="3"/>
    <x v="0"/>
    <x v="142"/>
    <x v="0"/>
    <x v="1"/>
    <x v="0"/>
    <s v="Campus"/>
    <x v="0"/>
    <s v="Ahmed Raza"/>
    <n v="245684"/>
    <n v="22084"/>
    <n v="88.2"/>
    <n v="4"/>
    <n v="11"/>
    <n v="5"/>
    <n v="18"/>
    <n v="73"/>
    <x v="0"/>
    <x v="0"/>
  </r>
  <r>
    <s v="EMP01101"/>
    <x v="53"/>
    <x v="1"/>
    <n v="31"/>
    <x v="1"/>
    <x v="2"/>
    <x v="143"/>
    <x v="0"/>
    <x v="2"/>
    <x v="3"/>
    <s v="Linkedin"/>
    <x v="5"/>
    <s v="Usman Tariq"/>
    <n v="81695"/>
    <n v="47647"/>
    <n v="95.5"/>
    <n v="6"/>
    <n v="2"/>
    <n v="3"/>
    <n v="38"/>
    <n v="65"/>
    <x v="0"/>
    <x v="0"/>
  </r>
  <r>
    <s v="EMP01718"/>
    <x v="171"/>
    <x v="0"/>
    <n v="36"/>
    <x v="0"/>
    <x v="7"/>
    <x v="144"/>
    <x v="1"/>
    <x v="0"/>
    <x v="3"/>
    <s v="Linkedin"/>
    <x v="6"/>
    <s v="Sara Ali"/>
    <n v="138690"/>
    <n v="13479"/>
    <n v="95.4"/>
    <n v="2"/>
    <n v="18"/>
    <n v="2"/>
    <n v="2"/>
    <n v="66"/>
    <x v="0"/>
    <x v="1"/>
  </r>
  <r>
    <s v="EMP00312"/>
    <x v="172"/>
    <x v="1"/>
    <n v="55"/>
    <x v="0"/>
    <x v="4"/>
    <x v="145"/>
    <x v="0"/>
    <x v="2"/>
    <x v="0"/>
    <s v="Linkedin"/>
    <x v="7"/>
    <s v="Bilal Khan"/>
    <n v="159138"/>
    <n v="46429"/>
    <n v="98.5"/>
    <n v="4"/>
    <n v="29"/>
    <n v="5"/>
    <n v="31"/>
    <n v="60"/>
    <x v="0"/>
    <x v="0"/>
  </r>
  <r>
    <s v="EMP01040"/>
    <x v="64"/>
    <x v="1"/>
    <n v="53"/>
    <x v="4"/>
    <x v="7"/>
    <x v="145"/>
    <x v="1"/>
    <x v="1"/>
    <x v="3"/>
    <s v="Website"/>
    <x v="6"/>
    <s v="Ahmed Raza"/>
    <n v="220179"/>
    <n v="36996"/>
    <n v="81.900000000000006"/>
    <n v="2"/>
    <n v="13"/>
    <n v="5"/>
    <n v="26"/>
    <n v="83"/>
    <x v="1"/>
    <x v="1"/>
  </r>
  <r>
    <s v="EMP01510"/>
    <x v="28"/>
    <x v="1"/>
    <n v="40"/>
    <x v="7"/>
    <x v="2"/>
    <x v="145"/>
    <x v="0"/>
    <x v="2"/>
    <x v="0"/>
    <s v="Linkedin"/>
    <x v="3"/>
    <s v="Ahmed Raza"/>
    <n v="128900"/>
    <n v="45340"/>
    <n v="87.5"/>
    <n v="7"/>
    <n v="11"/>
    <n v="2"/>
    <n v="20"/>
    <n v="99"/>
    <x v="0"/>
    <x v="0"/>
  </r>
  <r>
    <s v="EMP00041"/>
    <x v="163"/>
    <x v="1"/>
    <n v="25"/>
    <x v="0"/>
    <x v="4"/>
    <x v="146"/>
    <x v="0"/>
    <x v="2"/>
    <x v="1"/>
    <s v="Agency"/>
    <x v="3"/>
    <s v="Fatima Noor"/>
    <n v="36992"/>
    <n v="10383"/>
    <n v="80.5"/>
    <n v="5"/>
    <n v="16"/>
    <n v="1"/>
    <n v="32"/>
    <n v="98"/>
    <x v="0"/>
    <x v="0"/>
  </r>
  <r>
    <s v="EMP00714"/>
    <x v="2"/>
    <x v="0"/>
    <n v="32"/>
    <x v="1"/>
    <x v="6"/>
    <x v="146"/>
    <x v="0"/>
    <x v="0"/>
    <x v="4"/>
    <s v="Linkedin"/>
    <x v="4"/>
    <s v="Bilal Khan"/>
    <n v="124453"/>
    <n v="28547"/>
    <n v="89.8"/>
    <n v="1"/>
    <n v="24"/>
    <n v="4"/>
    <n v="38"/>
    <n v="99"/>
    <x v="0"/>
    <x v="0"/>
  </r>
  <r>
    <s v="EMP00786"/>
    <x v="62"/>
    <x v="0"/>
    <n v="48"/>
    <x v="1"/>
    <x v="1"/>
    <x v="146"/>
    <x v="0"/>
    <x v="1"/>
    <x v="0"/>
    <s v="Linkedin"/>
    <x v="1"/>
    <s v="Fatima Noor"/>
    <n v="235250"/>
    <n v="42771"/>
    <n v="80"/>
    <n v="10"/>
    <n v="1"/>
    <n v="4"/>
    <n v="14"/>
    <n v="61"/>
    <x v="0"/>
    <x v="0"/>
  </r>
  <r>
    <s v="EMP01237"/>
    <x v="173"/>
    <x v="0"/>
    <n v="39"/>
    <x v="8"/>
    <x v="5"/>
    <x v="146"/>
    <x v="0"/>
    <x v="1"/>
    <x v="0"/>
    <s v="Campus"/>
    <x v="6"/>
    <s v="Ahmed Raza"/>
    <n v="69737"/>
    <n v="31085"/>
    <n v="82.8"/>
    <n v="6"/>
    <n v="14"/>
    <n v="5"/>
    <n v="4"/>
    <n v="92"/>
    <x v="0"/>
    <x v="0"/>
  </r>
  <r>
    <s v="EMP01339"/>
    <x v="131"/>
    <x v="1"/>
    <n v="55"/>
    <x v="1"/>
    <x v="0"/>
    <x v="146"/>
    <x v="1"/>
    <x v="1"/>
    <x v="0"/>
    <s v="Linkedin"/>
    <x v="3"/>
    <s v="Ahmed Raza"/>
    <n v="170248"/>
    <n v="11763"/>
    <n v="82.5"/>
    <n v="10"/>
    <n v="28"/>
    <n v="4"/>
    <n v="29"/>
    <n v="85"/>
    <x v="0"/>
    <x v="4"/>
  </r>
  <r>
    <s v="EMP01664"/>
    <x v="49"/>
    <x v="0"/>
    <n v="35"/>
    <x v="2"/>
    <x v="0"/>
    <x v="146"/>
    <x v="0"/>
    <x v="2"/>
    <x v="1"/>
    <s v="Website"/>
    <x v="5"/>
    <s v="Usman Tariq"/>
    <n v="193075"/>
    <n v="32350"/>
    <n v="99.8"/>
    <n v="0"/>
    <n v="5"/>
    <n v="3"/>
    <n v="21"/>
    <n v="86"/>
    <x v="0"/>
    <x v="0"/>
  </r>
  <r>
    <s v="EMP00245"/>
    <x v="144"/>
    <x v="1"/>
    <n v="41"/>
    <x v="8"/>
    <x v="7"/>
    <x v="147"/>
    <x v="0"/>
    <x v="0"/>
    <x v="2"/>
    <s v="Agency"/>
    <x v="0"/>
    <s v="Bilal Khan"/>
    <n v="186078"/>
    <n v="38578"/>
    <n v="94.3"/>
    <n v="8"/>
    <n v="7"/>
    <n v="5"/>
    <n v="15"/>
    <n v="78"/>
    <x v="0"/>
    <x v="0"/>
  </r>
  <r>
    <s v="EMP01542"/>
    <x v="129"/>
    <x v="1"/>
    <n v="23"/>
    <x v="8"/>
    <x v="5"/>
    <x v="147"/>
    <x v="0"/>
    <x v="0"/>
    <x v="1"/>
    <s v="Linkedin"/>
    <x v="7"/>
    <s v="Usman Tariq"/>
    <n v="65649"/>
    <n v="48654"/>
    <n v="85.9"/>
    <n v="6"/>
    <n v="3"/>
    <n v="4"/>
    <n v="19"/>
    <n v="71"/>
    <x v="0"/>
    <x v="0"/>
  </r>
  <r>
    <s v="EMP00623"/>
    <x v="138"/>
    <x v="0"/>
    <n v="40"/>
    <x v="1"/>
    <x v="0"/>
    <x v="148"/>
    <x v="0"/>
    <x v="1"/>
    <x v="3"/>
    <s v="Agency"/>
    <x v="2"/>
    <s v="Fatima Noor"/>
    <n v="200037"/>
    <n v="20618"/>
    <n v="97.7"/>
    <n v="5"/>
    <n v="23"/>
    <n v="1"/>
    <n v="30"/>
    <n v="90"/>
    <x v="0"/>
    <x v="0"/>
  </r>
  <r>
    <s v="EMP00743"/>
    <x v="162"/>
    <x v="1"/>
    <n v="51"/>
    <x v="2"/>
    <x v="6"/>
    <x v="148"/>
    <x v="0"/>
    <x v="2"/>
    <x v="1"/>
    <s v="Agency"/>
    <x v="6"/>
    <s v="Bilal Khan"/>
    <n v="86839"/>
    <n v="13341"/>
    <n v="83.9"/>
    <n v="10"/>
    <n v="15"/>
    <n v="1"/>
    <n v="29"/>
    <n v="84"/>
    <x v="0"/>
    <x v="0"/>
  </r>
  <r>
    <s v="EMP00909"/>
    <x v="149"/>
    <x v="1"/>
    <n v="39"/>
    <x v="8"/>
    <x v="1"/>
    <x v="148"/>
    <x v="0"/>
    <x v="2"/>
    <x v="0"/>
    <s v="Referral"/>
    <x v="7"/>
    <s v="Fatima Noor"/>
    <n v="59814"/>
    <n v="35658"/>
    <n v="80.400000000000006"/>
    <n v="2"/>
    <n v="16"/>
    <n v="4"/>
    <n v="9"/>
    <n v="68"/>
    <x v="0"/>
    <x v="0"/>
  </r>
  <r>
    <s v="EMP01024"/>
    <x v="108"/>
    <x v="1"/>
    <n v="42"/>
    <x v="6"/>
    <x v="0"/>
    <x v="148"/>
    <x v="1"/>
    <x v="1"/>
    <x v="1"/>
    <s v="Campus"/>
    <x v="4"/>
    <s v="Usman Tariq"/>
    <n v="40803"/>
    <n v="33790"/>
    <n v="84.4"/>
    <n v="1"/>
    <n v="30"/>
    <n v="4"/>
    <n v="13"/>
    <n v="63"/>
    <x v="0"/>
    <x v="3"/>
  </r>
  <r>
    <s v="EMP01056"/>
    <x v="173"/>
    <x v="0"/>
    <n v="57"/>
    <x v="1"/>
    <x v="6"/>
    <x v="148"/>
    <x v="0"/>
    <x v="0"/>
    <x v="2"/>
    <s v="Linkedin"/>
    <x v="1"/>
    <s v="Sara Ali"/>
    <n v="240593"/>
    <n v="37530"/>
    <n v="93.9"/>
    <n v="10"/>
    <n v="13"/>
    <n v="3"/>
    <n v="27"/>
    <n v="72"/>
    <x v="0"/>
    <x v="0"/>
  </r>
  <r>
    <s v="EMP01971"/>
    <x v="77"/>
    <x v="0"/>
    <n v="37"/>
    <x v="5"/>
    <x v="2"/>
    <x v="149"/>
    <x v="0"/>
    <x v="1"/>
    <x v="4"/>
    <s v="Agency"/>
    <x v="0"/>
    <s v="Bilal Khan"/>
    <n v="178892"/>
    <n v="36104"/>
    <n v="94.9"/>
    <n v="2"/>
    <n v="17"/>
    <n v="4"/>
    <n v="37"/>
    <n v="97"/>
    <x v="0"/>
    <x v="0"/>
  </r>
  <r>
    <s v="EMP00343"/>
    <x v="157"/>
    <x v="1"/>
    <n v="42"/>
    <x v="8"/>
    <x v="1"/>
    <x v="150"/>
    <x v="0"/>
    <x v="1"/>
    <x v="4"/>
    <s v="Referral"/>
    <x v="7"/>
    <s v="Usman Tariq"/>
    <n v="120751"/>
    <n v="16231"/>
    <n v="90.1"/>
    <n v="8"/>
    <n v="27"/>
    <n v="5"/>
    <n v="35"/>
    <n v="82"/>
    <x v="0"/>
    <x v="0"/>
  </r>
  <r>
    <s v="EMP01127"/>
    <x v="77"/>
    <x v="0"/>
    <n v="53"/>
    <x v="3"/>
    <x v="3"/>
    <x v="150"/>
    <x v="0"/>
    <x v="0"/>
    <x v="0"/>
    <s v="Linkedin"/>
    <x v="7"/>
    <s v="Usman Tariq"/>
    <n v="115168"/>
    <n v="10593"/>
    <n v="80.099999999999994"/>
    <n v="10"/>
    <n v="2"/>
    <n v="4"/>
    <n v="23"/>
    <n v="97"/>
    <x v="1"/>
    <x v="0"/>
  </r>
  <r>
    <s v="EMP01838"/>
    <x v="170"/>
    <x v="0"/>
    <n v="28"/>
    <x v="3"/>
    <x v="6"/>
    <x v="150"/>
    <x v="0"/>
    <x v="2"/>
    <x v="0"/>
    <s v="Referral"/>
    <x v="2"/>
    <s v="Ahmed Raza"/>
    <n v="167669"/>
    <n v="20906"/>
    <n v="89.7"/>
    <n v="1"/>
    <n v="14"/>
    <n v="1"/>
    <n v="18"/>
    <n v="61"/>
    <x v="0"/>
    <x v="0"/>
  </r>
  <r>
    <s v="EMP00246"/>
    <x v="56"/>
    <x v="0"/>
    <n v="29"/>
    <x v="4"/>
    <x v="0"/>
    <x v="151"/>
    <x v="0"/>
    <x v="0"/>
    <x v="2"/>
    <s v="Website"/>
    <x v="4"/>
    <s v="Ahmed Raza"/>
    <n v="126859"/>
    <n v="15473"/>
    <n v="93.6"/>
    <n v="6"/>
    <n v="14"/>
    <n v="2"/>
    <n v="7"/>
    <n v="89"/>
    <x v="0"/>
    <x v="0"/>
  </r>
  <r>
    <s v="EMP01325"/>
    <x v="166"/>
    <x v="1"/>
    <n v="23"/>
    <x v="6"/>
    <x v="5"/>
    <x v="151"/>
    <x v="1"/>
    <x v="2"/>
    <x v="0"/>
    <s v="Linkedin"/>
    <x v="4"/>
    <s v="Ahmed Raza"/>
    <n v="184813"/>
    <n v="6289"/>
    <n v="81.599999999999994"/>
    <n v="5"/>
    <n v="0"/>
    <n v="4"/>
    <n v="35"/>
    <n v="93"/>
    <x v="0"/>
    <x v="1"/>
  </r>
  <r>
    <s v="EMP01710"/>
    <x v="29"/>
    <x v="1"/>
    <n v="35"/>
    <x v="6"/>
    <x v="3"/>
    <x v="151"/>
    <x v="0"/>
    <x v="2"/>
    <x v="3"/>
    <s v="Campus"/>
    <x v="1"/>
    <s v="Sara Ali"/>
    <n v="35346"/>
    <n v="18180"/>
    <n v="87.9"/>
    <n v="0"/>
    <n v="8"/>
    <n v="1"/>
    <n v="27"/>
    <n v="89"/>
    <x v="1"/>
    <x v="0"/>
  </r>
  <r>
    <s v="EMP00299"/>
    <x v="148"/>
    <x v="1"/>
    <n v="31"/>
    <x v="4"/>
    <x v="3"/>
    <x v="152"/>
    <x v="0"/>
    <x v="2"/>
    <x v="3"/>
    <s v="Referral"/>
    <x v="3"/>
    <s v="Bilal Khan"/>
    <n v="123201"/>
    <n v="12827"/>
    <n v="94.6"/>
    <n v="3"/>
    <n v="26"/>
    <n v="1"/>
    <n v="35"/>
    <n v="60"/>
    <x v="1"/>
    <x v="0"/>
  </r>
  <r>
    <s v="EMP00618"/>
    <x v="174"/>
    <x v="0"/>
    <n v="38"/>
    <x v="6"/>
    <x v="6"/>
    <x v="152"/>
    <x v="0"/>
    <x v="2"/>
    <x v="0"/>
    <s v="Linkedin"/>
    <x v="1"/>
    <s v="Usman Tariq"/>
    <n v="146648"/>
    <n v="6133"/>
    <n v="95.7"/>
    <n v="6"/>
    <n v="14"/>
    <n v="3"/>
    <n v="21"/>
    <n v="93"/>
    <x v="0"/>
    <x v="0"/>
  </r>
  <r>
    <s v="EMP01248"/>
    <x v="85"/>
    <x v="0"/>
    <n v="28"/>
    <x v="3"/>
    <x v="2"/>
    <x v="152"/>
    <x v="0"/>
    <x v="0"/>
    <x v="3"/>
    <s v="Agency"/>
    <x v="2"/>
    <s v="Ahmed Raza"/>
    <n v="100351"/>
    <n v="40716"/>
    <n v="86"/>
    <n v="3"/>
    <n v="12"/>
    <n v="2"/>
    <n v="19"/>
    <n v="73"/>
    <x v="0"/>
    <x v="0"/>
  </r>
  <r>
    <s v="EMP00377"/>
    <x v="76"/>
    <x v="1"/>
    <n v="23"/>
    <x v="7"/>
    <x v="4"/>
    <x v="153"/>
    <x v="0"/>
    <x v="2"/>
    <x v="1"/>
    <s v="Agency"/>
    <x v="0"/>
    <s v="Sara Ali"/>
    <n v="153416"/>
    <n v="29026"/>
    <n v="85.7"/>
    <n v="10"/>
    <n v="23"/>
    <n v="1"/>
    <n v="2"/>
    <n v="93"/>
    <x v="0"/>
    <x v="0"/>
  </r>
  <r>
    <s v="EMP00413"/>
    <x v="30"/>
    <x v="1"/>
    <n v="38"/>
    <x v="0"/>
    <x v="5"/>
    <x v="153"/>
    <x v="0"/>
    <x v="2"/>
    <x v="3"/>
    <s v="Referral"/>
    <x v="0"/>
    <s v="Ahmed Raza"/>
    <n v="131726"/>
    <n v="35230"/>
    <n v="83.9"/>
    <n v="0"/>
    <n v="29"/>
    <n v="3"/>
    <n v="32"/>
    <n v="72"/>
    <x v="0"/>
    <x v="0"/>
  </r>
  <r>
    <s v="EMP00013"/>
    <x v="175"/>
    <x v="0"/>
    <n v="21"/>
    <x v="3"/>
    <x v="6"/>
    <x v="154"/>
    <x v="0"/>
    <x v="0"/>
    <x v="3"/>
    <s v="Referral"/>
    <x v="5"/>
    <s v="Usman Tariq"/>
    <n v="134526"/>
    <n v="26588"/>
    <n v="99.3"/>
    <n v="3"/>
    <n v="2"/>
    <n v="2"/>
    <n v="29"/>
    <n v="61"/>
    <x v="0"/>
    <x v="0"/>
  </r>
  <r>
    <s v="EMP00186"/>
    <x v="36"/>
    <x v="0"/>
    <n v="23"/>
    <x v="6"/>
    <x v="0"/>
    <x v="154"/>
    <x v="0"/>
    <x v="0"/>
    <x v="3"/>
    <s v="Linkedin"/>
    <x v="6"/>
    <s v="Sara Ali"/>
    <n v="125038"/>
    <n v="33187"/>
    <n v="93.4"/>
    <n v="7"/>
    <n v="14"/>
    <n v="3"/>
    <n v="5"/>
    <n v="70"/>
    <x v="0"/>
    <x v="0"/>
  </r>
  <r>
    <s v="EMP00318"/>
    <x v="20"/>
    <x v="0"/>
    <n v="44"/>
    <x v="2"/>
    <x v="7"/>
    <x v="154"/>
    <x v="0"/>
    <x v="0"/>
    <x v="1"/>
    <s v="Agency"/>
    <x v="6"/>
    <s v="Sara Ali"/>
    <n v="198017"/>
    <n v="38513"/>
    <n v="80.900000000000006"/>
    <n v="9"/>
    <n v="17"/>
    <n v="4"/>
    <n v="20"/>
    <n v="81"/>
    <x v="0"/>
    <x v="0"/>
  </r>
  <r>
    <s v="EMP01687"/>
    <x v="70"/>
    <x v="1"/>
    <n v="49"/>
    <x v="5"/>
    <x v="1"/>
    <x v="154"/>
    <x v="0"/>
    <x v="1"/>
    <x v="0"/>
    <s v="Website"/>
    <x v="7"/>
    <s v="Sara Ali"/>
    <n v="192297"/>
    <n v="28694"/>
    <n v="94.5"/>
    <n v="6"/>
    <n v="25"/>
    <n v="3"/>
    <n v="33"/>
    <n v="77"/>
    <x v="0"/>
    <x v="0"/>
  </r>
  <r>
    <s v="EMP00559"/>
    <x v="155"/>
    <x v="0"/>
    <n v="27"/>
    <x v="2"/>
    <x v="1"/>
    <x v="155"/>
    <x v="0"/>
    <x v="0"/>
    <x v="1"/>
    <s v="Agency"/>
    <x v="5"/>
    <s v="Fatima Noor"/>
    <n v="243608"/>
    <n v="5570"/>
    <n v="93"/>
    <n v="0"/>
    <n v="19"/>
    <n v="2"/>
    <n v="19"/>
    <n v="73"/>
    <x v="0"/>
    <x v="0"/>
  </r>
  <r>
    <s v="EMP00652"/>
    <x v="134"/>
    <x v="1"/>
    <n v="52"/>
    <x v="6"/>
    <x v="5"/>
    <x v="155"/>
    <x v="0"/>
    <x v="0"/>
    <x v="3"/>
    <s v="Website"/>
    <x v="6"/>
    <s v="Bilal Khan"/>
    <n v="186353"/>
    <n v="5613"/>
    <n v="99.6"/>
    <n v="9"/>
    <n v="10"/>
    <n v="2"/>
    <n v="9"/>
    <n v="89"/>
    <x v="0"/>
    <x v="0"/>
  </r>
  <r>
    <s v="EMP01447"/>
    <x v="33"/>
    <x v="1"/>
    <n v="54"/>
    <x v="4"/>
    <x v="7"/>
    <x v="155"/>
    <x v="0"/>
    <x v="2"/>
    <x v="4"/>
    <s v="Agency"/>
    <x v="6"/>
    <s v="Ahmed Raza"/>
    <n v="126760"/>
    <n v="11508"/>
    <n v="80.599999999999994"/>
    <n v="8"/>
    <n v="6"/>
    <n v="1"/>
    <n v="29"/>
    <n v="83"/>
    <x v="0"/>
    <x v="0"/>
  </r>
  <r>
    <s v="EMP01662"/>
    <x v="142"/>
    <x v="0"/>
    <n v="56"/>
    <x v="8"/>
    <x v="7"/>
    <x v="155"/>
    <x v="0"/>
    <x v="2"/>
    <x v="4"/>
    <s v="Linkedin"/>
    <x v="5"/>
    <s v="Sara Ali"/>
    <n v="225340"/>
    <n v="42285"/>
    <n v="86.8"/>
    <n v="9"/>
    <n v="30"/>
    <n v="5"/>
    <n v="22"/>
    <n v="100"/>
    <x v="0"/>
    <x v="0"/>
  </r>
  <r>
    <s v="EMP00128"/>
    <x v="122"/>
    <x v="0"/>
    <n v="31"/>
    <x v="4"/>
    <x v="6"/>
    <x v="156"/>
    <x v="0"/>
    <x v="1"/>
    <x v="0"/>
    <s v="Linkedin"/>
    <x v="5"/>
    <s v="Sara Ali"/>
    <n v="232290"/>
    <n v="36750"/>
    <n v="89.3"/>
    <n v="0"/>
    <n v="2"/>
    <n v="1"/>
    <n v="35"/>
    <n v="70"/>
    <x v="0"/>
    <x v="0"/>
  </r>
  <r>
    <s v="EMP00009"/>
    <x v="176"/>
    <x v="0"/>
    <n v="46"/>
    <x v="1"/>
    <x v="1"/>
    <x v="157"/>
    <x v="0"/>
    <x v="0"/>
    <x v="3"/>
    <s v="Website"/>
    <x v="6"/>
    <s v="Sara Ali"/>
    <n v="132402"/>
    <n v="19151"/>
    <n v="89.3"/>
    <n v="9"/>
    <n v="5"/>
    <n v="5"/>
    <n v="10"/>
    <n v="100"/>
    <x v="0"/>
    <x v="0"/>
  </r>
  <r>
    <s v="EMP00063"/>
    <x v="158"/>
    <x v="1"/>
    <n v="43"/>
    <x v="4"/>
    <x v="0"/>
    <x v="157"/>
    <x v="0"/>
    <x v="2"/>
    <x v="3"/>
    <s v="Linkedin"/>
    <x v="0"/>
    <s v="Bilal Khan"/>
    <n v="206374"/>
    <n v="28777"/>
    <n v="82.7"/>
    <n v="4"/>
    <n v="14"/>
    <n v="2"/>
    <n v="5"/>
    <n v="67"/>
    <x v="0"/>
    <x v="0"/>
  </r>
  <r>
    <s v="EMP01208"/>
    <x v="116"/>
    <x v="0"/>
    <n v="28"/>
    <x v="2"/>
    <x v="3"/>
    <x v="157"/>
    <x v="1"/>
    <x v="1"/>
    <x v="2"/>
    <s v="Website"/>
    <x v="0"/>
    <s v="Fatima Noor"/>
    <n v="184816"/>
    <n v="15093"/>
    <n v="96.6"/>
    <n v="9"/>
    <n v="2"/>
    <n v="2"/>
    <n v="10"/>
    <n v="91"/>
    <x v="1"/>
    <x v="3"/>
  </r>
  <r>
    <s v="EMP00391"/>
    <x v="40"/>
    <x v="0"/>
    <n v="43"/>
    <x v="5"/>
    <x v="0"/>
    <x v="158"/>
    <x v="0"/>
    <x v="2"/>
    <x v="0"/>
    <s v="Linkedin"/>
    <x v="7"/>
    <s v="Fatima Noor"/>
    <n v="80898"/>
    <n v="46348"/>
    <n v="98.9"/>
    <n v="7"/>
    <n v="26"/>
    <n v="5"/>
    <n v="23"/>
    <n v="85"/>
    <x v="1"/>
    <x v="0"/>
  </r>
  <r>
    <s v="EMP00629"/>
    <x v="89"/>
    <x v="0"/>
    <n v="24"/>
    <x v="7"/>
    <x v="4"/>
    <x v="158"/>
    <x v="0"/>
    <x v="2"/>
    <x v="2"/>
    <s v="Linkedin"/>
    <x v="5"/>
    <s v="Ahmed Raza"/>
    <n v="173228"/>
    <n v="22428"/>
    <n v="100"/>
    <n v="3"/>
    <n v="5"/>
    <n v="1"/>
    <n v="27"/>
    <n v="64"/>
    <x v="1"/>
    <x v="0"/>
  </r>
  <r>
    <s v="EMP00687"/>
    <x v="3"/>
    <x v="0"/>
    <n v="60"/>
    <x v="3"/>
    <x v="0"/>
    <x v="158"/>
    <x v="0"/>
    <x v="1"/>
    <x v="1"/>
    <s v="Linkedin"/>
    <x v="4"/>
    <s v="Sara Ali"/>
    <n v="139214"/>
    <n v="42285"/>
    <n v="90.6"/>
    <n v="7"/>
    <n v="23"/>
    <n v="1"/>
    <n v="27"/>
    <n v="74"/>
    <x v="0"/>
    <x v="0"/>
  </r>
  <r>
    <s v="EMP01014"/>
    <x v="130"/>
    <x v="0"/>
    <n v="45"/>
    <x v="2"/>
    <x v="1"/>
    <x v="158"/>
    <x v="0"/>
    <x v="1"/>
    <x v="0"/>
    <s v="Linkedin"/>
    <x v="7"/>
    <s v="Usman Tariq"/>
    <n v="77973"/>
    <n v="7396"/>
    <n v="94.1"/>
    <n v="10"/>
    <n v="25"/>
    <n v="3"/>
    <n v="12"/>
    <n v="75"/>
    <x v="0"/>
    <x v="0"/>
  </r>
  <r>
    <s v="EMP01376"/>
    <x v="115"/>
    <x v="1"/>
    <n v="52"/>
    <x v="4"/>
    <x v="2"/>
    <x v="158"/>
    <x v="1"/>
    <x v="1"/>
    <x v="4"/>
    <s v="Agency"/>
    <x v="0"/>
    <s v="Bilal Khan"/>
    <n v="75857"/>
    <n v="40946"/>
    <n v="99"/>
    <n v="3"/>
    <n v="6"/>
    <n v="3"/>
    <n v="12"/>
    <n v="93"/>
    <x v="0"/>
    <x v="5"/>
  </r>
  <r>
    <s v="EMP00221"/>
    <x v="177"/>
    <x v="0"/>
    <n v="40"/>
    <x v="2"/>
    <x v="4"/>
    <x v="159"/>
    <x v="0"/>
    <x v="2"/>
    <x v="3"/>
    <s v="Linkedin"/>
    <x v="1"/>
    <s v="Fatima Noor"/>
    <n v="70710"/>
    <n v="8703"/>
    <n v="99.4"/>
    <n v="8"/>
    <n v="22"/>
    <n v="4"/>
    <n v="23"/>
    <n v="99"/>
    <x v="0"/>
    <x v="0"/>
  </r>
  <r>
    <s v="EMP00399"/>
    <x v="147"/>
    <x v="0"/>
    <n v="44"/>
    <x v="7"/>
    <x v="1"/>
    <x v="159"/>
    <x v="0"/>
    <x v="2"/>
    <x v="4"/>
    <s v="Agency"/>
    <x v="0"/>
    <s v="Ahmed Raza"/>
    <n v="219960"/>
    <n v="37033"/>
    <n v="92.6"/>
    <n v="7"/>
    <n v="30"/>
    <n v="4"/>
    <n v="15"/>
    <n v="63"/>
    <x v="0"/>
    <x v="0"/>
  </r>
  <r>
    <s v="EMP01251"/>
    <x v="128"/>
    <x v="0"/>
    <n v="55"/>
    <x v="4"/>
    <x v="2"/>
    <x v="159"/>
    <x v="0"/>
    <x v="2"/>
    <x v="1"/>
    <s v="Website"/>
    <x v="1"/>
    <s v="Fatima Noor"/>
    <n v="145429"/>
    <n v="40123"/>
    <n v="93.5"/>
    <n v="5"/>
    <n v="21"/>
    <n v="4"/>
    <n v="25"/>
    <n v="62"/>
    <x v="0"/>
    <x v="0"/>
  </r>
  <r>
    <s v="EMP01645"/>
    <x v="5"/>
    <x v="0"/>
    <n v="30"/>
    <x v="1"/>
    <x v="6"/>
    <x v="159"/>
    <x v="0"/>
    <x v="2"/>
    <x v="1"/>
    <s v="Website"/>
    <x v="5"/>
    <s v="Fatima Noor"/>
    <n v="132230"/>
    <n v="37989"/>
    <n v="88"/>
    <n v="7"/>
    <n v="6"/>
    <n v="4"/>
    <n v="2"/>
    <n v="94"/>
    <x v="0"/>
    <x v="0"/>
  </r>
  <r>
    <s v="EMP01729"/>
    <x v="178"/>
    <x v="0"/>
    <n v="52"/>
    <x v="0"/>
    <x v="3"/>
    <x v="159"/>
    <x v="0"/>
    <x v="2"/>
    <x v="0"/>
    <s v="Referral"/>
    <x v="7"/>
    <s v="Usman Tariq"/>
    <n v="193064"/>
    <n v="33247"/>
    <n v="93.8"/>
    <n v="9"/>
    <n v="2"/>
    <n v="2"/>
    <n v="21"/>
    <n v="66"/>
    <x v="0"/>
    <x v="0"/>
  </r>
  <r>
    <s v="EMP01829"/>
    <x v="27"/>
    <x v="0"/>
    <n v="24"/>
    <x v="6"/>
    <x v="4"/>
    <x v="159"/>
    <x v="0"/>
    <x v="1"/>
    <x v="4"/>
    <s v="Linkedin"/>
    <x v="5"/>
    <s v="Usman Tariq"/>
    <n v="93127"/>
    <n v="36646"/>
    <n v="82.2"/>
    <n v="3"/>
    <n v="11"/>
    <n v="3"/>
    <n v="16"/>
    <n v="86"/>
    <x v="0"/>
    <x v="0"/>
  </r>
  <r>
    <s v="EMP00147"/>
    <x v="12"/>
    <x v="0"/>
    <n v="39"/>
    <x v="1"/>
    <x v="0"/>
    <x v="160"/>
    <x v="1"/>
    <x v="0"/>
    <x v="4"/>
    <s v="Website"/>
    <x v="1"/>
    <s v="Usman Tariq"/>
    <n v="178432"/>
    <n v="5174"/>
    <n v="97.7"/>
    <n v="0"/>
    <n v="17"/>
    <n v="1"/>
    <n v="25"/>
    <n v="97"/>
    <x v="1"/>
    <x v="3"/>
  </r>
  <r>
    <s v="EMP01633"/>
    <x v="112"/>
    <x v="1"/>
    <n v="28"/>
    <x v="0"/>
    <x v="7"/>
    <x v="160"/>
    <x v="0"/>
    <x v="1"/>
    <x v="0"/>
    <s v="Website"/>
    <x v="6"/>
    <s v="Usman Tariq"/>
    <n v="146203"/>
    <n v="31997"/>
    <n v="85.9"/>
    <n v="8"/>
    <n v="21"/>
    <n v="3"/>
    <n v="27"/>
    <n v="93"/>
    <x v="0"/>
    <x v="0"/>
  </r>
  <r>
    <s v="EMP01265"/>
    <x v="16"/>
    <x v="0"/>
    <n v="33"/>
    <x v="0"/>
    <x v="2"/>
    <x v="161"/>
    <x v="0"/>
    <x v="0"/>
    <x v="1"/>
    <s v="Campus"/>
    <x v="5"/>
    <s v="Fatima Noor"/>
    <n v="209176"/>
    <n v="23979"/>
    <n v="89.7"/>
    <n v="7"/>
    <n v="25"/>
    <n v="2"/>
    <n v="8"/>
    <n v="98"/>
    <x v="0"/>
    <x v="0"/>
  </r>
  <r>
    <s v="EMP01968"/>
    <x v="137"/>
    <x v="0"/>
    <n v="44"/>
    <x v="2"/>
    <x v="1"/>
    <x v="161"/>
    <x v="0"/>
    <x v="0"/>
    <x v="2"/>
    <s v="Campus"/>
    <x v="5"/>
    <s v="Bilal Khan"/>
    <n v="233076"/>
    <n v="25461"/>
    <n v="83"/>
    <n v="4"/>
    <n v="20"/>
    <n v="1"/>
    <n v="36"/>
    <n v="72"/>
    <x v="0"/>
    <x v="0"/>
  </r>
  <r>
    <s v="EMP00585"/>
    <x v="159"/>
    <x v="0"/>
    <n v="48"/>
    <x v="4"/>
    <x v="1"/>
    <x v="162"/>
    <x v="0"/>
    <x v="2"/>
    <x v="0"/>
    <s v="Campus"/>
    <x v="6"/>
    <s v="Ahmed Raza"/>
    <n v="149921"/>
    <n v="6159"/>
    <n v="97.8"/>
    <n v="6"/>
    <n v="5"/>
    <n v="1"/>
    <n v="35"/>
    <n v="97"/>
    <x v="0"/>
    <x v="0"/>
  </r>
  <r>
    <s v="EMP00669"/>
    <x v="61"/>
    <x v="0"/>
    <n v="43"/>
    <x v="6"/>
    <x v="2"/>
    <x v="162"/>
    <x v="0"/>
    <x v="0"/>
    <x v="2"/>
    <s v="Website"/>
    <x v="3"/>
    <s v="Ahmed Raza"/>
    <n v="77854"/>
    <n v="18885"/>
    <n v="81.2"/>
    <n v="1"/>
    <n v="11"/>
    <n v="1"/>
    <n v="9"/>
    <n v="63"/>
    <x v="0"/>
    <x v="0"/>
  </r>
  <r>
    <s v="EMP01107"/>
    <x v="173"/>
    <x v="0"/>
    <n v="23"/>
    <x v="3"/>
    <x v="4"/>
    <x v="162"/>
    <x v="0"/>
    <x v="0"/>
    <x v="1"/>
    <s v="Agency"/>
    <x v="6"/>
    <s v="Ahmed Raza"/>
    <n v="198747"/>
    <n v="47879"/>
    <n v="97.2"/>
    <n v="2"/>
    <n v="8"/>
    <n v="2"/>
    <n v="38"/>
    <n v="62"/>
    <x v="0"/>
    <x v="0"/>
  </r>
  <r>
    <s v="EMP00135"/>
    <x v="102"/>
    <x v="1"/>
    <n v="25"/>
    <x v="7"/>
    <x v="1"/>
    <x v="163"/>
    <x v="0"/>
    <x v="2"/>
    <x v="0"/>
    <s v="Linkedin"/>
    <x v="3"/>
    <s v="Fatima Noor"/>
    <n v="169524"/>
    <n v="15738"/>
    <n v="95.4"/>
    <n v="9"/>
    <n v="7"/>
    <n v="2"/>
    <n v="38"/>
    <n v="75"/>
    <x v="0"/>
    <x v="0"/>
  </r>
  <r>
    <s v="EMP01999"/>
    <x v="141"/>
    <x v="0"/>
    <n v="28"/>
    <x v="3"/>
    <x v="7"/>
    <x v="163"/>
    <x v="1"/>
    <x v="2"/>
    <x v="0"/>
    <s v="Referral"/>
    <x v="7"/>
    <s v="Usman Tariq"/>
    <n v="74383"/>
    <n v="16851"/>
    <n v="95.8"/>
    <n v="4"/>
    <n v="5"/>
    <n v="1"/>
    <n v="23"/>
    <n v="78"/>
    <x v="0"/>
    <x v="3"/>
  </r>
  <r>
    <s v="EMP00061"/>
    <x v="175"/>
    <x v="1"/>
    <n v="59"/>
    <x v="5"/>
    <x v="0"/>
    <x v="164"/>
    <x v="0"/>
    <x v="1"/>
    <x v="1"/>
    <s v="Campus"/>
    <x v="3"/>
    <s v="Sara Ali"/>
    <n v="120086"/>
    <n v="20992"/>
    <n v="84.7"/>
    <n v="5"/>
    <n v="16"/>
    <n v="1"/>
    <n v="3"/>
    <n v="84"/>
    <x v="0"/>
    <x v="0"/>
  </r>
  <r>
    <s v="EMP00192"/>
    <x v="41"/>
    <x v="0"/>
    <n v="23"/>
    <x v="5"/>
    <x v="5"/>
    <x v="165"/>
    <x v="0"/>
    <x v="2"/>
    <x v="2"/>
    <s v="Referral"/>
    <x v="4"/>
    <s v="Usman Tariq"/>
    <n v="38730"/>
    <n v="17436"/>
    <n v="95.9"/>
    <n v="4"/>
    <n v="26"/>
    <n v="4"/>
    <n v="39"/>
    <n v="72"/>
    <x v="0"/>
    <x v="0"/>
  </r>
  <r>
    <s v="EMP00588"/>
    <x v="12"/>
    <x v="0"/>
    <n v="23"/>
    <x v="5"/>
    <x v="4"/>
    <x v="165"/>
    <x v="0"/>
    <x v="2"/>
    <x v="0"/>
    <s v="Linkedin"/>
    <x v="1"/>
    <s v="Ahmed Raza"/>
    <n v="211141"/>
    <n v="20203"/>
    <n v="97.2"/>
    <n v="1"/>
    <n v="12"/>
    <n v="3"/>
    <n v="8"/>
    <n v="92"/>
    <x v="0"/>
    <x v="0"/>
  </r>
  <r>
    <s v="EMP00132"/>
    <x v="31"/>
    <x v="1"/>
    <n v="27"/>
    <x v="4"/>
    <x v="2"/>
    <x v="166"/>
    <x v="0"/>
    <x v="2"/>
    <x v="0"/>
    <s v="Linkedin"/>
    <x v="1"/>
    <s v="Bilal Khan"/>
    <n v="157755"/>
    <n v="7537"/>
    <n v="80.099999999999994"/>
    <n v="1"/>
    <n v="8"/>
    <n v="5"/>
    <n v="12"/>
    <n v="66"/>
    <x v="0"/>
    <x v="0"/>
  </r>
  <r>
    <s v="EMP00322"/>
    <x v="119"/>
    <x v="1"/>
    <n v="40"/>
    <x v="7"/>
    <x v="4"/>
    <x v="166"/>
    <x v="0"/>
    <x v="0"/>
    <x v="3"/>
    <s v="Website"/>
    <x v="3"/>
    <s v="Fatima Noor"/>
    <n v="43610"/>
    <n v="9281"/>
    <n v="85.8"/>
    <n v="8"/>
    <n v="23"/>
    <n v="2"/>
    <n v="40"/>
    <n v="82"/>
    <x v="0"/>
    <x v="0"/>
  </r>
  <r>
    <s v="EMP00503"/>
    <x v="117"/>
    <x v="1"/>
    <n v="25"/>
    <x v="2"/>
    <x v="7"/>
    <x v="166"/>
    <x v="0"/>
    <x v="0"/>
    <x v="1"/>
    <s v="Referral"/>
    <x v="4"/>
    <s v="Ahmed Raza"/>
    <n v="187515"/>
    <n v="30611"/>
    <n v="83.2"/>
    <n v="7"/>
    <n v="12"/>
    <n v="2"/>
    <n v="33"/>
    <n v="78"/>
    <x v="0"/>
    <x v="0"/>
  </r>
  <r>
    <s v="EMP00820"/>
    <x v="45"/>
    <x v="0"/>
    <n v="21"/>
    <x v="1"/>
    <x v="4"/>
    <x v="166"/>
    <x v="0"/>
    <x v="1"/>
    <x v="2"/>
    <s v="Campus"/>
    <x v="6"/>
    <s v="Sara Ali"/>
    <n v="198149"/>
    <n v="8429"/>
    <n v="94.5"/>
    <n v="10"/>
    <n v="3"/>
    <n v="4"/>
    <n v="21"/>
    <n v="95"/>
    <x v="0"/>
    <x v="0"/>
  </r>
  <r>
    <s v="EMP01134"/>
    <x v="63"/>
    <x v="0"/>
    <n v="35"/>
    <x v="3"/>
    <x v="4"/>
    <x v="166"/>
    <x v="0"/>
    <x v="0"/>
    <x v="3"/>
    <s v="Campus"/>
    <x v="7"/>
    <s v="Bilal Khan"/>
    <n v="90279"/>
    <n v="31105"/>
    <n v="88.4"/>
    <n v="8"/>
    <n v="23"/>
    <n v="3"/>
    <n v="27"/>
    <n v="79"/>
    <x v="0"/>
    <x v="0"/>
  </r>
  <r>
    <s v="EMP01895"/>
    <x v="53"/>
    <x v="0"/>
    <n v="47"/>
    <x v="3"/>
    <x v="3"/>
    <x v="166"/>
    <x v="0"/>
    <x v="2"/>
    <x v="2"/>
    <s v="Linkedin"/>
    <x v="1"/>
    <s v="Sara Ali"/>
    <n v="87395"/>
    <n v="35579"/>
    <n v="91"/>
    <n v="3"/>
    <n v="1"/>
    <n v="5"/>
    <n v="21"/>
    <n v="83"/>
    <x v="0"/>
    <x v="0"/>
  </r>
  <r>
    <s v="EMP00650"/>
    <x v="36"/>
    <x v="0"/>
    <n v="40"/>
    <x v="0"/>
    <x v="1"/>
    <x v="167"/>
    <x v="0"/>
    <x v="2"/>
    <x v="2"/>
    <s v="Agency"/>
    <x v="1"/>
    <s v="Sara Ali"/>
    <n v="102992"/>
    <n v="16911"/>
    <n v="84.2"/>
    <n v="3"/>
    <n v="18"/>
    <n v="2"/>
    <n v="7"/>
    <n v="99"/>
    <x v="0"/>
    <x v="0"/>
  </r>
  <r>
    <s v="EMP00789"/>
    <x v="86"/>
    <x v="1"/>
    <n v="23"/>
    <x v="5"/>
    <x v="3"/>
    <x v="167"/>
    <x v="0"/>
    <x v="1"/>
    <x v="2"/>
    <s v="Website"/>
    <x v="5"/>
    <s v="Ahmed Raza"/>
    <n v="48855"/>
    <n v="31970"/>
    <n v="81.7"/>
    <n v="8"/>
    <n v="18"/>
    <n v="3"/>
    <n v="25"/>
    <n v="84"/>
    <x v="0"/>
    <x v="0"/>
  </r>
  <r>
    <s v="EMP01045"/>
    <x v="179"/>
    <x v="0"/>
    <n v="25"/>
    <x v="3"/>
    <x v="5"/>
    <x v="167"/>
    <x v="0"/>
    <x v="2"/>
    <x v="4"/>
    <s v="Agency"/>
    <x v="3"/>
    <s v="Fatima Noor"/>
    <n v="138262"/>
    <n v="18789"/>
    <n v="94.5"/>
    <n v="9"/>
    <n v="1"/>
    <n v="5"/>
    <n v="1"/>
    <n v="78"/>
    <x v="0"/>
    <x v="0"/>
  </r>
  <r>
    <s v="EMP01128"/>
    <x v="155"/>
    <x v="1"/>
    <n v="38"/>
    <x v="2"/>
    <x v="7"/>
    <x v="167"/>
    <x v="0"/>
    <x v="2"/>
    <x v="0"/>
    <s v="Website"/>
    <x v="1"/>
    <s v="Fatima Noor"/>
    <n v="167743"/>
    <n v="37384"/>
    <n v="91.2"/>
    <n v="4"/>
    <n v="24"/>
    <n v="1"/>
    <n v="20"/>
    <n v="76"/>
    <x v="0"/>
    <x v="0"/>
  </r>
  <r>
    <s v="EMP01323"/>
    <x v="128"/>
    <x v="1"/>
    <n v="48"/>
    <x v="1"/>
    <x v="1"/>
    <x v="168"/>
    <x v="0"/>
    <x v="2"/>
    <x v="4"/>
    <s v="Website"/>
    <x v="7"/>
    <s v="Fatima Noor"/>
    <n v="144086"/>
    <n v="30877"/>
    <n v="85.7"/>
    <n v="10"/>
    <n v="0"/>
    <n v="5"/>
    <n v="9"/>
    <n v="63"/>
    <x v="0"/>
    <x v="0"/>
  </r>
  <r>
    <s v="EMP01474"/>
    <x v="56"/>
    <x v="1"/>
    <n v="36"/>
    <x v="0"/>
    <x v="7"/>
    <x v="168"/>
    <x v="0"/>
    <x v="0"/>
    <x v="1"/>
    <s v="Campus"/>
    <x v="4"/>
    <s v="Sara Ali"/>
    <n v="120018"/>
    <n v="18709"/>
    <n v="90.5"/>
    <n v="1"/>
    <n v="26"/>
    <n v="4"/>
    <n v="9"/>
    <n v="77"/>
    <x v="0"/>
    <x v="0"/>
  </r>
  <r>
    <s v="EMP00180"/>
    <x v="75"/>
    <x v="0"/>
    <n v="23"/>
    <x v="1"/>
    <x v="2"/>
    <x v="169"/>
    <x v="0"/>
    <x v="0"/>
    <x v="0"/>
    <s v="Linkedin"/>
    <x v="4"/>
    <s v="Usman Tariq"/>
    <n v="198085"/>
    <n v="44068"/>
    <n v="88.8"/>
    <n v="0"/>
    <n v="24"/>
    <n v="4"/>
    <n v="22"/>
    <n v="69"/>
    <x v="0"/>
    <x v="0"/>
  </r>
  <r>
    <s v="EMP01990"/>
    <x v="180"/>
    <x v="1"/>
    <n v="53"/>
    <x v="0"/>
    <x v="7"/>
    <x v="169"/>
    <x v="0"/>
    <x v="0"/>
    <x v="1"/>
    <s v="Linkedin"/>
    <x v="7"/>
    <s v="Fatima Noor"/>
    <n v="96200"/>
    <n v="14343"/>
    <n v="88.3"/>
    <n v="4"/>
    <n v="10"/>
    <n v="5"/>
    <n v="0"/>
    <n v="100"/>
    <x v="1"/>
    <x v="0"/>
  </r>
  <r>
    <s v="EMP00525"/>
    <x v="24"/>
    <x v="0"/>
    <n v="52"/>
    <x v="8"/>
    <x v="0"/>
    <x v="170"/>
    <x v="0"/>
    <x v="1"/>
    <x v="2"/>
    <s v="Campus"/>
    <x v="4"/>
    <s v="Fatima Noor"/>
    <n v="192594"/>
    <n v="14858"/>
    <n v="93.7"/>
    <n v="6"/>
    <n v="17"/>
    <n v="3"/>
    <n v="30"/>
    <n v="98"/>
    <x v="1"/>
    <x v="0"/>
  </r>
  <r>
    <s v="EMP01764"/>
    <x v="105"/>
    <x v="1"/>
    <n v="30"/>
    <x v="2"/>
    <x v="7"/>
    <x v="170"/>
    <x v="0"/>
    <x v="0"/>
    <x v="2"/>
    <s v="Campus"/>
    <x v="3"/>
    <s v="Bilal Khan"/>
    <n v="164419"/>
    <n v="22545"/>
    <n v="86.6"/>
    <n v="8"/>
    <n v="0"/>
    <n v="1"/>
    <n v="23"/>
    <n v="80"/>
    <x v="1"/>
    <x v="0"/>
  </r>
  <r>
    <s v="EMP01827"/>
    <x v="181"/>
    <x v="1"/>
    <n v="51"/>
    <x v="8"/>
    <x v="5"/>
    <x v="170"/>
    <x v="0"/>
    <x v="0"/>
    <x v="0"/>
    <s v="Referral"/>
    <x v="5"/>
    <s v="Fatima Noor"/>
    <n v="99938"/>
    <n v="34856"/>
    <n v="91.2"/>
    <n v="6"/>
    <n v="21"/>
    <n v="5"/>
    <n v="13"/>
    <n v="80"/>
    <x v="0"/>
    <x v="0"/>
  </r>
  <r>
    <s v="EMP00173"/>
    <x v="182"/>
    <x v="0"/>
    <n v="25"/>
    <x v="7"/>
    <x v="5"/>
    <x v="171"/>
    <x v="0"/>
    <x v="0"/>
    <x v="2"/>
    <s v="Referral"/>
    <x v="3"/>
    <s v="Sara Ali"/>
    <n v="141020"/>
    <n v="30769"/>
    <n v="96.6"/>
    <n v="10"/>
    <n v="4"/>
    <n v="2"/>
    <n v="31"/>
    <n v="77"/>
    <x v="0"/>
    <x v="0"/>
  </r>
  <r>
    <s v="EMP00270"/>
    <x v="149"/>
    <x v="1"/>
    <n v="41"/>
    <x v="3"/>
    <x v="4"/>
    <x v="171"/>
    <x v="0"/>
    <x v="0"/>
    <x v="4"/>
    <s v="Website"/>
    <x v="7"/>
    <s v="Bilal Khan"/>
    <n v="225274"/>
    <n v="36913"/>
    <n v="94.7"/>
    <n v="7"/>
    <n v="30"/>
    <n v="3"/>
    <n v="31"/>
    <n v="82"/>
    <x v="1"/>
    <x v="0"/>
  </r>
  <r>
    <s v="EMP00877"/>
    <x v="53"/>
    <x v="1"/>
    <n v="37"/>
    <x v="2"/>
    <x v="7"/>
    <x v="171"/>
    <x v="0"/>
    <x v="0"/>
    <x v="1"/>
    <s v="Campus"/>
    <x v="3"/>
    <s v="Usman Tariq"/>
    <n v="151405"/>
    <n v="39794"/>
    <n v="96"/>
    <n v="4"/>
    <n v="0"/>
    <n v="4"/>
    <n v="40"/>
    <n v="70"/>
    <x v="1"/>
    <x v="0"/>
  </r>
  <r>
    <s v="EMP01598"/>
    <x v="94"/>
    <x v="0"/>
    <n v="25"/>
    <x v="5"/>
    <x v="0"/>
    <x v="171"/>
    <x v="0"/>
    <x v="0"/>
    <x v="2"/>
    <s v="Referral"/>
    <x v="0"/>
    <s v="Fatima Noor"/>
    <n v="239302"/>
    <n v="6959"/>
    <n v="88.9"/>
    <n v="6"/>
    <n v="3"/>
    <n v="3"/>
    <n v="24"/>
    <n v="82"/>
    <x v="0"/>
    <x v="0"/>
  </r>
  <r>
    <s v="EMP00048"/>
    <x v="101"/>
    <x v="0"/>
    <n v="37"/>
    <x v="4"/>
    <x v="5"/>
    <x v="172"/>
    <x v="0"/>
    <x v="1"/>
    <x v="4"/>
    <s v="Campus"/>
    <x v="6"/>
    <s v="Sara Ali"/>
    <n v="81302"/>
    <n v="10701"/>
    <n v="91.8"/>
    <n v="6"/>
    <n v="7"/>
    <n v="2"/>
    <n v="32"/>
    <n v="90"/>
    <x v="0"/>
    <x v="0"/>
  </r>
  <r>
    <s v="EMP00219"/>
    <x v="32"/>
    <x v="0"/>
    <n v="27"/>
    <x v="1"/>
    <x v="2"/>
    <x v="172"/>
    <x v="0"/>
    <x v="2"/>
    <x v="3"/>
    <s v="Referral"/>
    <x v="1"/>
    <s v="Ahmed Raza"/>
    <n v="35807"/>
    <n v="28898"/>
    <n v="96.3"/>
    <n v="8"/>
    <n v="22"/>
    <n v="5"/>
    <n v="11"/>
    <n v="62"/>
    <x v="0"/>
    <x v="0"/>
  </r>
  <r>
    <s v="EMP00269"/>
    <x v="101"/>
    <x v="1"/>
    <n v="45"/>
    <x v="8"/>
    <x v="2"/>
    <x v="172"/>
    <x v="0"/>
    <x v="1"/>
    <x v="0"/>
    <s v="Website"/>
    <x v="2"/>
    <s v="Sara Ali"/>
    <n v="130771"/>
    <n v="6375"/>
    <n v="86.5"/>
    <n v="4"/>
    <n v="6"/>
    <n v="4"/>
    <n v="29"/>
    <n v="60"/>
    <x v="0"/>
    <x v="0"/>
  </r>
  <r>
    <s v="EMP01272"/>
    <x v="89"/>
    <x v="0"/>
    <n v="41"/>
    <x v="6"/>
    <x v="0"/>
    <x v="172"/>
    <x v="0"/>
    <x v="1"/>
    <x v="3"/>
    <s v="Website"/>
    <x v="2"/>
    <s v="Usman Tariq"/>
    <n v="51682"/>
    <n v="35012"/>
    <n v="93.2"/>
    <n v="3"/>
    <n v="20"/>
    <n v="2"/>
    <n v="18"/>
    <n v="72"/>
    <x v="0"/>
    <x v="0"/>
  </r>
  <r>
    <s v="EMP01353"/>
    <x v="171"/>
    <x v="0"/>
    <n v="38"/>
    <x v="6"/>
    <x v="1"/>
    <x v="172"/>
    <x v="0"/>
    <x v="0"/>
    <x v="3"/>
    <s v="Website"/>
    <x v="2"/>
    <s v="Ahmed Raza"/>
    <n v="245532"/>
    <n v="25297"/>
    <n v="83.8"/>
    <n v="7"/>
    <n v="27"/>
    <n v="3"/>
    <n v="26"/>
    <n v="93"/>
    <x v="0"/>
    <x v="0"/>
  </r>
  <r>
    <s v="EMP00035"/>
    <x v="42"/>
    <x v="1"/>
    <n v="50"/>
    <x v="6"/>
    <x v="2"/>
    <x v="173"/>
    <x v="0"/>
    <x v="1"/>
    <x v="4"/>
    <s v="Website"/>
    <x v="4"/>
    <s v="Usman Tariq"/>
    <n v="207865"/>
    <n v="48929"/>
    <n v="93.1"/>
    <n v="6"/>
    <n v="27"/>
    <n v="3"/>
    <n v="29"/>
    <n v="70"/>
    <x v="0"/>
    <x v="0"/>
  </r>
  <r>
    <s v="EMP00304"/>
    <x v="77"/>
    <x v="0"/>
    <n v="45"/>
    <x v="5"/>
    <x v="1"/>
    <x v="174"/>
    <x v="0"/>
    <x v="0"/>
    <x v="0"/>
    <s v="Agency"/>
    <x v="4"/>
    <s v="Sara Ali"/>
    <n v="121856"/>
    <n v="28712"/>
    <n v="99.9"/>
    <n v="0"/>
    <n v="25"/>
    <n v="5"/>
    <n v="39"/>
    <n v="96"/>
    <x v="0"/>
    <x v="0"/>
  </r>
  <r>
    <s v="EMP00617"/>
    <x v="183"/>
    <x v="1"/>
    <n v="55"/>
    <x v="8"/>
    <x v="6"/>
    <x v="174"/>
    <x v="0"/>
    <x v="2"/>
    <x v="2"/>
    <s v="Agency"/>
    <x v="7"/>
    <s v="Usman Tariq"/>
    <n v="131249"/>
    <n v="19514"/>
    <n v="95"/>
    <n v="6"/>
    <n v="24"/>
    <n v="4"/>
    <n v="11"/>
    <n v="78"/>
    <x v="0"/>
    <x v="0"/>
  </r>
  <r>
    <s v="EMP00787"/>
    <x v="120"/>
    <x v="1"/>
    <n v="55"/>
    <x v="7"/>
    <x v="3"/>
    <x v="174"/>
    <x v="0"/>
    <x v="0"/>
    <x v="0"/>
    <s v="Campus"/>
    <x v="5"/>
    <s v="Fatima Noor"/>
    <n v="73372"/>
    <n v="29324"/>
    <n v="84.1"/>
    <n v="1"/>
    <n v="30"/>
    <n v="1"/>
    <n v="17"/>
    <n v="86"/>
    <x v="0"/>
    <x v="0"/>
  </r>
  <r>
    <s v="EMP01036"/>
    <x v="144"/>
    <x v="1"/>
    <n v="28"/>
    <x v="8"/>
    <x v="5"/>
    <x v="174"/>
    <x v="0"/>
    <x v="1"/>
    <x v="3"/>
    <s v="Campus"/>
    <x v="4"/>
    <s v="Bilal Khan"/>
    <n v="86098"/>
    <n v="10946"/>
    <n v="98.8"/>
    <n v="5"/>
    <n v="28"/>
    <n v="2"/>
    <n v="23"/>
    <n v="87"/>
    <x v="1"/>
    <x v="0"/>
  </r>
  <r>
    <s v="EMP00297"/>
    <x v="128"/>
    <x v="0"/>
    <n v="59"/>
    <x v="8"/>
    <x v="1"/>
    <x v="175"/>
    <x v="0"/>
    <x v="0"/>
    <x v="4"/>
    <s v="Agency"/>
    <x v="1"/>
    <s v="Ahmed Raza"/>
    <n v="131713"/>
    <n v="11769"/>
    <n v="84.5"/>
    <n v="3"/>
    <n v="16"/>
    <n v="5"/>
    <n v="6"/>
    <n v="68"/>
    <x v="0"/>
    <x v="0"/>
  </r>
  <r>
    <s v="EMP00577"/>
    <x v="160"/>
    <x v="1"/>
    <n v="44"/>
    <x v="7"/>
    <x v="1"/>
    <x v="175"/>
    <x v="0"/>
    <x v="1"/>
    <x v="0"/>
    <s v="Website"/>
    <x v="4"/>
    <s v="Usman Tariq"/>
    <n v="245890"/>
    <n v="28924"/>
    <n v="92.2"/>
    <n v="9"/>
    <n v="21"/>
    <n v="4"/>
    <n v="40"/>
    <n v="75"/>
    <x v="1"/>
    <x v="0"/>
  </r>
  <r>
    <s v="EMP01854"/>
    <x v="120"/>
    <x v="1"/>
    <n v="26"/>
    <x v="3"/>
    <x v="2"/>
    <x v="175"/>
    <x v="0"/>
    <x v="2"/>
    <x v="0"/>
    <s v="Agency"/>
    <x v="4"/>
    <s v="Sara Ali"/>
    <n v="174714"/>
    <n v="24583"/>
    <n v="83.7"/>
    <n v="10"/>
    <n v="18"/>
    <n v="1"/>
    <n v="22"/>
    <n v="81"/>
    <x v="0"/>
    <x v="0"/>
  </r>
  <r>
    <s v="EMP00149"/>
    <x v="58"/>
    <x v="0"/>
    <n v="53"/>
    <x v="2"/>
    <x v="3"/>
    <x v="176"/>
    <x v="0"/>
    <x v="2"/>
    <x v="2"/>
    <s v="Referral"/>
    <x v="5"/>
    <s v="Bilal Khan"/>
    <n v="195279"/>
    <n v="25567"/>
    <n v="87.2"/>
    <n v="5"/>
    <n v="15"/>
    <n v="4"/>
    <n v="38"/>
    <n v="76"/>
    <x v="0"/>
    <x v="0"/>
  </r>
  <r>
    <s v="EMP01317"/>
    <x v="133"/>
    <x v="0"/>
    <n v="59"/>
    <x v="8"/>
    <x v="1"/>
    <x v="176"/>
    <x v="0"/>
    <x v="1"/>
    <x v="0"/>
    <s v="Website"/>
    <x v="1"/>
    <s v="Fatima Noor"/>
    <n v="202273"/>
    <n v="23353"/>
    <n v="84.7"/>
    <n v="1"/>
    <n v="2"/>
    <n v="3"/>
    <n v="17"/>
    <n v="97"/>
    <x v="0"/>
    <x v="0"/>
  </r>
  <r>
    <s v="EMP00589"/>
    <x v="105"/>
    <x v="1"/>
    <n v="30"/>
    <x v="1"/>
    <x v="0"/>
    <x v="177"/>
    <x v="0"/>
    <x v="2"/>
    <x v="2"/>
    <s v="Agency"/>
    <x v="2"/>
    <s v="Ahmed Raza"/>
    <n v="233208"/>
    <n v="27571"/>
    <n v="82.3"/>
    <n v="7"/>
    <n v="20"/>
    <n v="2"/>
    <n v="28"/>
    <n v="68"/>
    <x v="1"/>
    <x v="0"/>
  </r>
  <r>
    <s v="EMP00456"/>
    <x v="130"/>
    <x v="0"/>
    <n v="32"/>
    <x v="5"/>
    <x v="7"/>
    <x v="178"/>
    <x v="0"/>
    <x v="2"/>
    <x v="3"/>
    <s v="Website"/>
    <x v="4"/>
    <s v="Sara Ali"/>
    <n v="160984"/>
    <n v="36119"/>
    <n v="98.4"/>
    <n v="9"/>
    <n v="17"/>
    <n v="3"/>
    <n v="12"/>
    <n v="79"/>
    <x v="0"/>
    <x v="0"/>
  </r>
  <r>
    <s v="EMP01027"/>
    <x v="41"/>
    <x v="0"/>
    <n v="43"/>
    <x v="2"/>
    <x v="1"/>
    <x v="178"/>
    <x v="0"/>
    <x v="0"/>
    <x v="4"/>
    <s v="Campus"/>
    <x v="4"/>
    <s v="Ahmed Raza"/>
    <n v="246543"/>
    <n v="31928"/>
    <n v="92.1"/>
    <n v="10"/>
    <n v="21"/>
    <n v="4"/>
    <n v="34"/>
    <n v="92"/>
    <x v="0"/>
    <x v="0"/>
  </r>
  <r>
    <s v="EMP00604"/>
    <x v="67"/>
    <x v="1"/>
    <n v="56"/>
    <x v="3"/>
    <x v="1"/>
    <x v="179"/>
    <x v="1"/>
    <x v="0"/>
    <x v="3"/>
    <s v="Linkedin"/>
    <x v="1"/>
    <s v="Usman Tariq"/>
    <n v="56245"/>
    <n v="38755"/>
    <n v="96.6"/>
    <n v="8"/>
    <n v="24"/>
    <n v="4"/>
    <n v="11"/>
    <n v="65"/>
    <x v="0"/>
    <x v="5"/>
  </r>
  <r>
    <s v="EMP00730"/>
    <x v="11"/>
    <x v="1"/>
    <n v="23"/>
    <x v="3"/>
    <x v="2"/>
    <x v="179"/>
    <x v="1"/>
    <x v="0"/>
    <x v="2"/>
    <s v="Website"/>
    <x v="2"/>
    <s v="Bilal Khan"/>
    <n v="74489"/>
    <n v="33742"/>
    <n v="97.3"/>
    <n v="7"/>
    <n v="13"/>
    <n v="2"/>
    <n v="29"/>
    <n v="94"/>
    <x v="0"/>
    <x v="3"/>
  </r>
  <r>
    <s v="EMP00845"/>
    <x v="35"/>
    <x v="1"/>
    <n v="22"/>
    <x v="7"/>
    <x v="5"/>
    <x v="179"/>
    <x v="0"/>
    <x v="2"/>
    <x v="3"/>
    <s v="Campus"/>
    <x v="3"/>
    <s v="Ahmed Raza"/>
    <n v="144314"/>
    <n v="34034"/>
    <n v="97.9"/>
    <n v="0"/>
    <n v="1"/>
    <n v="4"/>
    <n v="18"/>
    <n v="60"/>
    <x v="1"/>
    <x v="0"/>
  </r>
  <r>
    <s v="EMP01546"/>
    <x v="111"/>
    <x v="0"/>
    <n v="60"/>
    <x v="6"/>
    <x v="6"/>
    <x v="179"/>
    <x v="0"/>
    <x v="1"/>
    <x v="0"/>
    <s v="Linkedin"/>
    <x v="6"/>
    <s v="Ahmed Raza"/>
    <n v="125695"/>
    <n v="35154"/>
    <n v="86.3"/>
    <n v="3"/>
    <n v="29"/>
    <n v="4"/>
    <n v="18"/>
    <n v="99"/>
    <x v="0"/>
    <x v="0"/>
  </r>
  <r>
    <s v="EMP00124"/>
    <x v="28"/>
    <x v="0"/>
    <n v="23"/>
    <x v="0"/>
    <x v="3"/>
    <x v="180"/>
    <x v="0"/>
    <x v="0"/>
    <x v="0"/>
    <s v="Website"/>
    <x v="7"/>
    <s v="Bilal Khan"/>
    <n v="116202"/>
    <n v="36506"/>
    <n v="85.6"/>
    <n v="0"/>
    <n v="3"/>
    <n v="2"/>
    <n v="39"/>
    <n v="87"/>
    <x v="0"/>
    <x v="0"/>
  </r>
  <r>
    <s v="EMP00702"/>
    <x v="145"/>
    <x v="1"/>
    <n v="36"/>
    <x v="5"/>
    <x v="7"/>
    <x v="180"/>
    <x v="0"/>
    <x v="1"/>
    <x v="3"/>
    <s v="Agency"/>
    <x v="6"/>
    <s v="Bilal Khan"/>
    <n v="103919"/>
    <n v="36619"/>
    <n v="83.4"/>
    <n v="7"/>
    <n v="4"/>
    <n v="2"/>
    <n v="23"/>
    <n v="99"/>
    <x v="0"/>
    <x v="0"/>
  </r>
  <r>
    <s v="EMP01258"/>
    <x v="112"/>
    <x v="1"/>
    <n v="25"/>
    <x v="0"/>
    <x v="7"/>
    <x v="181"/>
    <x v="0"/>
    <x v="0"/>
    <x v="2"/>
    <s v="Referral"/>
    <x v="5"/>
    <s v="Bilal Khan"/>
    <n v="180556"/>
    <n v="9751"/>
    <n v="89.7"/>
    <n v="2"/>
    <n v="27"/>
    <n v="4"/>
    <n v="26"/>
    <n v="87"/>
    <x v="0"/>
    <x v="0"/>
  </r>
  <r>
    <s v="EMP00226"/>
    <x v="1"/>
    <x v="0"/>
    <n v="56"/>
    <x v="1"/>
    <x v="5"/>
    <x v="182"/>
    <x v="0"/>
    <x v="0"/>
    <x v="2"/>
    <s v="Campus"/>
    <x v="1"/>
    <s v="Bilal Khan"/>
    <n v="197088"/>
    <n v="34976"/>
    <n v="82.4"/>
    <n v="4"/>
    <n v="18"/>
    <n v="3"/>
    <n v="32"/>
    <n v="68"/>
    <x v="1"/>
    <x v="0"/>
  </r>
  <r>
    <s v="EMP00795"/>
    <x v="111"/>
    <x v="0"/>
    <n v="56"/>
    <x v="7"/>
    <x v="7"/>
    <x v="182"/>
    <x v="0"/>
    <x v="1"/>
    <x v="0"/>
    <s v="Website"/>
    <x v="1"/>
    <s v="Sara Ali"/>
    <n v="191930"/>
    <n v="13872"/>
    <n v="93.3"/>
    <n v="10"/>
    <n v="2"/>
    <n v="4"/>
    <n v="38"/>
    <n v="96"/>
    <x v="0"/>
    <x v="0"/>
  </r>
  <r>
    <s v="EMP01410"/>
    <x v="71"/>
    <x v="0"/>
    <n v="39"/>
    <x v="0"/>
    <x v="1"/>
    <x v="182"/>
    <x v="0"/>
    <x v="1"/>
    <x v="3"/>
    <s v="Linkedin"/>
    <x v="1"/>
    <s v="Sara Ali"/>
    <n v="121546"/>
    <n v="10019"/>
    <n v="95.1"/>
    <n v="3"/>
    <n v="12"/>
    <n v="3"/>
    <n v="22"/>
    <n v="85"/>
    <x v="0"/>
    <x v="0"/>
  </r>
  <r>
    <s v="EMP00283"/>
    <x v="184"/>
    <x v="0"/>
    <n v="23"/>
    <x v="4"/>
    <x v="5"/>
    <x v="183"/>
    <x v="0"/>
    <x v="2"/>
    <x v="0"/>
    <s v="Campus"/>
    <x v="7"/>
    <s v="Sara Ali"/>
    <n v="227611"/>
    <n v="26695"/>
    <n v="94.4"/>
    <n v="5"/>
    <n v="8"/>
    <n v="2"/>
    <n v="38"/>
    <n v="92"/>
    <x v="0"/>
    <x v="0"/>
  </r>
  <r>
    <s v="EMP00468"/>
    <x v="118"/>
    <x v="1"/>
    <n v="49"/>
    <x v="5"/>
    <x v="3"/>
    <x v="183"/>
    <x v="0"/>
    <x v="2"/>
    <x v="0"/>
    <s v="Referral"/>
    <x v="6"/>
    <s v="Sara Ali"/>
    <n v="79583"/>
    <n v="37502"/>
    <n v="91.6"/>
    <n v="5"/>
    <n v="5"/>
    <n v="3"/>
    <n v="37"/>
    <n v="73"/>
    <x v="0"/>
    <x v="0"/>
  </r>
  <r>
    <s v="EMP01064"/>
    <x v="128"/>
    <x v="0"/>
    <n v="25"/>
    <x v="1"/>
    <x v="0"/>
    <x v="183"/>
    <x v="0"/>
    <x v="1"/>
    <x v="4"/>
    <s v="Referral"/>
    <x v="0"/>
    <s v="Sara Ali"/>
    <n v="73349"/>
    <n v="8593"/>
    <n v="97.4"/>
    <n v="9"/>
    <n v="8"/>
    <n v="5"/>
    <n v="23"/>
    <n v="92"/>
    <x v="0"/>
    <x v="0"/>
  </r>
  <r>
    <s v="EMP00004"/>
    <x v="185"/>
    <x v="1"/>
    <n v="38"/>
    <x v="5"/>
    <x v="3"/>
    <x v="184"/>
    <x v="0"/>
    <x v="0"/>
    <x v="4"/>
    <s v="Referral"/>
    <x v="2"/>
    <s v="Fatima Noor"/>
    <n v="124400"/>
    <n v="5610"/>
    <n v="87.3"/>
    <n v="8"/>
    <n v="8"/>
    <n v="3"/>
    <n v="39"/>
    <n v="62"/>
    <x v="0"/>
    <x v="0"/>
  </r>
  <r>
    <s v="EMP00113"/>
    <x v="158"/>
    <x v="1"/>
    <n v="24"/>
    <x v="1"/>
    <x v="4"/>
    <x v="184"/>
    <x v="0"/>
    <x v="1"/>
    <x v="2"/>
    <s v="Website"/>
    <x v="2"/>
    <s v="Bilal Khan"/>
    <n v="93712"/>
    <n v="5409"/>
    <n v="85.3"/>
    <n v="8"/>
    <n v="7"/>
    <n v="5"/>
    <n v="14"/>
    <n v="67"/>
    <x v="1"/>
    <x v="0"/>
  </r>
  <r>
    <s v="EMP00321"/>
    <x v="141"/>
    <x v="1"/>
    <n v="28"/>
    <x v="2"/>
    <x v="5"/>
    <x v="184"/>
    <x v="0"/>
    <x v="1"/>
    <x v="1"/>
    <s v="Campus"/>
    <x v="4"/>
    <s v="Fatima Noor"/>
    <n v="124222"/>
    <n v="38454"/>
    <n v="80.2"/>
    <n v="5"/>
    <n v="0"/>
    <n v="5"/>
    <n v="22"/>
    <n v="84"/>
    <x v="0"/>
    <x v="0"/>
  </r>
  <r>
    <s v="EMP00878"/>
    <x v="146"/>
    <x v="1"/>
    <n v="50"/>
    <x v="3"/>
    <x v="6"/>
    <x v="184"/>
    <x v="0"/>
    <x v="0"/>
    <x v="3"/>
    <s v="Campus"/>
    <x v="2"/>
    <s v="Bilal Khan"/>
    <n v="158637"/>
    <n v="17741"/>
    <n v="91"/>
    <n v="7"/>
    <n v="15"/>
    <n v="2"/>
    <n v="37"/>
    <n v="65"/>
    <x v="0"/>
    <x v="0"/>
  </r>
  <r>
    <s v="EMP00613"/>
    <x v="179"/>
    <x v="0"/>
    <n v="33"/>
    <x v="3"/>
    <x v="2"/>
    <x v="185"/>
    <x v="0"/>
    <x v="1"/>
    <x v="2"/>
    <s v="Linkedin"/>
    <x v="3"/>
    <s v="Bilal Khan"/>
    <n v="215249"/>
    <n v="44520"/>
    <n v="95"/>
    <n v="10"/>
    <n v="6"/>
    <n v="4"/>
    <n v="29"/>
    <n v="60"/>
    <x v="1"/>
    <x v="0"/>
  </r>
  <r>
    <s v="EMP00498"/>
    <x v="174"/>
    <x v="0"/>
    <n v="49"/>
    <x v="1"/>
    <x v="1"/>
    <x v="186"/>
    <x v="0"/>
    <x v="2"/>
    <x v="3"/>
    <s v="Referral"/>
    <x v="6"/>
    <s v="Ahmed Raza"/>
    <n v="137277"/>
    <n v="31561"/>
    <n v="96.5"/>
    <n v="6"/>
    <n v="21"/>
    <n v="3"/>
    <n v="11"/>
    <n v="98"/>
    <x v="1"/>
    <x v="0"/>
  </r>
  <r>
    <s v="EMP00729"/>
    <x v="15"/>
    <x v="1"/>
    <n v="28"/>
    <x v="7"/>
    <x v="4"/>
    <x v="186"/>
    <x v="0"/>
    <x v="1"/>
    <x v="2"/>
    <s v="Website"/>
    <x v="6"/>
    <s v="Usman Tariq"/>
    <n v="182777"/>
    <n v="39002"/>
    <n v="91.5"/>
    <n v="1"/>
    <n v="17"/>
    <n v="3"/>
    <n v="5"/>
    <n v="91"/>
    <x v="0"/>
    <x v="0"/>
  </r>
  <r>
    <s v="EMP01938"/>
    <x v="124"/>
    <x v="1"/>
    <n v="34"/>
    <x v="6"/>
    <x v="0"/>
    <x v="186"/>
    <x v="0"/>
    <x v="0"/>
    <x v="3"/>
    <s v="Referral"/>
    <x v="7"/>
    <s v="Ahmed Raza"/>
    <n v="152060"/>
    <n v="35838"/>
    <n v="99"/>
    <n v="4"/>
    <n v="24"/>
    <n v="4"/>
    <n v="18"/>
    <n v="73"/>
    <x v="0"/>
    <x v="0"/>
  </r>
  <r>
    <s v="EMP00278"/>
    <x v="61"/>
    <x v="0"/>
    <n v="30"/>
    <x v="7"/>
    <x v="4"/>
    <x v="187"/>
    <x v="0"/>
    <x v="1"/>
    <x v="3"/>
    <s v="Referral"/>
    <x v="4"/>
    <s v="Bilal Khan"/>
    <n v="125041"/>
    <n v="18439"/>
    <n v="99.7"/>
    <n v="9"/>
    <n v="13"/>
    <n v="1"/>
    <n v="28"/>
    <n v="78"/>
    <x v="0"/>
    <x v="0"/>
  </r>
  <r>
    <s v="EMP00492"/>
    <x v="186"/>
    <x v="0"/>
    <n v="48"/>
    <x v="7"/>
    <x v="1"/>
    <x v="187"/>
    <x v="0"/>
    <x v="2"/>
    <x v="1"/>
    <s v="Agency"/>
    <x v="6"/>
    <s v="Sara Ali"/>
    <n v="227799"/>
    <n v="28651"/>
    <n v="83.8"/>
    <n v="9"/>
    <n v="27"/>
    <n v="2"/>
    <n v="26"/>
    <n v="91"/>
    <x v="1"/>
    <x v="0"/>
  </r>
  <r>
    <s v="EMP00983"/>
    <x v="112"/>
    <x v="1"/>
    <n v="40"/>
    <x v="1"/>
    <x v="4"/>
    <x v="187"/>
    <x v="0"/>
    <x v="0"/>
    <x v="3"/>
    <s v="Agency"/>
    <x v="3"/>
    <s v="Bilal Khan"/>
    <n v="98748"/>
    <n v="49488"/>
    <n v="81.3"/>
    <n v="0"/>
    <n v="6"/>
    <n v="2"/>
    <n v="22"/>
    <n v="62"/>
    <x v="1"/>
    <x v="0"/>
  </r>
  <r>
    <s v="EMP00471"/>
    <x v="62"/>
    <x v="1"/>
    <n v="50"/>
    <x v="0"/>
    <x v="6"/>
    <x v="188"/>
    <x v="0"/>
    <x v="0"/>
    <x v="0"/>
    <s v="Campus"/>
    <x v="0"/>
    <s v="Sara Ali"/>
    <n v="81506"/>
    <n v="42500"/>
    <n v="92.5"/>
    <n v="7"/>
    <n v="14"/>
    <n v="1"/>
    <n v="6"/>
    <n v="67"/>
    <x v="0"/>
    <x v="0"/>
  </r>
  <r>
    <s v="EMP00630"/>
    <x v="180"/>
    <x v="1"/>
    <n v="36"/>
    <x v="2"/>
    <x v="7"/>
    <x v="188"/>
    <x v="0"/>
    <x v="0"/>
    <x v="1"/>
    <s v="Referral"/>
    <x v="3"/>
    <s v="Usman Tariq"/>
    <n v="107459"/>
    <n v="26250"/>
    <n v="88.4"/>
    <n v="0"/>
    <n v="29"/>
    <n v="1"/>
    <n v="20"/>
    <n v="87"/>
    <x v="0"/>
    <x v="0"/>
  </r>
  <r>
    <s v="EMP00751"/>
    <x v="187"/>
    <x v="1"/>
    <n v="48"/>
    <x v="5"/>
    <x v="4"/>
    <x v="188"/>
    <x v="0"/>
    <x v="2"/>
    <x v="1"/>
    <s v="Agency"/>
    <x v="6"/>
    <s v="Fatima Noor"/>
    <n v="239557"/>
    <n v="15250"/>
    <n v="93.8"/>
    <n v="9"/>
    <n v="29"/>
    <n v="1"/>
    <n v="32"/>
    <n v="64"/>
    <x v="1"/>
    <x v="0"/>
  </r>
  <r>
    <s v="EMP01250"/>
    <x v="79"/>
    <x v="0"/>
    <n v="23"/>
    <x v="8"/>
    <x v="0"/>
    <x v="188"/>
    <x v="0"/>
    <x v="2"/>
    <x v="2"/>
    <s v="Referral"/>
    <x v="0"/>
    <s v="Sara Ali"/>
    <n v="220624"/>
    <n v="19733"/>
    <n v="90.3"/>
    <n v="1"/>
    <n v="13"/>
    <n v="5"/>
    <n v="25"/>
    <n v="69"/>
    <x v="0"/>
    <x v="0"/>
  </r>
  <r>
    <s v="EMP00086"/>
    <x v="180"/>
    <x v="0"/>
    <n v="58"/>
    <x v="0"/>
    <x v="2"/>
    <x v="189"/>
    <x v="0"/>
    <x v="2"/>
    <x v="4"/>
    <s v="Campus"/>
    <x v="4"/>
    <s v="Fatima Noor"/>
    <n v="66824"/>
    <n v="25967"/>
    <n v="84.7"/>
    <n v="9"/>
    <n v="15"/>
    <n v="4"/>
    <n v="20"/>
    <n v="76"/>
    <x v="1"/>
    <x v="0"/>
  </r>
  <r>
    <s v="EMP00458"/>
    <x v="173"/>
    <x v="1"/>
    <n v="51"/>
    <x v="6"/>
    <x v="5"/>
    <x v="190"/>
    <x v="1"/>
    <x v="1"/>
    <x v="1"/>
    <s v="Agency"/>
    <x v="4"/>
    <s v="Ahmed Raza"/>
    <n v="153763"/>
    <n v="28693"/>
    <n v="87.4"/>
    <n v="2"/>
    <n v="7"/>
    <n v="1"/>
    <n v="36"/>
    <n v="92"/>
    <x v="0"/>
    <x v="2"/>
  </r>
  <r>
    <s v="EMP01776"/>
    <x v="149"/>
    <x v="1"/>
    <n v="53"/>
    <x v="6"/>
    <x v="2"/>
    <x v="190"/>
    <x v="0"/>
    <x v="0"/>
    <x v="2"/>
    <s v="Website"/>
    <x v="5"/>
    <s v="Ahmed Raza"/>
    <n v="202554"/>
    <n v="7017"/>
    <n v="87"/>
    <n v="9"/>
    <n v="20"/>
    <n v="3"/>
    <n v="24"/>
    <n v="98"/>
    <x v="1"/>
    <x v="0"/>
  </r>
  <r>
    <s v="EMP00212"/>
    <x v="69"/>
    <x v="0"/>
    <n v="52"/>
    <x v="2"/>
    <x v="0"/>
    <x v="191"/>
    <x v="0"/>
    <x v="2"/>
    <x v="2"/>
    <s v="Campus"/>
    <x v="5"/>
    <s v="Bilal Khan"/>
    <n v="160046"/>
    <n v="14107"/>
    <n v="92.2"/>
    <n v="5"/>
    <n v="11"/>
    <n v="4"/>
    <n v="21"/>
    <n v="61"/>
    <x v="0"/>
    <x v="0"/>
  </r>
  <r>
    <s v="EMP01196"/>
    <x v="136"/>
    <x v="1"/>
    <n v="41"/>
    <x v="3"/>
    <x v="1"/>
    <x v="191"/>
    <x v="0"/>
    <x v="0"/>
    <x v="3"/>
    <s v="Agency"/>
    <x v="6"/>
    <s v="Fatima Noor"/>
    <n v="216026"/>
    <n v="12985"/>
    <n v="92.3"/>
    <n v="7"/>
    <n v="19"/>
    <n v="2"/>
    <n v="6"/>
    <n v="100"/>
    <x v="0"/>
    <x v="0"/>
  </r>
  <r>
    <s v="EMP01786"/>
    <x v="188"/>
    <x v="1"/>
    <n v="50"/>
    <x v="6"/>
    <x v="6"/>
    <x v="191"/>
    <x v="1"/>
    <x v="0"/>
    <x v="2"/>
    <s v="Linkedin"/>
    <x v="3"/>
    <s v="Fatima Noor"/>
    <n v="51623"/>
    <n v="14778"/>
    <n v="91.8"/>
    <n v="2"/>
    <n v="27"/>
    <n v="3"/>
    <n v="11"/>
    <n v="95"/>
    <x v="0"/>
    <x v="4"/>
  </r>
  <r>
    <s v="EMP01233"/>
    <x v="97"/>
    <x v="1"/>
    <n v="27"/>
    <x v="8"/>
    <x v="2"/>
    <x v="192"/>
    <x v="0"/>
    <x v="1"/>
    <x v="1"/>
    <s v="Agency"/>
    <x v="2"/>
    <s v="Fatima Noor"/>
    <n v="83279"/>
    <n v="29839"/>
    <n v="91.9"/>
    <n v="0"/>
    <n v="1"/>
    <n v="2"/>
    <n v="17"/>
    <n v="91"/>
    <x v="0"/>
    <x v="0"/>
  </r>
  <r>
    <s v="EMP01094"/>
    <x v="44"/>
    <x v="0"/>
    <n v="40"/>
    <x v="5"/>
    <x v="6"/>
    <x v="193"/>
    <x v="0"/>
    <x v="2"/>
    <x v="4"/>
    <s v="Linkedin"/>
    <x v="1"/>
    <s v="Bilal Khan"/>
    <n v="62468"/>
    <n v="17453"/>
    <n v="83.5"/>
    <n v="6"/>
    <n v="24"/>
    <n v="2"/>
    <n v="18"/>
    <n v="72"/>
    <x v="0"/>
    <x v="0"/>
  </r>
  <r>
    <s v="EMP01392"/>
    <x v="31"/>
    <x v="0"/>
    <n v="54"/>
    <x v="2"/>
    <x v="3"/>
    <x v="193"/>
    <x v="0"/>
    <x v="0"/>
    <x v="1"/>
    <s v="Website"/>
    <x v="7"/>
    <s v="Sara Ali"/>
    <n v="80111"/>
    <n v="31098"/>
    <n v="83.9"/>
    <n v="0"/>
    <n v="28"/>
    <n v="1"/>
    <n v="15"/>
    <n v="78"/>
    <x v="0"/>
    <x v="0"/>
  </r>
  <r>
    <s v="EMP01577"/>
    <x v="64"/>
    <x v="1"/>
    <n v="54"/>
    <x v="2"/>
    <x v="6"/>
    <x v="193"/>
    <x v="0"/>
    <x v="0"/>
    <x v="2"/>
    <s v="Campus"/>
    <x v="4"/>
    <s v="Fatima Noor"/>
    <n v="238783"/>
    <n v="6648"/>
    <n v="88.3"/>
    <n v="8"/>
    <n v="11"/>
    <n v="4"/>
    <n v="17"/>
    <n v="78"/>
    <x v="0"/>
    <x v="0"/>
  </r>
  <r>
    <s v="EMP01476"/>
    <x v="186"/>
    <x v="1"/>
    <n v="48"/>
    <x v="0"/>
    <x v="5"/>
    <x v="194"/>
    <x v="0"/>
    <x v="1"/>
    <x v="1"/>
    <s v="Website"/>
    <x v="2"/>
    <s v="Fatima Noor"/>
    <n v="145225"/>
    <n v="34369"/>
    <n v="95"/>
    <n v="7"/>
    <n v="8"/>
    <n v="2"/>
    <n v="32"/>
    <n v="93"/>
    <x v="0"/>
    <x v="0"/>
  </r>
  <r>
    <s v="EMP01732"/>
    <x v="186"/>
    <x v="1"/>
    <n v="35"/>
    <x v="4"/>
    <x v="6"/>
    <x v="194"/>
    <x v="0"/>
    <x v="2"/>
    <x v="1"/>
    <s v="Campus"/>
    <x v="3"/>
    <s v="Ahmed Raza"/>
    <n v="82130"/>
    <n v="44092"/>
    <n v="86.1"/>
    <n v="8"/>
    <n v="1"/>
    <n v="2"/>
    <n v="29"/>
    <n v="81"/>
    <x v="1"/>
    <x v="0"/>
  </r>
  <r>
    <s v="EMP01964"/>
    <x v="171"/>
    <x v="1"/>
    <n v="54"/>
    <x v="3"/>
    <x v="1"/>
    <x v="194"/>
    <x v="0"/>
    <x v="0"/>
    <x v="3"/>
    <s v="Referral"/>
    <x v="2"/>
    <s v="Fatima Noor"/>
    <n v="228972"/>
    <n v="33708"/>
    <n v="94.5"/>
    <n v="8"/>
    <n v="10"/>
    <n v="2"/>
    <n v="0"/>
    <n v="84"/>
    <x v="0"/>
    <x v="0"/>
  </r>
  <r>
    <s v="EMP00512"/>
    <x v="147"/>
    <x v="0"/>
    <n v="52"/>
    <x v="5"/>
    <x v="0"/>
    <x v="195"/>
    <x v="1"/>
    <x v="0"/>
    <x v="4"/>
    <s v="Website"/>
    <x v="6"/>
    <s v="Usman Tariq"/>
    <n v="49399"/>
    <n v="20623"/>
    <n v="92.2"/>
    <n v="7"/>
    <n v="20"/>
    <n v="4"/>
    <n v="25"/>
    <n v="60"/>
    <x v="1"/>
    <x v="5"/>
  </r>
  <r>
    <s v="EMP01081"/>
    <x v="105"/>
    <x v="1"/>
    <n v="36"/>
    <x v="3"/>
    <x v="7"/>
    <x v="195"/>
    <x v="0"/>
    <x v="2"/>
    <x v="1"/>
    <s v="Agency"/>
    <x v="4"/>
    <s v="Usman Tariq"/>
    <n v="67244"/>
    <n v="31334"/>
    <n v="97.8"/>
    <n v="9"/>
    <n v="10"/>
    <n v="5"/>
    <n v="17"/>
    <n v="96"/>
    <x v="0"/>
    <x v="0"/>
  </r>
  <r>
    <s v="EMP01309"/>
    <x v="175"/>
    <x v="0"/>
    <n v="41"/>
    <x v="0"/>
    <x v="0"/>
    <x v="195"/>
    <x v="1"/>
    <x v="2"/>
    <x v="0"/>
    <s v="Linkedin"/>
    <x v="0"/>
    <s v="Ahmed Raza"/>
    <n v="230218"/>
    <n v="10361"/>
    <n v="98.3"/>
    <n v="7"/>
    <n v="17"/>
    <n v="5"/>
    <n v="40"/>
    <n v="65"/>
    <x v="0"/>
    <x v="3"/>
  </r>
  <r>
    <s v="EMP01431"/>
    <x v="163"/>
    <x v="1"/>
    <n v="52"/>
    <x v="6"/>
    <x v="3"/>
    <x v="195"/>
    <x v="0"/>
    <x v="1"/>
    <x v="2"/>
    <s v="Linkedin"/>
    <x v="4"/>
    <s v="Usman Tariq"/>
    <n v="144035"/>
    <n v="7844"/>
    <n v="82.9"/>
    <n v="9"/>
    <n v="14"/>
    <n v="2"/>
    <n v="1"/>
    <n v="87"/>
    <x v="0"/>
    <x v="0"/>
  </r>
  <r>
    <s v="EMP01507"/>
    <x v="121"/>
    <x v="1"/>
    <n v="24"/>
    <x v="1"/>
    <x v="1"/>
    <x v="195"/>
    <x v="0"/>
    <x v="0"/>
    <x v="2"/>
    <s v="Agency"/>
    <x v="7"/>
    <s v="Ahmed Raza"/>
    <n v="109759"/>
    <n v="7845"/>
    <n v="92.7"/>
    <n v="9"/>
    <n v="9"/>
    <n v="4"/>
    <n v="30"/>
    <n v="75"/>
    <x v="0"/>
    <x v="0"/>
  </r>
  <r>
    <s v="EMP01613"/>
    <x v="180"/>
    <x v="0"/>
    <n v="55"/>
    <x v="0"/>
    <x v="7"/>
    <x v="195"/>
    <x v="0"/>
    <x v="0"/>
    <x v="0"/>
    <s v="Agency"/>
    <x v="1"/>
    <s v="Usman Tariq"/>
    <n v="137442"/>
    <n v="25637"/>
    <n v="91.1"/>
    <n v="7"/>
    <n v="8"/>
    <n v="4"/>
    <n v="37"/>
    <n v="88"/>
    <x v="1"/>
    <x v="0"/>
  </r>
  <r>
    <s v="EMP00070"/>
    <x v="149"/>
    <x v="1"/>
    <n v="38"/>
    <x v="3"/>
    <x v="4"/>
    <x v="196"/>
    <x v="1"/>
    <x v="2"/>
    <x v="2"/>
    <s v="Campus"/>
    <x v="2"/>
    <s v="Sara Ali"/>
    <n v="153963"/>
    <n v="5527"/>
    <n v="92.5"/>
    <n v="4"/>
    <n v="5"/>
    <n v="4"/>
    <n v="12"/>
    <n v="63"/>
    <x v="0"/>
    <x v="5"/>
  </r>
  <r>
    <s v="EMP00117"/>
    <x v="76"/>
    <x v="0"/>
    <n v="30"/>
    <x v="2"/>
    <x v="6"/>
    <x v="196"/>
    <x v="0"/>
    <x v="0"/>
    <x v="1"/>
    <s v="Website"/>
    <x v="2"/>
    <s v="Bilal Khan"/>
    <n v="97007"/>
    <n v="38936"/>
    <n v="89"/>
    <n v="1"/>
    <n v="1"/>
    <n v="4"/>
    <n v="36"/>
    <n v="67"/>
    <x v="0"/>
    <x v="0"/>
  </r>
  <r>
    <s v="EMP00251"/>
    <x v="44"/>
    <x v="1"/>
    <n v="26"/>
    <x v="7"/>
    <x v="6"/>
    <x v="196"/>
    <x v="0"/>
    <x v="2"/>
    <x v="0"/>
    <s v="Campus"/>
    <x v="2"/>
    <s v="Usman Tariq"/>
    <n v="165986"/>
    <n v="15605"/>
    <n v="84.6"/>
    <n v="4"/>
    <n v="0"/>
    <n v="4"/>
    <n v="34"/>
    <n v="69"/>
    <x v="0"/>
    <x v="0"/>
  </r>
  <r>
    <s v="EMP00311"/>
    <x v="165"/>
    <x v="1"/>
    <n v="36"/>
    <x v="0"/>
    <x v="3"/>
    <x v="196"/>
    <x v="0"/>
    <x v="2"/>
    <x v="3"/>
    <s v="Linkedin"/>
    <x v="4"/>
    <s v="Sara Ali"/>
    <n v="160387"/>
    <n v="17491"/>
    <n v="80.3"/>
    <n v="6"/>
    <n v="12"/>
    <n v="4"/>
    <n v="26"/>
    <n v="66"/>
    <x v="0"/>
    <x v="0"/>
  </r>
  <r>
    <s v="EMP00351"/>
    <x v="69"/>
    <x v="1"/>
    <n v="21"/>
    <x v="3"/>
    <x v="3"/>
    <x v="196"/>
    <x v="0"/>
    <x v="0"/>
    <x v="1"/>
    <s v="Website"/>
    <x v="3"/>
    <s v="Bilal Khan"/>
    <n v="48273"/>
    <n v="17020"/>
    <n v="91.3"/>
    <n v="4"/>
    <n v="2"/>
    <n v="4"/>
    <n v="23"/>
    <n v="81"/>
    <x v="0"/>
    <x v="0"/>
  </r>
  <r>
    <s v="EMP01039"/>
    <x v="178"/>
    <x v="1"/>
    <n v="32"/>
    <x v="1"/>
    <x v="2"/>
    <x v="196"/>
    <x v="0"/>
    <x v="2"/>
    <x v="1"/>
    <s v="Campus"/>
    <x v="3"/>
    <s v="Ahmed Raza"/>
    <n v="212350"/>
    <n v="21290"/>
    <n v="96.2"/>
    <n v="9"/>
    <n v="13"/>
    <n v="1"/>
    <n v="11"/>
    <n v="61"/>
    <x v="0"/>
    <x v="0"/>
  </r>
  <r>
    <s v="EMP01997"/>
    <x v="91"/>
    <x v="0"/>
    <n v="39"/>
    <x v="7"/>
    <x v="2"/>
    <x v="196"/>
    <x v="0"/>
    <x v="1"/>
    <x v="3"/>
    <s v="Campus"/>
    <x v="6"/>
    <s v="Sara Ali"/>
    <n v="171781"/>
    <n v="17224"/>
    <n v="80.7"/>
    <n v="4"/>
    <n v="7"/>
    <n v="4"/>
    <n v="23"/>
    <n v="85"/>
    <x v="0"/>
    <x v="0"/>
  </r>
  <r>
    <s v="EMP00540"/>
    <x v="3"/>
    <x v="1"/>
    <n v="33"/>
    <x v="2"/>
    <x v="2"/>
    <x v="197"/>
    <x v="0"/>
    <x v="0"/>
    <x v="1"/>
    <s v="Website"/>
    <x v="1"/>
    <s v="Ahmed Raza"/>
    <n v="192613"/>
    <n v="16091"/>
    <n v="88.7"/>
    <n v="9"/>
    <n v="13"/>
    <n v="3"/>
    <n v="25"/>
    <n v="71"/>
    <x v="0"/>
    <x v="0"/>
  </r>
  <r>
    <s v="EMP01768"/>
    <x v="187"/>
    <x v="0"/>
    <n v="41"/>
    <x v="5"/>
    <x v="0"/>
    <x v="197"/>
    <x v="0"/>
    <x v="2"/>
    <x v="2"/>
    <s v="Website"/>
    <x v="0"/>
    <s v="Bilal Khan"/>
    <n v="227721"/>
    <n v="34311"/>
    <n v="88.8"/>
    <n v="7"/>
    <n v="29"/>
    <n v="5"/>
    <n v="40"/>
    <n v="75"/>
    <x v="0"/>
    <x v="0"/>
  </r>
  <r>
    <s v="EMP01863"/>
    <x v="35"/>
    <x v="0"/>
    <n v="26"/>
    <x v="4"/>
    <x v="1"/>
    <x v="197"/>
    <x v="0"/>
    <x v="0"/>
    <x v="0"/>
    <s v="Referral"/>
    <x v="6"/>
    <s v="Sara Ali"/>
    <n v="134551"/>
    <n v="32988"/>
    <n v="84.5"/>
    <n v="9"/>
    <n v="13"/>
    <n v="1"/>
    <n v="7"/>
    <n v="82"/>
    <x v="0"/>
    <x v="0"/>
  </r>
  <r>
    <s v="EMP00016"/>
    <x v="181"/>
    <x v="0"/>
    <n v="48"/>
    <x v="0"/>
    <x v="5"/>
    <x v="198"/>
    <x v="1"/>
    <x v="2"/>
    <x v="3"/>
    <s v="Campus"/>
    <x v="3"/>
    <s v="Fatima Noor"/>
    <n v="210556"/>
    <n v="44428"/>
    <n v="99.2"/>
    <n v="7"/>
    <n v="9"/>
    <n v="5"/>
    <n v="22"/>
    <n v="67"/>
    <x v="1"/>
    <x v="1"/>
  </r>
  <r>
    <s v="EMP00448"/>
    <x v="189"/>
    <x v="1"/>
    <n v="55"/>
    <x v="7"/>
    <x v="0"/>
    <x v="198"/>
    <x v="0"/>
    <x v="0"/>
    <x v="0"/>
    <s v="Campus"/>
    <x v="5"/>
    <s v="Bilal Khan"/>
    <n v="160335"/>
    <n v="38967"/>
    <n v="90.8"/>
    <n v="6"/>
    <n v="26"/>
    <n v="5"/>
    <n v="24"/>
    <n v="83"/>
    <x v="0"/>
    <x v="0"/>
  </r>
  <r>
    <s v="EMP01165"/>
    <x v="76"/>
    <x v="0"/>
    <n v="33"/>
    <x v="3"/>
    <x v="1"/>
    <x v="198"/>
    <x v="0"/>
    <x v="2"/>
    <x v="0"/>
    <s v="Website"/>
    <x v="5"/>
    <s v="Fatima Noor"/>
    <n v="137097"/>
    <n v="45557"/>
    <n v="98.4"/>
    <n v="9"/>
    <n v="22"/>
    <n v="4"/>
    <n v="21"/>
    <n v="95"/>
    <x v="1"/>
    <x v="0"/>
  </r>
  <r>
    <s v="EMP01639"/>
    <x v="96"/>
    <x v="0"/>
    <n v="36"/>
    <x v="7"/>
    <x v="0"/>
    <x v="198"/>
    <x v="1"/>
    <x v="0"/>
    <x v="3"/>
    <s v="Linkedin"/>
    <x v="2"/>
    <s v="Usman Tariq"/>
    <n v="181145"/>
    <n v="43138"/>
    <n v="94.4"/>
    <n v="6"/>
    <n v="12"/>
    <n v="4"/>
    <n v="24"/>
    <n v="93"/>
    <x v="0"/>
    <x v="1"/>
  </r>
  <r>
    <s v="EMP00188"/>
    <x v="68"/>
    <x v="0"/>
    <n v="59"/>
    <x v="5"/>
    <x v="6"/>
    <x v="199"/>
    <x v="0"/>
    <x v="0"/>
    <x v="2"/>
    <s v="Linkedin"/>
    <x v="6"/>
    <s v="Sara Ali"/>
    <n v="164454"/>
    <n v="18329"/>
    <n v="92.9"/>
    <n v="8"/>
    <n v="11"/>
    <n v="1"/>
    <n v="18"/>
    <n v="72"/>
    <x v="0"/>
    <x v="0"/>
  </r>
  <r>
    <s v="EMP00367"/>
    <x v="151"/>
    <x v="0"/>
    <n v="26"/>
    <x v="6"/>
    <x v="0"/>
    <x v="199"/>
    <x v="0"/>
    <x v="0"/>
    <x v="0"/>
    <s v="Website"/>
    <x v="4"/>
    <s v="Fatima Noor"/>
    <n v="96849"/>
    <n v="42631"/>
    <n v="83.6"/>
    <n v="7"/>
    <n v="17"/>
    <n v="2"/>
    <n v="28"/>
    <n v="83"/>
    <x v="0"/>
    <x v="0"/>
  </r>
  <r>
    <s v="EMP01539"/>
    <x v="11"/>
    <x v="0"/>
    <n v="29"/>
    <x v="2"/>
    <x v="5"/>
    <x v="199"/>
    <x v="0"/>
    <x v="1"/>
    <x v="3"/>
    <s v="Linkedin"/>
    <x v="6"/>
    <s v="Usman Tariq"/>
    <n v="207704"/>
    <n v="24963"/>
    <n v="83.2"/>
    <n v="9"/>
    <n v="7"/>
    <n v="2"/>
    <n v="12"/>
    <n v="69"/>
    <x v="1"/>
    <x v="0"/>
  </r>
  <r>
    <s v="EMP01670"/>
    <x v="51"/>
    <x v="1"/>
    <n v="51"/>
    <x v="5"/>
    <x v="0"/>
    <x v="199"/>
    <x v="0"/>
    <x v="1"/>
    <x v="2"/>
    <s v="Agency"/>
    <x v="0"/>
    <s v="Bilal Khan"/>
    <n v="241030"/>
    <n v="31063"/>
    <n v="89.5"/>
    <n v="8"/>
    <n v="7"/>
    <n v="2"/>
    <n v="13"/>
    <n v="78"/>
    <x v="1"/>
    <x v="0"/>
  </r>
  <r>
    <s v="EMP01374"/>
    <x v="185"/>
    <x v="0"/>
    <n v="36"/>
    <x v="7"/>
    <x v="3"/>
    <x v="200"/>
    <x v="0"/>
    <x v="0"/>
    <x v="0"/>
    <s v="Referral"/>
    <x v="7"/>
    <s v="Bilal Khan"/>
    <n v="68944"/>
    <n v="18838"/>
    <n v="95"/>
    <n v="6"/>
    <n v="2"/>
    <n v="3"/>
    <n v="39"/>
    <n v="71"/>
    <x v="0"/>
    <x v="0"/>
  </r>
  <r>
    <s v="EMP00218"/>
    <x v="120"/>
    <x v="0"/>
    <n v="34"/>
    <x v="6"/>
    <x v="4"/>
    <x v="201"/>
    <x v="0"/>
    <x v="0"/>
    <x v="0"/>
    <s v="Website"/>
    <x v="3"/>
    <s v="Sara Ali"/>
    <n v="221759"/>
    <n v="42496"/>
    <n v="92.6"/>
    <n v="2"/>
    <n v="26"/>
    <n v="3"/>
    <n v="0"/>
    <n v="98"/>
    <x v="1"/>
    <x v="0"/>
  </r>
  <r>
    <s v="EMP01504"/>
    <x v="104"/>
    <x v="1"/>
    <n v="40"/>
    <x v="8"/>
    <x v="3"/>
    <x v="201"/>
    <x v="0"/>
    <x v="1"/>
    <x v="4"/>
    <s v="Referral"/>
    <x v="3"/>
    <s v="Bilal Khan"/>
    <n v="218704"/>
    <n v="13061"/>
    <n v="88"/>
    <n v="6"/>
    <n v="26"/>
    <n v="3"/>
    <n v="0"/>
    <n v="88"/>
    <x v="0"/>
    <x v="0"/>
  </r>
  <r>
    <s v="EMP01723"/>
    <x v="115"/>
    <x v="0"/>
    <n v="34"/>
    <x v="6"/>
    <x v="5"/>
    <x v="201"/>
    <x v="1"/>
    <x v="2"/>
    <x v="3"/>
    <s v="Campus"/>
    <x v="2"/>
    <s v="Sara Ali"/>
    <n v="89489"/>
    <n v="21190"/>
    <n v="97.7"/>
    <n v="3"/>
    <n v="27"/>
    <n v="2"/>
    <n v="8"/>
    <n v="98"/>
    <x v="0"/>
    <x v="3"/>
  </r>
  <r>
    <s v="EMP00143"/>
    <x v="40"/>
    <x v="1"/>
    <n v="47"/>
    <x v="6"/>
    <x v="2"/>
    <x v="202"/>
    <x v="0"/>
    <x v="1"/>
    <x v="2"/>
    <s v="Referral"/>
    <x v="2"/>
    <s v="Usman Tariq"/>
    <n v="105624"/>
    <n v="20081"/>
    <n v="92.4"/>
    <n v="6"/>
    <n v="13"/>
    <n v="2"/>
    <n v="25"/>
    <n v="99"/>
    <x v="0"/>
    <x v="0"/>
  </r>
  <r>
    <s v="EMP00187"/>
    <x v="114"/>
    <x v="1"/>
    <n v="33"/>
    <x v="0"/>
    <x v="5"/>
    <x v="202"/>
    <x v="0"/>
    <x v="0"/>
    <x v="2"/>
    <s v="Website"/>
    <x v="1"/>
    <s v="Fatima Noor"/>
    <n v="168579"/>
    <n v="6605"/>
    <n v="99.3"/>
    <n v="2"/>
    <n v="2"/>
    <n v="5"/>
    <n v="15"/>
    <n v="74"/>
    <x v="1"/>
    <x v="0"/>
  </r>
  <r>
    <s v="EMP01425"/>
    <x v="90"/>
    <x v="0"/>
    <n v="54"/>
    <x v="3"/>
    <x v="3"/>
    <x v="202"/>
    <x v="0"/>
    <x v="2"/>
    <x v="4"/>
    <s v="Agency"/>
    <x v="1"/>
    <s v="Usman Tariq"/>
    <n v="61164"/>
    <n v="43516"/>
    <n v="85.1"/>
    <n v="0"/>
    <n v="29"/>
    <n v="2"/>
    <n v="4"/>
    <n v="63"/>
    <x v="0"/>
    <x v="0"/>
  </r>
  <r>
    <s v="EMP00170"/>
    <x v="17"/>
    <x v="1"/>
    <n v="54"/>
    <x v="6"/>
    <x v="3"/>
    <x v="203"/>
    <x v="0"/>
    <x v="1"/>
    <x v="1"/>
    <s v="Website"/>
    <x v="0"/>
    <s v="Bilal Khan"/>
    <n v="179362"/>
    <n v="5532"/>
    <n v="87.8"/>
    <n v="6"/>
    <n v="14"/>
    <n v="1"/>
    <n v="28"/>
    <n v="100"/>
    <x v="0"/>
    <x v="0"/>
  </r>
  <r>
    <s v="EMP00667"/>
    <x v="136"/>
    <x v="1"/>
    <n v="30"/>
    <x v="8"/>
    <x v="0"/>
    <x v="203"/>
    <x v="0"/>
    <x v="0"/>
    <x v="3"/>
    <s v="Agency"/>
    <x v="2"/>
    <s v="Fatima Noor"/>
    <n v="225271"/>
    <n v="42690"/>
    <n v="81.2"/>
    <n v="1"/>
    <n v="15"/>
    <n v="1"/>
    <n v="7"/>
    <n v="61"/>
    <x v="0"/>
    <x v="0"/>
  </r>
  <r>
    <s v="EMP00815"/>
    <x v="59"/>
    <x v="1"/>
    <n v="26"/>
    <x v="7"/>
    <x v="1"/>
    <x v="203"/>
    <x v="0"/>
    <x v="2"/>
    <x v="4"/>
    <s v="Campus"/>
    <x v="1"/>
    <s v="Sara Ali"/>
    <n v="164402"/>
    <n v="38171"/>
    <n v="84.5"/>
    <n v="8"/>
    <n v="27"/>
    <n v="3"/>
    <n v="3"/>
    <n v="69"/>
    <x v="0"/>
    <x v="0"/>
  </r>
  <r>
    <s v="EMP01799"/>
    <x v="157"/>
    <x v="0"/>
    <n v="23"/>
    <x v="8"/>
    <x v="1"/>
    <x v="203"/>
    <x v="0"/>
    <x v="1"/>
    <x v="2"/>
    <s v="Linkedin"/>
    <x v="6"/>
    <s v="Usman Tariq"/>
    <n v="114924"/>
    <n v="40996"/>
    <n v="99.1"/>
    <n v="5"/>
    <n v="2"/>
    <n v="5"/>
    <n v="31"/>
    <n v="75"/>
    <x v="0"/>
    <x v="0"/>
  </r>
  <r>
    <s v="EMP01731"/>
    <x v="185"/>
    <x v="0"/>
    <n v="35"/>
    <x v="2"/>
    <x v="3"/>
    <x v="204"/>
    <x v="0"/>
    <x v="2"/>
    <x v="3"/>
    <s v="Website"/>
    <x v="3"/>
    <s v="Sara Ali"/>
    <n v="136332"/>
    <n v="17044"/>
    <n v="86.4"/>
    <n v="1"/>
    <n v="5"/>
    <n v="5"/>
    <n v="13"/>
    <n v="63"/>
    <x v="0"/>
    <x v="0"/>
  </r>
  <r>
    <s v="EMP01330"/>
    <x v="170"/>
    <x v="0"/>
    <n v="42"/>
    <x v="0"/>
    <x v="0"/>
    <x v="205"/>
    <x v="0"/>
    <x v="1"/>
    <x v="2"/>
    <s v="Agency"/>
    <x v="4"/>
    <s v="Fatima Noor"/>
    <n v="247776"/>
    <n v="8767"/>
    <n v="97.9"/>
    <n v="10"/>
    <n v="12"/>
    <n v="4"/>
    <n v="8"/>
    <n v="97"/>
    <x v="0"/>
    <x v="0"/>
  </r>
  <r>
    <s v="EMP00301"/>
    <x v="84"/>
    <x v="1"/>
    <n v="28"/>
    <x v="5"/>
    <x v="2"/>
    <x v="206"/>
    <x v="0"/>
    <x v="2"/>
    <x v="3"/>
    <s v="Website"/>
    <x v="3"/>
    <s v="Usman Tariq"/>
    <n v="171646"/>
    <n v="8277"/>
    <n v="83.5"/>
    <n v="3"/>
    <n v="2"/>
    <n v="5"/>
    <n v="5"/>
    <n v="68"/>
    <x v="0"/>
    <x v="0"/>
  </r>
  <r>
    <s v="EMP00373"/>
    <x v="136"/>
    <x v="1"/>
    <n v="31"/>
    <x v="4"/>
    <x v="4"/>
    <x v="206"/>
    <x v="0"/>
    <x v="2"/>
    <x v="3"/>
    <s v="Referral"/>
    <x v="6"/>
    <s v="Ahmed Raza"/>
    <n v="239587"/>
    <n v="37386"/>
    <n v="86.1"/>
    <n v="1"/>
    <n v="28"/>
    <n v="4"/>
    <n v="0"/>
    <n v="70"/>
    <x v="0"/>
    <x v="0"/>
  </r>
  <r>
    <s v="EMP01003"/>
    <x v="65"/>
    <x v="0"/>
    <n v="38"/>
    <x v="3"/>
    <x v="5"/>
    <x v="206"/>
    <x v="0"/>
    <x v="2"/>
    <x v="0"/>
    <s v="Linkedin"/>
    <x v="5"/>
    <s v="Usman Tariq"/>
    <n v="47277"/>
    <n v="44908"/>
    <n v="81.8"/>
    <n v="1"/>
    <n v="26"/>
    <n v="2"/>
    <n v="4"/>
    <n v="91"/>
    <x v="1"/>
    <x v="0"/>
  </r>
  <r>
    <s v="EMP00911"/>
    <x v="129"/>
    <x v="1"/>
    <n v="35"/>
    <x v="6"/>
    <x v="7"/>
    <x v="207"/>
    <x v="0"/>
    <x v="2"/>
    <x v="0"/>
    <s v="Campus"/>
    <x v="0"/>
    <s v="Bilal Khan"/>
    <n v="140921"/>
    <n v="29899"/>
    <n v="90.6"/>
    <n v="9"/>
    <n v="27"/>
    <n v="1"/>
    <n v="15"/>
    <n v="100"/>
    <x v="0"/>
    <x v="0"/>
  </r>
  <r>
    <s v="EMP00704"/>
    <x v="169"/>
    <x v="1"/>
    <n v="57"/>
    <x v="4"/>
    <x v="3"/>
    <x v="208"/>
    <x v="1"/>
    <x v="2"/>
    <x v="2"/>
    <s v="Campus"/>
    <x v="2"/>
    <s v="Fatima Noor"/>
    <n v="242128"/>
    <n v="18386"/>
    <n v="85.9"/>
    <n v="4"/>
    <n v="18"/>
    <n v="1"/>
    <n v="17"/>
    <n v="78"/>
    <x v="0"/>
    <x v="2"/>
  </r>
  <r>
    <s v="EMP00881"/>
    <x v="7"/>
    <x v="1"/>
    <n v="41"/>
    <x v="3"/>
    <x v="4"/>
    <x v="208"/>
    <x v="0"/>
    <x v="0"/>
    <x v="3"/>
    <s v="Campus"/>
    <x v="4"/>
    <s v="Bilal Khan"/>
    <n v="43259"/>
    <n v="21494"/>
    <n v="99.5"/>
    <n v="10"/>
    <n v="10"/>
    <n v="1"/>
    <n v="10"/>
    <n v="96"/>
    <x v="0"/>
    <x v="0"/>
  </r>
  <r>
    <s v="EMP00917"/>
    <x v="10"/>
    <x v="1"/>
    <n v="38"/>
    <x v="4"/>
    <x v="2"/>
    <x v="208"/>
    <x v="0"/>
    <x v="0"/>
    <x v="1"/>
    <s v="Linkedin"/>
    <x v="1"/>
    <s v="Fatima Noor"/>
    <n v="62088"/>
    <n v="23097"/>
    <n v="80.599999999999994"/>
    <n v="2"/>
    <n v="20"/>
    <n v="4"/>
    <n v="38"/>
    <n v="75"/>
    <x v="0"/>
    <x v="0"/>
  </r>
  <r>
    <s v="EMP01234"/>
    <x v="173"/>
    <x v="1"/>
    <n v="31"/>
    <x v="1"/>
    <x v="7"/>
    <x v="208"/>
    <x v="0"/>
    <x v="0"/>
    <x v="2"/>
    <s v="Agency"/>
    <x v="5"/>
    <s v="Bilal Khan"/>
    <n v="92219"/>
    <n v="10753"/>
    <n v="89.5"/>
    <n v="1"/>
    <n v="26"/>
    <n v="1"/>
    <n v="7"/>
    <n v="83"/>
    <x v="1"/>
    <x v="0"/>
  </r>
  <r>
    <s v="EMP01519"/>
    <x v="113"/>
    <x v="1"/>
    <n v="32"/>
    <x v="6"/>
    <x v="4"/>
    <x v="208"/>
    <x v="0"/>
    <x v="1"/>
    <x v="1"/>
    <s v="Campus"/>
    <x v="3"/>
    <s v="Usman Tariq"/>
    <n v="76949"/>
    <n v="43583"/>
    <n v="84.1"/>
    <n v="6"/>
    <n v="16"/>
    <n v="2"/>
    <n v="32"/>
    <n v="86"/>
    <x v="0"/>
    <x v="0"/>
  </r>
  <r>
    <s v="EMP01661"/>
    <x v="55"/>
    <x v="1"/>
    <n v="54"/>
    <x v="8"/>
    <x v="5"/>
    <x v="208"/>
    <x v="0"/>
    <x v="1"/>
    <x v="2"/>
    <s v="Referral"/>
    <x v="6"/>
    <s v="Bilal Khan"/>
    <n v="92196"/>
    <n v="34061"/>
    <n v="98.2"/>
    <n v="6"/>
    <n v="16"/>
    <n v="5"/>
    <n v="23"/>
    <n v="67"/>
    <x v="0"/>
    <x v="0"/>
  </r>
  <r>
    <s v="EMP01842"/>
    <x v="50"/>
    <x v="1"/>
    <n v="30"/>
    <x v="6"/>
    <x v="2"/>
    <x v="208"/>
    <x v="0"/>
    <x v="2"/>
    <x v="2"/>
    <s v="Linkedin"/>
    <x v="1"/>
    <s v="Sara Ali"/>
    <n v="104142"/>
    <n v="29929"/>
    <n v="98.7"/>
    <n v="8"/>
    <n v="30"/>
    <n v="3"/>
    <n v="22"/>
    <n v="74"/>
    <x v="0"/>
    <x v="0"/>
  </r>
  <r>
    <s v="EMP00798"/>
    <x v="147"/>
    <x v="0"/>
    <n v="46"/>
    <x v="6"/>
    <x v="1"/>
    <x v="209"/>
    <x v="0"/>
    <x v="2"/>
    <x v="0"/>
    <s v="Referral"/>
    <x v="2"/>
    <s v="Usman Tariq"/>
    <n v="161214"/>
    <n v="23789"/>
    <n v="90.3"/>
    <n v="1"/>
    <n v="3"/>
    <n v="5"/>
    <n v="29"/>
    <n v="91"/>
    <x v="0"/>
    <x v="0"/>
  </r>
  <r>
    <s v="EMP01318"/>
    <x v="156"/>
    <x v="1"/>
    <n v="22"/>
    <x v="7"/>
    <x v="7"/>
    <x v="209"/>
    <x v="0"/>
    <x v="2"/>
    <x v="2"/>
    <s v="Website"/>
    <x v="7"/>
    <s v="Bilal Khan"/>
    <n v="76549"/>
    <n v="26272"/>
    <n v="92.3"/>
    <n v="2"/>
    <n v="25"/>
    <n v="3"/>
    <n v="24"/>
    <n v="84"/>
    <x v="1"/>
    <x v="0"/>
  </r>
  <r>
    <s v="EMP01654"/>
    <x v="71"/>
    <x v="1"/>
    <n v="57"/>
    <x v="1"/>
    <x v="1"/>
    <x v="209"/>
    <x v="0"/>
    <x v="2"/>
    <x v="3"/>
    <s v="Linkedin"/>
    <x v="0"/>
    <s v="Fatima Noor"/>
    <n v="46473"/>
    <n v="31979"/>
    <n v="97.8"/>
    <n v="8"/>
    <n v="5"/>
    <n v="3"/>
    <n v="15"/>
    <n v="92"/>
    <x v="0"/>
    <x v="0"/>
  </r>
  <r>
    <s v="EMP01763"/>
    <x v="166"/>
    <x v="0"/>
    <n v="60"/>
    <x v="4"/>
    <x v="2"/>
    <x v="209"/>
    <x v="0"/>
    <x v="2"/>
    <x v="2"/>
    <s v="Website"/>
    <x v="2"/>
    <s v="Ahmed Raza"/>
    <n v="233124"/>
    <n v="7183"/>
    <n v="87.5"/>
    <n v="4"/>
    <n v="22"/>
    <n v="5"/>
    <n v="17"/>
    <n v="74"/>
    <x v="1"/>
    <x v="0"/>
  </r>
  <r>
    <s v="EMP01193"/>
    <x v="80"/>
    <x v="1"/>
    <n v="39"/>
    <x v="6"/>
    <x v="2"/>
    <x v="210"/>
    <x v="0"/>
    <x v="0"/>
    <x v="1"/>
    <s v="Website"/>
    <x v="6"/>
    <s v="Bilal Khan"/>
    <n v="137800"/>
    <n v="20334"/>
    <n v="95.2"/>
    <n v="1"/>
    <n v="23"/>
    <n v="5"/>
    <n v="20"/>
    <n v="90"/>
    <x v="1"/>
    <x v="0"/>
  </r>
  <r>
    <s v="EMP01873"/>
    <x v="102"/>
    <x v="1"/>
    <n v="28"/>
    <x v="1"/>
    <x v="7"/>
    <x v="210"/>
    <x v="0"/>
    <x v="1"/>
    <x v="0"/>
    <s v="Agency"/>
    <x v="3"/>
    <s v="Bilal Khan"/>
    <n v="156980"/>
    <n v="48446"/>
    <n v="83"/>
    <n v="4"/>
    <n v="13"/>
    <n v="4"/>
    <n v="2"/>
    <n v="70"/>
    <x v="1"/>
    <x v="0"/>
  </r>
  <r>
    <s v="EMP01117"/>
    <x v="110"/>
    <x v="1"/>
    <n v="53"/>
    <x v="0"/>
    <x v="4"/>
    <x v="211"/>
    <x v="1"/>
    <x v="2"/>
    <x v="0"/>
    <s v="Referral"/>
    <x v="0"/>
    <s v="Ahmed Raza"/>
    <n v="75294"/>
    <n v="37418"/>
    <n v="81.3"/>
    <n v="4"/>
    <n v="1"/>
    <n v="2"/>
    <n v="22"/>
    <n v="94"/>
    <x v="0"/>
    <x v="4"/>
  </r>
  <r>
    <s v="EMP00555"/>
    <x v="76"/>
    <x v="1"/>
    <n v="43"/>
    <x v="5"/>
    <x v="5"/>
    <x v="212"/>
    <x v="0"/>
    <x v="2"/>
    <x v="1"/>
    <s v="Website"/>
    <x v="6"/>
    <s v="Bilal Khan"/>
    <n v="127646"/>
    <n v="33534"/>
    <n v="87.4"/>
    <n v="5"/>
    <n v="28"/>
    <n v="4"/>
    <n v="3"/>
    <n v="81"/>
    <x v="0"/>
    <x v="0"/>
  </r>
  <r>
    <s v="EMP00852"/>
    <x v="172"/>
    <x v="0"/>
    <n v="43"/>
    <x v="1"/>
    <x v="4"/>
    <x v="212"/>
    <x v="1"/>
    <x v="1"/>
    <x v="3"/>
    <s v="Campus"/>
    <x v="6"/>
    <s v="Usman Tariq"/>
    <n v="243596"/>
    <n v="26923"/>
    <n v="85.8"/>
    <n v="1"/>
    <n v="22"/>
    <n v="1"/>
    <n v="2"/>
    <n v="80"/>
    <x v="0"/>
    <x v="4"/>
  </r>
  <r>
    <s v="EMP01031"/>
    <x v="141"/>
    <x v="1"/>
    <n v="34"/>
    <x v="2"/>
    <x v="5"/>
    <x v="212"/>
    <x v="0"/>
    <x v="0"/>
    <x v="3"/>
    <s v="Referral"/>
    <x v="6"/>
    <s v="Fatima Noor"/>
    <n v="74418"/>
    <n v="28914"/>
    <n v="89.4"/>
    <n v="2"/>
    <n v="5"/>
    <n v="4"/>
    <n v="11"/>
    <n v="78"/>
    <x v="0"/>
    <x v="0"/>
  </r>
  <r>
    <s v="EMP01372"/>
    <x v="7"/>
    <x v="0"/>
    <n v="60"/>
    <x v="4"/>
    <x v="4"/>
    <x v="212"/>
    <x v="0"/>
    <x v="2"/>
    <x v="1"/>
    <s v="Website"/>
    <x v="3"/>
    <s v="Usman Tariq"/>
    <n v="122452"/>
    <n v="38994"/>
    <n v="95.1"/>
    <n v="7"/>
    <n v="6"/>
    <n v="3"/>
    <n v="31"/>
    <n v="70"/>
    <x v="0"/>
    <x v="0"/>
  </r>
  <r>
    <s v="EMP01826"/>
    <x v="82"/>
    <x v="1"/>
    <n v="54"/>
    <x v="6"/>
    <x v="0"/>
    <x v="212"/>
    <x v="0"/>
    <x v="1"/>
    <x v="2"/>
    <s v="Campus"/>
    <x v="1"/>
    <s v="Ahmed Raza"/>
    <n v="40796"/>
    <n v="23957"/>
    <n v="88.9"/>
    <n v="8"/>
    <n v="16"/>
    <n v="2"/>
    <n v="15"/>
    <n v="100"/>
    <x v="0"/>
    <x v="0"/>
  </r>
  <r>
    <s v="EMP00126"/>
    <x v="52"/>
    <x v="0"/>
    <n v="49"/>
    <x v="8"/>
    <x v="0"/>
    <x v="213"/>
    <x v="0"/>
    <x v="1"/>
    <x v="0"/>
    <s v="Referral"/>
    <x v="2"/>
    <s v="Sara Ali"/>
    <n v="167155"/>
    <n v="12314"/>
    <n v="90.9"/>
    <n v="9"/>
    <n v="4"/>
    <n v="5"/>
    <n v="3"/>
    <n v="76"/>
    <x v="0"/>
    <x v="0"/>
  </r>
  <r>
    <s v="EMP00691"/>
    <x v="91"/>
    <x v="0"/>
    <n v="45"/>
    <x v="5"/>
    <x v="5"/>
    <x v="213"/>
    <x v="1"/>
    <x v="2"/>
    <x v="3"/>
    <s v="Website"/>
    <x v="1"/>
    <s v="Sara Ali"/>
    <n v="183386"/>
    <n v="16323"/>
    <n v="97.1"/>
    <n v="2"/>
    <n v="25"/>
    <n v="5"/>
    <n v="37"/>
    <n v="61"/>
    <x v="0"/>
    <x v="1"/>
  </r>
  <r>
    <s v="EMP00928"/>
    <x v="52"/>
    <x v="0"/>
    <n v="53"/>
    <x v="2"/>
    <x v="7"/>
    <x v="213"/>
    <x v="0"/>
    <x v="2"/>
    <x v="0"/>
    <s v="Website"/>
    <x v="4"/>
    <s v="Usman Tariq"/>
    <n v="220598"/>
    <n v="29678"/>
    <n v="98.4"/>
    <n v="4"/>
    <n v="6"/>
    <n v="4"/>
    <n v="40"/>
    <n v="71"/>
    <x v="0"/>
    <x v="0"/>
  </r>
  <r>
    <s v="EMP01380"/>
    <x v="34"/>
    <x v="0"/>
    <n v="46"/>
    <x v="6"/>
    <x v="3"/>
    <x v="213"/>
    <x v="0"/>
    <x v="0"/>
    <x v="1"/>
    <s v="Referral"/>
    <x v="7"/>
    <s v="Bilal Khan"/>
    <n v="133636"/>
    <n v="36401"/>
    <n v="91.9"/>
    <n v="10"/>
    <n v="16"/>
    <n v="3"/>
    <n v="22"/>
    <n v="91"/>
    <x v="0"/>
    <x v="0"/>
  </r>
  <r>
    <s v="EMP00103"/>
    <x v="95"/>
    <x v="0"/>
    <n v="46"/>
    <x v="7"/>
    <x v="4"/>
    <x v="214"/>
    <x v="0"/>
    <x v="2"/>
    <x v="3"/>
    <s v="Campus"/>
    <x v="6"/>
    <s v="Fatima Noor"/>
    <n v="119322"/>
    <n v="36673"/>
    <n v="93.5"/>
    <n v="0"/>
    <n v="12"/>
    <n v="5"/>
    <n v="12"/>
    <n v="77"/>
    <x v="0"/>
    <x v="0"/>
  </r>
  <r>
    <s v="EMP01998"/>
    <x v="178"/>
    <x v="1"/>
    <n v="24"/>
    <x v="4"/>
    <x v="6"/>
    <x v="214"/>
    <x v="0"/>
    <x v="0"/>
    <x v="4"/>
    <s v="Linkedin"/>
    <x v="5"/>
    <s v="Ahmed Raza"/>
    <n v="58735"/>
    <n v="35141"/>
    <n v="85"/>
    <n v="0"/>
    <n v="29"/>
    <n v="3"/>
    <n v="14"/>
    <n v="85"/>
    <x v="1"/>
    <x v="0"/>
  </r>
  <r>
    <s v="EMP00746"/>
    <x v="22"/>
    <x v="1"/>
    <n v="42"/>
    <x v="3"/>
    <x v="5"/>
    <x v="215"/>
    <x v="0"/>
    <x v="1"/>
    <x v="0"/>
    <s v="Linkedin"/>
    <x v="5"/>
    <s v="Ahmed Raza"/>
    <n v="153653"/>
    <n v="12904"/>
    <n v="84.4"/>
    <n v="4"/>
    <n v="20"/>
    <n v="5"/>
    <n v="36"/>
    <n v="82"/>
    <x v="0"/>
    <x v="0"/>
  </r>
  <r>
    <s v="EMP01443"/>
    <x v="60"/>
    <x v="0"/>
    <n v="42"/>
    <x v="1"/>
    <x v="0"/>
    <x v="215"/>
    <x v="0"/>
    <x v="1"/>
    <x v="1"/>
    <s v="Campus"/>
    <x v="6"/>
    <s v="Ahmed Raza"/>
    <n v="157977"/>
    <n v="46951"/>
    <n v="83.8"/>
    <n v="6"/>
    <n v="5"/>
    <n v="2"/>
    <n v="12"/>
    <n v="74"/>
    <x v="0"/>
    <x v="0"/>
  </r>
  <r>
    <s v="EMP00348"/>
    <x v="186"/>
    <x v="1"/>
    <n v="48"/>
    <x v="7"/>
    <x v="0"/>
    <x v="216"/>
    <x v="0"/>
    <x v="0"/>
    <x v="0"/>
    <s v="Website"/>
    <x v="0"/>
    <s v="Fatima Noor"/>
    <n v="135454"/>
    <n v="5393"/>
    <n v="96"/>
    <n v="10"/>
    <n v="10"/>
    <n v="1"/>
    <n v="1"/>
    <n v="70"/>
    <x v="0"/>
    <x v="0"/>
  </r>
  <r>
    <s v="EMP01059"/>
    <x v="30"/>
    <x v="1"/>
    <n v="32"/>
    <x v="5"/>
    <x v="2"/>
    <x v="216"/>
    <x v="0"/>
    <x v="1"/>
    <x v="2"/>
    <s v="Agency"/>
    <x v="4"/>
    <s v="Bilal Khan"/>
    <n v="130001"/>
    <n v="38284"/>
    <n v="97.3"/>
    <n v="3"/>
    <n v="20"/>
    <n v="2"/>
    <n v="9"/>
    <n v="70"/>
    <x v="0"/>
    <x v="0"/>
  </r>
  <r>
    <s v="EMP01503"/>
    <x v="58"/>
    <x v="1"/>
    <n v="38"/>
    <x v="0"/>
    <x v="1"/>
    <x v="216"/>
    <x v="0"/>
    <x v="1"/>
    <x v="0"/>
    <s v="Referral"/>
    <x v="2"/>
    <s v="Fatima Noor"/>
    <n v="164148"/>
    <n v="12499"/>
    <n v="80.400000000000006"/>
    <n v="5"/>
    <n v="4"/>
    <n v="5"/>
    <n v="6"/>
    <n v="86"/>
    <x v="0"/>
    <x v="0"/>
  </r>
  <r>
    <s v="EMP00307"/>
    <x v="61"/>
    <x v="0"/>
    <n v="43"/>
    <x v="7"/>
    <x v="0"/>
    <x v="217"/>
    <x v="0"/>
    <x v="2"/>
    <x v="2"/>
    <s v="Linkedin"/>
    <x v="7"/>
    <s v="Bilal Khan"/>
    <n v="161840"/>
    <n v="40399"/>
    <n v="97.6"/>
    <n v="7"/>
    <n v="18"/>
    <n v="4"/>
    <n v="22"/>
    <n v="71"/>
    <x v="0"/>
    <x v="0"/>
  </r>
  <r>
    <s v="EMP00929"/>
    <x v="6"/>
    <x v="1"/>
    <n v="22"/>
    <x v="8"/>
    <x v="7"/>
    <x v="217"/>
    <x v="0"/>
    <x v="2"/>
    <x v="1"/>
    <s v="Linkedin"/>
    <x v="4"/>
    <s v="Fatima Noor"/>
    <n v="224349"/>
    <n v="33086"/>
    <n v="89.8"/>
    <n v="2"/>
    <n v="15"/>
    <n v="5"/>
    <n v="9"/>
    <n v="86"/>
    <x v="0"/>
    <x v="0"/>
  </r>
  <r>
    <s v="EMP00485"/>
    <x v="145"/>
    <x v="0"/>
    <n v="44"/>
    <x v="2"/>
    <x v="7"/>
    <x v="218"/>
    <x v="0"/>
    <x v="0"/>
    <x v="3"/>
    <s v="Campus"/>
    <x v="3"/>
    <s v="Usman Tariq"/>
    <n v="136677"/>
    <n v="16431"/>
    <n v="98.6"/>
    <n v="3"/>
    <n v="14"/>
    <n v="4"/>
    <n v="21"/>
    <n v="94"/>
    <x v="0"/>
    <x v="0"/>
  </r>
  <r>
    <s v="EMP00591"/>
    <x v="171"/>
    <x v="0"/>
    <n v="42"/>
    <x v="2"/>
    <x v="4"/>
    <x v="218"/>
    <x v="0"/>
    <x v="2"/>
    <x v="3"/>
    <s v="Website"/>
    <x v="5"/>
    <s v="Usman Tariq"/>
    <n v="122962"/>
    <n v="6922"/>
    <n v="90.1"/>
    <n v="9"/>
    <n v="1"/>
    <n v="3"/>
    <n v="36"/>
    <n v="87"/>
    <x v="1"/>
    <x v="0"/>
  </r>
  <r>
    <s v="EMP01815"/>
    <x v="143"/>
    <x v="1"/>
    <n v="50"/>
    <x v="5"/>
    <x v="5"/>
    <x v="218"/>
    <x v="0"/>
    <x v="2"/>
    <x v="2"/>
    <s v="Agency"/>
    <x v="0"/>
    <s v="Usman Tariq"/>
    <n v="242790"/>
    <n v="5261"/>
    <n v="96.5"/>
    <n v="1"/>
    <n v="5"/>
    <n v="5"/>
    <n v="12"/>
    <n v="65"/>
    <x v="0"/>
    <x v="0"/>
  </r>
  <r>
    <s v="EMP00359"/>
    <x v="104"/>
    <x v="0"/>
    <n v="54"/>
    <x v="1"/>
    <x v="1"/>
    <x v="219"/>
    <x v="0"/>
    <x v="2"/>
    <x v="0"/>
    <s v="Linkedin"/>
    <x v="2"/>
    <s v="Bilal Khan"/>
    <n v="228542"/>
    <n v="36706"/>
    <n v="81.8"/>
    <n v="9"/>
    <n v="27"/>
    <n v="4"/>
    <n v="32"/>
    <n v="67"/>
    <x v="1"/>
    <x v="0"/>
  </r>
  <r>
    <s v="EMP00688"/>
    <x v="115"/>
    <x v="1"/>
    <n v="43"/>
    <x v="7"/>
    <x v="6"/>
    <x v="219"/>
    <x v="0"/>
    <x v="2"/>
    <x v="1"/>
    <s v="Referral"/>
    <x v="1"/>
    <s v="Bilal Khan"/>
    <n v="211671"/>
    <n v="21015"/>
    <n v="89.9"/>
    <n v="3"/>
    <n v="10"/>
    <n v="2"/>
    <n v="26"/>
    <n v="95"/>
    <x v="0"/>
    <x v="0"/>
  </r>
  <r>
    <s v="EMP01472"/>
    <x v="12"/>
    <x v="1"/>
    <n v="51"/>
    <x v="6"/>
    <x v="2"/>
    <x v="219"/>
    <x v="0"/>
    <x v="2"/>
    <x v="2"/>
    <s v="Campus"/>
    <x v="4"/>
    <s v="Bilal Khan"/>
    <n v="57765"/>
    <n v="34972"/>
    <n v="93.7"/>
    <n v="5"/>
    <n v="15"/>
    <n v="1"/>
    <n v="31"/>
    <n v="66"/>
    <x v="0"/>
    <x v="0"/>
  </r>
  <r>
    <s v="EMP00473"/>
    <x v="114"/>
    <x v="1"/>
    <n v="31"/>
    <x v="3"/>
    <x v="3"/>
    <x v="220"/>
    <x v="1"/>
    <x v="0"/>
    <x v="2"/>
    <s v="Website"/>
    <x v="3"/>
    <s v="Sara Ali"/>
    <n v="187973"/>
    <n v="34614"/>
    <n v="90.9"/>
    <n v="0"/>
    <n v="27"/>
    <n v="2"/>
    <n v="8"/>
    <n v="90"/>
    <x v="0"/>
    <x v="5"/>
  </r>
  <r>
    <s v="EMP01026"/>
    <x v="129"/>
    <x v="1"/>
    <n v="50"/>
    <x v="8"/>
    <x v="0"/>
    <x v="220"/>
    <x v="0"/>
    <x v="0"/>
    <x v="1"/>
    <s v="Website"/>
    <x v="7"/>
    <s v="Usman Tariq"/>
    <n v="59818"/>
    <n v="40869"/>
    <n v="93"/>
    <n v="0"/>
    <n v="26"/>
    <n v="1"/>
    <n v="30"/>
    <n v="74"/>
    <x v="0"/>
    <x v="0"/>
  </r>
  <r>
    <s v="EMP01831"/>
    <x v="73"/>
    <x v="1"/>
    <n v="54"/>
    <x v="5"/>
    <x v="1"/>
    <x v="220"/>
    <x v="0"/>
    <x v="1"/>
    <x v="1"/>
    <s v="Referral"/>
    <x v="0"/>
    <s v="Usman Tariq"/>
    <n v="89073"/>
    <n v="16881"/>
    <n v="93.7"/>
    <n v="1"/>
    <n v="23"/>
    <n v="5"/>
    <n v="14"/>
    <n v="92"/>
    <x v="0"/>
    <x v="0"/>
  </r>
  <r>
    <s v="EMP01679"/>
    <x v="46"/>
    <x v="1"/>
    <n v="55"/>
    <x v="2"/>
    <x v="2"/>
    <x v="221"/>
    <x v="0"/>
    <x v="0"/>
    <x v="3"/>
    <s v="Agency"/>
    <x v="3"/>
    <s v="Fatima Noor"/>
    <n v="74669"/>
    <n v="35423"/>
    <n v="94.5"/>
    <n v="10"/>
    <n v="12"/>
    <n v="3"/>
    <n v="0"/>
    <n v="74"/>
    <x v="0"/>
    <x v="0"/>
  </r>
  <r>
    <s v="EMP01797"/>
    <x v="130"/>
    <x v="1"/>
    <n v="29"/>
    <x v="8"/>
    <x v="3"/>
    <x v="221"/>
    <x v="0"/>
    <x v="1"/>
    <x v="3"/>
    <s v="Campus"/>
    <x v="4"/>
    <s v="Fatima Noor"/>
    <n v="52621"/>
    <n v="40340"/>
    <n v="84.5"/>
    <n v="0"/>
    <n v="3"/>
    <n v="4"/>
    <n v="24"/>
    <n v="78"/>
    <x v="0"/>
    <x v="0"/>
  </r>
  <r>
    <s v="EMP00060"/>
    <x v="133"/>
    <x v="1"/>
    <n v="58"/>
    <x v="4"/>
    <x v="3"/>
    <x v="222"/>
    <x v="0"/>
    <x v="1"/>
    <x v="2"/>
    <s v="Website"/>
    <x v="0"/>
    <s v="Bilal Khan"/>
    <n v="242643"/>
    <n v="26397"/>
    <n v="92.5"/>
    <n v="5"/>
    <n v="9"/>
    <n v="1"/>
    <n v="28"/>
    <n v="87"/>
    <x v="0"/>
    <x v="0"/>
  </r>
  <r>
    <s v="EMP00295"/>
    <x v="150"/>
    <x v="0"/>
    <n v="24"/>
    <x v="0"/>
    <x v="7"/>
    <x v="222"/>
    <x v="0"/>
    <x v="0"/>
    <x v="1"/>
    <s v="Linkedin"/>
    <x v="2"/>
    <s v="Ahmed Raza"/>
    <n v="52487"/>
    <n v="44790"/>
    <n v="89.1"/>
    <n v="3"/>
    <n v="11"/>
    <n v="1"/>
    <n v="0"/>
    <n v="86"/>
    <x v="0"/>
    <x v="0"/>
  </r>
  <r>
    <s v="EMP00349"/>
    <x v="151"/>
    <x v="1"/>
    <n v="59"/>
    <x v="0"/>
    <x v="0"/>
    <x v="222"/>
    <x v="0"/>
    <x v="2"/>
    <x v="0"/>
    <s v="Referral"/>
    <x v="5"/>
    <s v="Bilal Khan"/>
    <n v="107765"/>
    <n v="26187"/>
    <n v="89.3"/>
    <n v="0"/>
    <n v="29"/>
    <n v="1"/>
    <n v="31"/>
    <n v="78"/>
    <x v="0"/>
    <x v="0"/>
  </r>
  <r>
    <s v="EMP00392"/>
    <x v="84"/>
    <x v="0"/>
    <n v="59"/>
    <x v="4"/>
    <x v="0"/>
    <x v="222"/>
    <x v="0"/>
    <x v="1"/>
    <x v="0"/>
    <s v="Agency"/>
    <x v="7"/>
    <s v="Ahmed Raza"/>
    <n v="136506"/>
    <n v="6648"/>
    <n v="89.1"/>
    <n v="6"/>
    <n v="21"/>
    <n v="1"/>
    <n v="24"/>
    <n v="77"/>
    <x v="0"/>
    <x v="0"/>
  </r>
  <r>
    <s v="EMP00836"/>
    <x v="76"/>
    <x v="0"/>
    <n v="28"/>
    <x v="6"/>
    <x v="7"/>
    <x v="222"/>
    <x v="0"/>
    <x v="0"/>
    <x v="0"/>
    <s v="Linkedin"/>
    <x v="1"/>
    <s v="Fatima Noor"/>
    <n v="136291"/>
    <n v="29214"/>
    <n v="80.7"/>
    <n v="8"/>
    <n v="5"/>
    <n v="1"/>
    <n v="6"/>
    <n v="78"/>
    <x v="0"/>
    <x v="0"/>
  </r>
  <r>
    <s v="EMP00890"/>
    <x v="131"/>
    <x v="0"/>
    <n v="40"/>
    <x v="8"/>
    <x v="6"/>
    <x v="222"/>
    <x v="0"/>
    <x v="2"/>
    <x v="3"/>
    <s v="Linkedin"/>
    <x v="7"/>
    <s v="Bilal Khan"/>
    <n v="130599"/>
    <n v="10750"/>
    <n v="95.3"/>
    <n v="8"/>
    <n v="13"/>
    <n v="2"/>
    <n v="19"/>
    <n v="89"/>
    <x v="0"/>
    <x v="0"/>
  </r>
  <r>
    <s v="EMP00006"/>
    <x v="128"/>
    <x v="0"/>
    <n v="22"/>
    <x v="1"/>
    <x v="3"/>
    <x v="223"/>
    <x v="0"/>
    <x v="2"/>
    <x v="3"/>
    <s v="Linkedin"/>
    <x v="4"/>
    <s v="Sara Ali"/>
    <n v="210145"/>
    <n v="44098"/>
    <n v="85.7"/>
    <n v="8"/>
    <n v="15"/>
    <n v="3"/>
    <n v="17"/>
    <n v="91"/>
    <x v="0"/>
    <x v="0"/>
  </r>
  <r>
    <s v="EMP01129"/>
    <x v="133"/>
    <x v="1"/>
    <n v="30"/>
    <x v="0"/>
    <x v="3"/>
    <x v="223"/>
    <x v="0"/>
    <x v="2"/>
    <x v="2"/>
    <s v="Linkedin"/>
    <x v="0"/>
    <s v="Bilal Khan"/>
    <n v="73108"/>
    <n v="17689"/>
    <n v="86.9"/>
    <n v="1"/>
    <n v="16"/>
    <n v="3"/>
    <n v="26"/>
    <n v="85"/>
    <x v="0"/>
    <x v="0"/>
  </r>
  <r>
    <s v="EMP01751"/>
    <x v="187"/>
    <x v="1"/>
    <n v="25"/>
    <x v="6"/>
    <x v="2"/>
    <x v="223"/>
    <x v="0"/>
    <x v="1"/>
    <x v="0"/>
    <s v="Linkedin"/>
    <x v="1"/>
    <s v="Sara Ali"/>
    <n v="122176"/>
    <n v="37414"/>
    <n v="83.8"/>
    <n v="2"/>
    <n v="16"/>
    <n v="1"/>
    <n v="17"/>
    <n v="63"/>
    <x v="0"/>
    <x v="0"/>
  </r>
  <r>
    <s v="EMP00432"/>
    <x v="42"/>
    <x v="1"/>
    <n v="58"/>
    <x v="7"/>
    <x v="6"/>
    <x v="224"/>
    <x v="0"/>
    <x v="0"/>
    <x v="4"/>
    <s v="Linkedin"/>
    <x v="0"/>
    <s v="Ahmed Raza"/>
    <n v="149439"/>
    <n v="7342"/>
    <n v="91"/>
    <n v="1"/>
    <n v="12"/>
    <n v="1"/>
    <n v="35"/>
    <n v="70"/>
    <x v="1"/>
    <x v="0"/>
  </r>
  <r>
    <s v="EMP01532"/>
    <x v="154"/>
    <x v="0"/>
    <n v="53"/>
    <x v="5"/>
    <x v="6"/>
    <x v="224"/>
    <x v="0"/>
    <x v="1"/>
    <x v="0"/>
    <s v="Campus"/>
    <x v="6"/>
    <s v="Usman Tariq"/>
    <n v="92660"/>
    <n v="44779"/>
    <n v="98.8"/>
    <n v="3"/>
    <n v="3"/>
    <n v="5"/>
    <n v="20"/>
    <n v="64"/>
    <x v="0"/>
    <x v="0"/>
  </r>
  <r>
    <s v="EMP01543"/>
    <x v="170"/>
    <x v="0"/>
    <n v="53"/>
    <x v="5"/>
    <x v="1"/>
    <x v="224"/>
    <x v="0"/>
    <x v="0"/>
    <x v="1"/>
    <s v="Agency"/>
    <x v="7"/>
    <s v="Ahmed Raza"/>
    <n v="113550"/>
    <n v="44470"/>
    <n v="88.3"/>
    <n v="10"/>
    <n v="29"/>
    <n v="3"/>
    <n v="25"/>
    <n v="75"/>
    <x v="1"/>
    <x v="0"/>
  </r>
  <r>
    <s v="EMP01627"/>
    <x v="47"/>
    <x v="1"/>
    <n v="34"/>
    <x v="2"/>
    <x v="3"/>
    <x v="224"/>
    <x v="1"/>
    <x v="2"/>
    <x v="3"/>
    <s v="Website"/>
    <x v="0"/>
    <s v="Ahmed Raza"/>
    <n v="111076"/>
    <n v="36079"/>
    <n v="86.2"/>
    <n v="9"/>
    <n v="11"/>
    <n v="1"/>
    <n v="27"/>
    <n v="73"/>
    <x v="1"/>
    <x v="2"/>
  </r>
  <r>
    <s v="EMP00264"/>
    <x v="105"/>
    <x v="1"/>
    <n v="43"/>
    <x v="7"/>
    <x v="0"/>
    <x v="225"/>
    <x v="0"/>
    <x v="2"/>
    <x v="3"/>
    <s v="Referral"/>
    <x v="4"/>
    <s v="Ahmed Raza"/>
    <n v="78993"/>
    <n v="45509"/>
    <n v="85"/>
    <n v="5"/>
    <n v="24"/>
    <n v="2"/>
    <n v="18"/>
    <n v="100"/>
    <x v="0"/>
    <x v="0"/>
  </r>
  <r>
    <s v="EMP01214"/>
    <x v="105"/>
    <x v="0"/>
    <n v="58"/>
    <x v="5"/>
    <x v="6"/>
    <x v="225"/>
    <x v="0"/>
    <x v="2"/>
    <x v="1"/>
    <s v="Referral"/>
    <x v="3"/>
    <s v="Ahmed Raza"/>
    <n v="153135"/>
    <n v="19518"/>
    <n v="93.3"/>
    <n v="8"/>
    <n v="12"/>
    <n v="4"/>
    <n v="7"/>
    <n v="75"/>
    <x v="0"/>
    <x v="0"/>
  </r>
  <r>
    <s v="EMP01131"/>
    <x v="135"/>
    <x v="1"/>
    <n v="42"/>
    <x v="1"/>
    <x v="0"/>
    <x v="226"/>
    <x v="0"/>
    <x v="1"/>
    <x v="4"/>
    <s v="Campus"/>
    <x v="7"/>
    <s v="Fatima Noor"/>
    <n v="138841"/>
    <n v="38070"/>
    <n v="83"/>
    <n v="10"/>
    <n v="21"/>
    <n v="3"/>
    <n v="18"/>
    <n v="73"/>
    <x v="0"/>
    <x v="0"/>
  </r>
  <r>
    <s v="EMP01236"/>
    <x v="93"/>
    <x v="1"/>
    <n v="56"/>
    <x v="1"/>
    <x v="3"/>
    <x v="226"/>
    <x v="0"/>
    <x v="0"/>
    <x v="0"/>
    <s v="Agency"/>
    <x v="4"/>
    <s v="Sara Ali"/>
    <n v="209237"/>
    <n v="28888"/>
    <n v="88"/>
    <n v="7"/>
    <n v="5"/>
    <n v="4"/>
    <n v="1"/>
    <n v="80"/>
    <x v="0"/>
    <x v="0"/>
  </r>
  <r>
    <s v="EMP01696"/>
    <x v="178"/>
    <x v="0"/>
    <n v="28"/>
    <x v="4"/>
    <x v="5"/>
    <x v="226"/>
    <x v="0"/>
    <x v="1"/>
    <x v="0"/>
    <s v="Referral"/>
    <x v="5"/>
    <s v="Sara Ali"/>
    <n v="167892"/>
    <n v="41393"/>
    <n v="80.3"/>
    <n v="2"/>
    <n v="10"/>
    <n v="1"/>
    <n v="26"/>
    <n v="70"/>
    <x v="0"/>
    <x v="0"/>
  </r>
  <r>
    <s v="EMP01880"/>
    <x v="20"/>
    <x v="0"/>
    <n v="49"/>
    <x v="7"/>
    <x v="4"/>
    <x v="226"/>
    <x v="1"/>
    <x v="1"/>
    <x v="0"/>
    <s v="Agency"/>
    <x v="5"/>
    <s v="Usman Tariq"/>
    <n v="38029"/>
    <n v="24986"/>
    <n v="92.4"/>
    <n v="2"/>
    <n v="16"/>
    <n v="5"/>
    <n v="7"/>
    <n v="73"/>
    <x v="0"/>
    <x v="2"/>
  </r>
  <r>
    <s v="EMP00655"/>
    <x v="133"/>
    <x v="0"/>
    <n v="54"/>
    <x v="2"/>
    <x v="7"/>
    <x v="227"/>
    <x v="0"/>
    <x v="2"/>
    <x v="0"/>
    <s v="Linkedin"/>
    <x v="6"/>
    <s v="Usman Tariq"/>
    <n v="122473"/>
    <n v="23846"/>
    <n v="86.3"/>
    <n v="3"/>
    <n v="22"/>
    <n v="5"/>
    <n v="38"/>
    <n v="88"/>
    <x v="1"/>
    <x v="0"/>
  </r>
  <r>
    <s v="EMP01357"/>
    <x v="163"/>
    <x v="1"/>
    <n v="21"/>
    <x v="7"/>
    <x v="6"/>
    <x v="227"/>
    <x v="0"/>
    <x v="2"/>
    <x v="4"/>
    <s v="Referral"/>
    <x v="7"/>
    <s v="Bilal Khan"/>
    <n v="236080"/>
    <n v="33787"/>
    <n v="86.7"/>
    <n v="4"/>
    <n v="16"/>
    <n v="3"/>
    <n v="27"/>
    <n v="73"/>
    <x v="0"/>
    <x v="0"/>
  </r>
  <r>
    <s v="EMP00393"/>
    <x v="121"/>
    <x v="1"/>
    <n v="23"/>
    <x v="7"/>
    <x v="7"/>
    <x v="228"/>
    <x v="0"/>
    <x v="0"/>
    <x v="3"/>
    <s v="Linkedin"/>
    <x v="7"/>
    <s v="Bilal Khan"/>
    <n v="121815"/>
    <n v="32367"/>
    <n v="94.2"/>
    <n v="6"/>
    <n v="24"/>
    <n v="4"/>
    <n v="24"/>
    <n v="73"/>
    <x v="0"/>
    <x v="0"/>
  </r>
  <r>
    <s v="EMP00959"/>
    <x v="131"/>
    <x v="0"/>
    <n v="57"/>
    <x v="1"/>
    <x v="7"/>
    <x v="228"/>
    <x v="0"/>
    <x v="0"/>
    <x v="3"/>
    <s v="Campus"/>
    <x v="6"/>
    <s v="Ahmed Raza"/>
    <n v="195378"/>
    <n v="19583"/>
    <n v="85.1"/>
    <n v="0"/>
    <n v="19"/>
    <n v="3"/>
    <n v="20"/>
    <n v="99"/>
    <x v="0"/>
    <x v="0"/>
  </r>
  <r>
    <s v="EMP01057"/>
    <x v="116"/>
    <x v="1"/>
    <n v="59"/>
    <x v="3"/>
    <x v="1"/>
    <x v="228"/>
    <x v="0"/>
    <x v="0"/>
    <x v="0"/>
    <s v="Agency"/>
    <x v="1"/>
    <s v="Ahmed Raza"/>
    <n v="112722"/>
    <n v="16794"/>
    <n v="83"/>
    <n v="3"/>
    <n v="23"/>
    <n v="5"/>
    <n v="7"/>
    <n v="65"/>
    <x v="0"/>
    <x v="0"/>
  </r>
  <r>
    <s v="EMP01345"/>
    <x v="64"/>
    <x v="1"/>
    <n v="26"/>
    <x v="8"/>
    <x v="0"/>
    <x v="228"/>
    <x v="0"/>
    <x v="0"/>
    <x v="4"/>
    <s v="Linkedin"/>
    <x v="3"/>
    <s v="Fatima Noor"/>
    <n v="128335"/>
    <n v="35109"/>
    <n v="98.5"/>
    <n v="5"/>
    <n v="26"/>
    <n v="2"/>
    <n v="9"/>
    <n v="60"/>
    <x v="0"/>
    <x v="0"/>
  </r>
  <r>
    <s v="EMP01918"/>
    <x v="164"/>
    <x v="1"/>
    <n v="34"/>
    <x v="7"/>
    <x v="5"/>
    <x v="229"/>
    <x v="0"/>
    <x v="1"/>
    <x v="2"/>
    <s v="Referral"/>
    <x v="7"/>
    <s v="Usman Tariq"/>
    <n v="194423"/>
    <n v="23223"/>
    <n v="94.9"/>
    <n v="5"/>
    <n v="29"/>
    <n v="2"/>
    <n v="34"/>
    <n v="86"/>
    <x v="0"/>
    <x v="0"/>
  </r>
  <r>
    <s v="EMP00428"/>
    <x v="188"/>
    <x v="0"/>
    <n v="33"/>
    <x v="6"/>
    <x v="1"/>
    <x v="230"/>
    <x v="0"/>
    <x v="2"/>
    <x v="1"/>
    <s v="Linkedin"/>
    <x v="0"/>
    <s v="Bilal Khan"/>
    <n v="61423"/>
    <n v="30380"/>
    <n v="86.1"/>
    <n v="4"/>
    <n v="18"/>
    <n v="2"/>
    <n v="23"/>
    <n v="64"/>
    <x v="0"/>
    <x v="0"/>
  </r>
  <r>
    <s v="EMP01801"/>
    <x v="186"/>
    <x v="1"/>
    <n v="53"/>
    <x v="6"/>
    <x v="6"/>
    <x v="231"/>
    <x v="0"/>
    <x v="0"/>
    <x v="4"/>
    <s v="Campus"/>
    <x v="4"/>
    <s v="Bilal Khan"/>
    <n v="116949"/>
    <n v="37456"/>
    <n v="98.9"/>
    <n v="7"/>
    <n v="18"/>
    <n v="4"/>
    <n v="32"/>
    <n v="67"/>
    <x v="0"/>
    <x v="0"/>
  </r>
  <r>
    <s v="EMP00776"/>
    <x v="61"/>
    <x v="1"/>
    <n v="44"/>
    <x v="8"/>
    <x v="3"/>
    <x v="232"/>
    <x v="0"/>
    <x v="0"/>
    <x v="4"/>
    <s v="Agency"/>
    <x v="7"/>
    <s v="Fatima Noor"/>
    <n v="212029"/>
    <n v="31012"/>
    <n v="95.5"/>
    <n v="8"/>
    <n v="0"/>
    <n v="5"/>
    <n v="29"/>
    <n v="86"/>
    <x v="0"/>
    <x v="0"/>
  </r>
  <r>
    <s v="EMP00864"/>
    <x v="115"/>
    <x v="0"/>
    <n v="29"/>
    <x v="2"/>
    <x v="3"/>
    <x v="233"/>
    <x v="0"/>
    <x v="0"/>
    <x v="2"/>
    <s v="Agency"/>
    <x v="1"/>
    <s v="Ahmed Raza"/>
    <n v="68302"/>
    <n v="25067"/>
    <n v="83.8"/>
    <n v="8"/>
    <n v="9"/>
    <n v="3"/>
    <n v="26"/>
    <n v="77"/>
    <x v="0"/>
    <x v="0"/>
  </r>
  <r>
    <s v="EMP00892"/>
    <x v="81"/>
    <x v="0"/>
    <n v="24"/>
    <x v="4"/>
    <x v="6"/>
    <x v="233"/>
    <x v="0"/>
    <x v="2"/>
    <x v="3"/>
    <s v="Linkedin"/>
    <x v="0"/>
    <s v="Bilal Khan"/>
    <n v="94316"/>
    <n v="45270"/>
    <n v="99.4"/>
    <n v="6"/>
    <n v="7"/>
    <n v="4"/>
    <n v="37"/>
    <n v="66"/>
    <x v="0"/>
    <x v="0"/>
  </r>
  <r>
    <s v="EMP00990"/>
    <x v="6"/>
    <x v="0"/>
    <n v="47"/>
    <x v="0"/>
    <x v="4"/>
    <x v="233"/>
    <x v="0"/>
    <x v="0"/>
    <x v="2"/>
    <s v="Referral"/>
    <x v="2"/>
    <s v="Fatima Noor"/>
    <n v="154441"/>
    <n v="31587"/>
    <n v="92.1"/>
    <n v="4"/>
    <n v="20"/>
    <n v="1"/>
    <n v="4"/>
    <n v="60"/>
    <x v="0"/>
    <x v="0"/>
  </r>
  <r>
    <s v="EMP00314"/>
    <x v="177"/>
    <x v="1"/>
    <n v="40"/>
    <x v="7"/>
    <x v="4"/>
    <x v="234"/>
    <x v="0"/>
    <x v="2"/>
    <x v="2"/>
    <s v="Linkedin"/>
    <x v="3"/>
    <s v="Usman Tariq"/>
    <n v="90854"/>
    <n v="41885"/>
    <n v="85.7"/>
    <n v="8"/>
    <n v="24"/>
    <n v="3"/>
    <n v="18"/>
    <n v="61"/>
    <x v="0"/>
    <x v="0"/>
  </r>
  <r>
    <s v="EMP01637"/>
    <x v="50"/>
    <x v="1"/>
    <n v="36"/>
    <x v="5"/>
    <x v="7"/>
    <x v="234"/>
    <x v="0"/>
    <x v="2"/>
    <x v="3"/>
    <s v="Referral"/>
    <x v="3"/>
    <s v="Bilal Khan"/>
    <n v="213563"/>
    <n v="15282"/>
    <n v="92.3"/>
    <n v="2"/>
    <n v="13"/>
    <n v="1"/>
    <n v="2"/>
    <n v="81"/>
    <x v="0"/>
    <x v="0"/>
  </r>
  <r>
    <s v="EMP01979"/>
    <x v="182"/>
    <x v="1"/>
    <n v="55"/>
    <x v="5"/>
    <x v="7"/>
    <x v="234"/>
    <x v="0"/>
    <x v="1"/>
    <x v="0"/>
    <s v="Campus"/>
    <x v="2"/>
    <s v="Bilal Khan"/>
    <n v="58485"/>
    <n v="38807"/>
    <n v="85.2"/>
    <n v="2"/>
    <n v="12"/>
    <n v="5"/>
    <n v="10"/>
    <n v="71"/>
    <x v="0"/>
    <x v="0"/>
  </r>
  <r>
    <s v="EMP00011"/>
    <x v="162"/>
    <x v="1"/>
    <n v="43"/>
    <x v="4"/>
    <x v="0"/>
    <x v="235"/>
    <x v="0"/>
    <x v="2"/>
    <x v="2"/>
    <s v="Agency"/>
    <x v="1"/>
    <s v="Fatima Noor"/>
    <n v="93526"/>
    <n v="30474"/>
    <n v="95.1"/>
    <n v="2"/>
    <n v="10"/>
    <n v="4"/>
    <n v="36"/>
    <n v="87"/>
    <x v="1"/>
    <x v="0"/>
  </r>
  <r>
    <s v="EMP01111"/>
    <x v="181"/>
    <x v="0"/>
    <n v="21"/>
    <x v="0"/>
    <x v="5"/>
    <x v="235"/>
    <x v="0"/>
    <x v="2"/>
    <x v="0"/>
    <s v="Agency"/>
    <x v="1"/>
    <s v="Usman Tariq"/>
    <n v="136808"/>
    <n v="26752"/>
    <n v="80.900000000000006"/>
    <n v="1"/>
    <n v="30"/>
    <n v="1"/>
    <n v="27"/>
    <n v="88"/>
    <x v="1"/>
    <x v="0"/>
  </r>
  <r>
    <s v="EMP00405"/>
    <x v="153"/>
    <x v="1"/>
    <n v="58"/>
    <x v="4"/>
    <x v="1"/>
    <x v="236"/>
    <x v="0"/>
    <x v="0"/>
    <x v="2"/>
    <s v="Website"/>
    <x v="0"/>
    <s v="Fatima Noor"/>
    <n v="118859"/>
    <n v="45567"/>
    <n v="87.5"/>
    <n v="9"/>
    <n v="3"/>
    <n v="2"/>
    <n v="13"/>
    <n v="66"/>
    <x v="0"/>
    <x v="0"/>
  </r>
  <r>
    <s v="EMP00966"/>
    <x v="131"/>
    <x v="1"/>
    <n v="38"/>
    <x v="3"/>
    <x v="1"/>
    <x v="236"/>
    <x v="0"/>
    <x v="0"/>
    <x v="1"/>
    <s v="Website"/>
    <x v="1"/>
    <s v="Fatima Noor"/>
    <n v="116450"/>
    <n v="5912"/>
    <n v="83.9"/>
    <n v="6"/>
    <n v="19"/>
    <n v="3"/>
    <n v="38"/>
    <n v="78"/>
    <x v="1"/>
    <x v="0"/>
  </r>
  <r>
    <s v="EMP00169"/>
    <x v="31"/>
    <x v="0"/>
    <n v="56"/>
    <x v="8"/>
    <x v="4"/>
    <x v="237"/>
    <x v="0"/>
    <x v="2"/>
    <x v="2"/>
    <s v="Campus"/>
    <x v="3"/>
    <s v="Fatima Noor"/>
    <n v="239684"/>
    <n v="47253"/>
    <n v="94"/>
    <n v="1"/>
    <n v="9"/>
    <n v="4"/>
    <n v="38"/>
    <n v="81"/>
    <x v="1"/>
    <x v="0"/>
  </r>
  <r>
    <s v="EMP00496"/>
    <x v="152"/>
    <x v="1"/>
    <n v="30"/>
    <x v="8"/>
    <x v="3"/>
    <x v="237"/>
    <x v="0"/>
    <x v="0"/>
    <x v="2"/>
    <s v="Referral"/>
    <x v="0"/>
    <s v="Bilal Khan"/>
    <n v="185951"/>
    <n v="49994"/>
    <n v="80.099999999999994"/>
    <n v="8"/>
    <n v="2"/>
    <n v="4"/>
    <n v="8"/>
    <n v="91"/>
    <x v="0"/>
    <x v="0"/>
  </r>
  <r>
    <s v="EMP01130"/>
    <x v="46"/>
    <x v="1"/>
    <n v="23"/>
    <x v="6"/>
    <x v="3"/>
    <x v="237"/>
    <x v="0"/>
    <x v="0"/>
    <x v="1"/>
    <s v="Website"/>
    <x v="1"/>
    <s v="Usman Tariq"/>
    <n v="117652"/>
    <n v="39650"/>
    <n v="99.4"/>
    <n v="7"/>
    <n v="13"/>
    <n v="3"/>
    <n v="7"/>
    <n v="91"/>
    <x v="0"/>
    <x v="0"/>
  </r>
  <r>
    <s v="EMP00384"/>
    <x v="107"/>
    <x v="0"/>
    <n v="26"/>
    <x v="4"/>
    <x v="7"/>
    <x v="238"/>
    <x v="0"/>
    <x v="0"/>
    <x v="3"/>
    <s v="Agency"/>
    <x v="5"/>
    <s v="Fatima Noor"/>
    <n v="195032"/>
    <n v="39596"/>
    <n v="97.6"/>
    <n v="8"/>
    <n v="8"/>
    <n v="5"/>
    <n v="27"/>
    <n v="61"/>
    <x v="0"/>
    <x v="0"/>
  </r>
  <r>
    <s v="EMP01708"/>
    <x v="89"/>
    <x v="1"/>
    <n v="51"/>
    <x v="2"/>
    <x v="6"/>
    <x v="238"/>
    <x v="0"/>
    <x v="0"/>
    <x v="3"/>
    <s v="Linkedin"/>
    <x v="5"/>
    <s v="Fatima Noor"/>
    <n v="176842"/>
    <n v="43810"/>
    <n v="83.1"/>
    <n v="4"/>
    <n v="11"/>
    <n v="4"/>
    <n v="20"/>
    <n v="70"/>
    <x v="0"/>
    <x v="0"/>
  </r>
  <r>
    <s v="EMP00442"/>
    <x v="101"/>
    <x v="1"/>
    <n v="42"/>
    <x v="3"/>
    <x v="1"/>
    <x v="239"/>
    <x v="0"/>
    <x v="2"/>
    <x v="4"/>
    <s v="Referral"/>
    <x v="1"/>
    <s v="Usman Tariq"/>
    <n v="235799"/>
    <n v="36661"/>
    <n v="81.3"/>
    <n v="7"/>
    <n v="26"/>
    <n v="5"/>
    <n v="23"/>
    <n v="91"/>
    <x v="0"/>
    <x v="0"/>
  </r>
  <r>
    <s v="EMP01553"/>
    <x v="137"/>
    <x v="0"/>
    <n v="57"/>
    <x v="8"/>
    <x v="1"/>
    <x v="239"/>
    <x v="0"/>
    <x v="2"/>
    <x v="1"/>
    <s v="Website"/>
    <x v="3"/>
    <s v="Usman Tariq"/>
    <n v="98394"/>
    <n v="5046"/>
    <n v="91.8"/>
    <n v="8"/>
    <n v="29"/>
    <n v="5"/>
    <n v="18"/>
    <n v="90"/>
    <x v="0"/>
    <x v="0"/>
  </r>
  <r>
    <s v="EMP01601"/>
    <x v="155"/>
    <x v="0"/>
    <n v="48"/>
    <x v="1"/>
    <x v="2"/>
    <x v="239"/>
    <x v="0"/>
    <x v="1"/>
    <x v="2"/>
    <s v="Website"/>
    <x v="5"/>
    <s v="Sara Ali"/>
    <n v="93486"/>
    <n v="23554"/>
    <n v="92"/>
    <n v="9"/>
    <n v="29"/>
    <n v="5"/>
    <n v="30"/>
    <n v="72"/>
    <x v="0"/>
    <x v="0"/>
  </r>
  <r>
    <s v="EMP01714"/>
    <x v="77"/>
    <x v="0"/>
    <n v="57"/>
    <x v="1"/>
    <x v="7"/>
    <x v="239"/>
    <x v="0"/>
    <x v="2"/>
    <x v="2"/>
    <s v="Campus"/>
    <x v="6"/>
    <s v="Ahmed Raza"/>
    <n v="51196"/>
    <n v="27258"/>
    <n v="99.3"/>
    <n v="4"/>
    <n v="18"/>
    <n v="4"/>
    <n v="9"/>
    <n v="78"/>
    <x v="0"/>
    <x v="0"/>
  </r>
  <r>
    <s v="EMP00672"/>
    <x v="153"/>
    <x v="0"/>
    <n v="57"/>
    <x v="1"/>
    <x v="6"/>
    <x v="240"/>
    <x v="0"/>
    <x v="0"/>
    <x v="4"/>
    <s v="Campus"/>
    <x v="5"/>
    <s v="Bilal Khan"/>
    <n v="110584"/>
    <n v="23154"/>
    <n v="94.9"/>
    <n v="3"/>
    <n v="16"/>
    <n v="4"/>
    <n v="35"/>
    <n v="65"/>
    <x v="0"/>
    <x v="0"/>
  </r>
  <r>
    <s v="EMP01914"/>
    <x v="152"/>
    <x v="1"/>
    <n v="34"/>
    <x v="0"/>
    <x v="1"/>
    <x v="240"/>
    <x v="0"/>
    <x v="0"/>
    <x v="1"/>
    <s v="Website"/>
    <x v="3"/>
    <s v="Bilal Khan"/>
    <n v="139778"/>
    <n v="40813"/>
    <n v="98.7"/>
    <n v="6"/>
    <n v="7"/>
    <n v="5"/>
    <n v="40"/>
    <n v="94"/>
    <x v="0"/>
    <x v="0"/>
  </r>
  <r>
    <s v="EMP00309"/>
    <x v="60"/>
    <x v="1"/>
    <n v="60"/>
    <x v="2"/>
    <x v="6"/>
    <x v="241"/>
    <x v="0"/>
    <x v="1"/>
    <x v="3"/>
    <s v="Agency"/>
    <x v="2"/>
    <s v="Bilal Khan"/>
    <n v="187125"/>
    <n v="16786"/>
    <n v="83.4"/>
    <n v="5"/>
    <n v="14"/>
    <n v="3"/>
    <n v="26"/>
    <n v="82"/>
    <x v="0"/>
    <x v="0"/>
  </r>
  <r>
    <s v="EMP00542"/>
    <x v="190"/>
    <x v="0"/>
    <n v="57"/>
    <x v="4"/>
    <x v="1"/>
    <x v="241"/>
    <x v="0"/>
    <x v="2"/>
    <x v="1"/>
    <s v="Linkedin"/>
    <x v="2"/>
    <s v="Usman Tariq"/>
    <n v="102469"/>
    <n v="14818"/>
    <n v="98.3"/>
    <n v="9"/>
    <n v="29"/>
    <n v="2"/>
    <n v="6"/>
    <n v="67"/>
    <x v="0"/>
    <x v="0"/>
  </r>
  <r>
    <s v="EMP00888"/>
    <x v="95"/>
    <x v="0"/>
    <n v="39"/>
    <x v="3"/>
    <x v="7"/>
    <x v="241"/>
    <x v="0"/>
    <x v="2"/>
    <x v="4"/>
    <s v="Linkedin"/>
    <x v="1"/>
    <s v="Usman Tariq"/>
    <n v="189707"/>
    <n v="29841"/>
    <n v="91.4"/>
    <n v="5"/>
    <n v="27"/>
    <n v="4"/>
    <n v="17"/>
    <n v="67"/>
    <x v="0"/>
    <x v="0"/>
  </r>
  <r>
    <s v="EMP00340"/>
    <x v="102"/>
    <x v="0"/>
    <n v="28"/>
    <x v="2"/>
    <x v="6"/>
    <x v="242"/>
    <x v="0"/>
    <x v="2"/>
    <x v="4"/>
    <s v="Referral"/>
    <x v="4"/>
    <s v="Bilal Khan"/>
    <n v="91852"/>
    <n v="12309"/>
    <n v="83.5"/>
    <n v="2"/>
    <n v="19"/>
    <n v="4"/>
    <n v="6"/>
    <n v="72"/>
    <x v="0"/>
    <x v="0"/>
  </r>
  <r>
    <s v="EMP01756"/>
    <x v="168"/>
    <x v="0"/>
    <n v="35"/>
    <x v="5"/>
    <x v="7"/>
    <x v="242"/>
    <x v="0"/>
    <x v="0"/>
    <x v="4"/>
    <s v="Campus"/>
    <x v="7"/>
    <s v="Fatima Noor"/>
    <n v="114794"/>
    <n v="40430"/>
    <n v="96.2"/>
    <n v="10"/>
    <n v="2"/>
    <n v="4"/>
    <n v="11"/>
    <n v="80"/>
    <x v="0"/>
    <x v="0"/>
  </r>
  <r>
    <s v="EMP00344"/>
    <x v="53"/>
    <x v="0"/>
    <n v="60"/>
    <x v="5"/>
    <x v="3"/>
    <x v="243"/>
    <x v="0"/>
    <x v="1"/>
    <x v="4"/>
    <s v="Referral"/>
    <x v="1"/>
    <s v="Usman Tariq"/>
    <n v="65930"/>
    <n v="21319"/>
    <n v="88.1"/>
    <n v="0"/>
    <n v="30"/>
    <n v="2"/>
    <n v="36"/>
    <n v="90"/>
    <x v="0"/>
    <x v="0"/>
  </r>
  <r>
    <s v="EMP00718"/>
    <x v="118"/>
    <x v="1"/>
    <n v="47"/>
    <x v="2"/>
    <x v="5"/>
    <x v="243"/>
    <x v="0"/>
    <x v="0"/>
    <x v="4"/>
    <s v="Linkedin"/>
    <x v="6"/>
    <s v="Ahmed Raza"/>
    <n v="179926"/>
    <n v="43601"/>
    <n v="85.7"/>
    <n v="1"/>
    <n v="1"/>
    <n v="1"/>
    <n v="13"/>
    <n v="95"/>
    <x v="0"/>
    <x v="0"/>
  </r>
  <r>
    <s v="EMP01095"/>
    <x v="77"/>
    <x v="1"/>
    <n v="58"/>
    <x v="2"/>
    <x v="3"/>
    <x v="243"/>
    <x v="0"/>
    <x v="2"/>
    <x v="4"/>
    <s v="Referral"/>
    <x v="7"/>
    <s v="Ahmed Raza"/>
    <n v="84957"/>
    <n v="34187"/>
    <n v="82.1"/>
    <n v="5"/>
    <n v="12"/>
    <n v="5"/>
    <n v="14"/>
    <n v="99"/>
    <x v="0"/>
    <x v="0"/>
  </r>
  <r>
    <s v="EMP01688"/>
    <x v="149"/>
    <x v="1"/>
    <n v="30"/>
    <x v="5"/>
    <x v="2"/>
    <x v="243"/>
    <x v="0"/>
    <x v="0"/>
    <x v="2"/>
    <s v="Website"/>
    <x v="1"/>
    <s v="Bilal Khan"/>
    <n v="147872"/>
    <n v="25707"/>
    <n v="96.3"/>
    <n v="6"/>
    <n v="24"/>
    <n v="3"/>
    <n v="28"/>
    <n v="81"/>
    <x v="1"/>
    <x v="0"/>
  </r>
  <r>
    <s v="EMP01119"/>
    <x v="33"/>
    <x v="0"/>
    <n v="27"/>
    <x v="7"/>
    <x v="1"/>
    <x v="244"/>
    <x v="0"/>
    <x v="0"/>
    <x v="3"/>
    <s v="Agency"/>
    <x v="0"/>
    <s v="Fatima Noor"/>
    <n v="90520"/>
    <n v="17692"/>
    <n v="92.5"/>
    <n v="5"/>
    <n v="17"/>
    <n v="5"/>
    <n v="34"/>
    <n v="62"/>
    <x v="0"/>
    <x v="0"/>
  </r>
  <r>
    <s v="EMP01568"/>
    <x v="171"/>
    <x v="1"/>
    <n v="37"/>
    <x v="2"/>
    <x v="3"/>
    <x v="244"/>
    <x v="1"/>
    <x v="1"/>
    <x v="4"/>
    <s v="Linkedin"/>
    <x v="4"/>
    <s v="Fatima Noor"/>
    <n v="42891"/>
    <n v="33417"/>
    <n v="99.4"/>
    <n v="10"/>
    <n v="19"/>
    <n v="3"/>
    <n v="19"/>
    <n v="76"/>
    <x v="0"/>
    <x v="2"/>
  </r>
  <r>
    <s v="EMP01748"/>
    <x v="37"/>
    <x v="1"/>
    <n v="38"/>
    <x v="2"/>
    <x v="4"/>
    <x v="244"/>
    <x v="0"/>
    <x v="1"/>
    <x v="4"/>
    <s v="Campus"/>
    <x v="7"/>
    <s v="Usman Tariq"/>
    <n v="154186"/>
    <n v="26916"/>
    <n v="82.8"/>
    <n v="8"/>
    <n v="15"/>
    <n v="5"/>
    <n v="38"/>
    <n v="91"/>
    <x v="1"/>
    <x v="0"/>
  </r>
  <r>
    <s v="EMP00841"/>
    <x v="168"/>
    <x v="0"/>
    <n v="51"/>
    <x v="1"/>
    <x v="6"/>
    <x v="245"/>
    <x v="0"/>
    <x v="1"/>
    <x v="2"/>
    <s v="Website"/>
    <x v="7"/>
    <s v="Fatima Noor"/>
    <n v="190712"/>
    <n v="41887"/>
    <n v="93"/>
    <n v="2"/>
    <n v="2"/>
    <n v="1"/>
    <n v="3"/>
    <n v="92"/>
    <x v="1"/>
    <x v="0"/>
  </r>
  <r>
    <s v="EMP01589"/>
    <x v="0"/>
    <x v="0"/>
    <n v="33"/>
    <x v="1"/>
    <x v="3"/>
    <x v="245"/>
    <x v="0"/>
    <x v="0"/>
    <x v="1"/>
    <s v="Referral"/>
    <x v="5"/>
    <s v="Ahmed Raza"/>
    <n v="115672"/>
    <n v="27649"/>
    <n v="95.1"/>
    <n v="5"/>
    <n v="25"/>
    <n v="3"/>
    <n v="5"/>
    <n v="70"/>
    <x v="0"/>
    <x v="0"/>
  </r>
  <r>
    <s v="EMP00960"/>
    <x v="30"/>
    <x v="0"/>
    <n v="48"/>
    <x v="5"/>
    <x v="3"/>
    <x v="246"/>
    <x v="0"/>
    <x v="1"/>
    <x v="1"/>
    <s v="Website"/>
    <x v="3"/>
    <s v="Usman Tariq"/>
    <n v="249448"/>
    <n v="37720"/>
    <n v="97"/>
    <n v="6"/>
    <n v="19"/>
    <n v="4"/>
    <n v="37"/>
    <n v="91"/>
    <x v="1"/>
    <x v="0"/>
  </r>
  <r>
    <s v="EMP00979"/>
    <x v="155"/>
    <x v="0"/>
    <n v="42"/>
    <x v="1"/>
    <x v="1"/>
    <x v="246"/>
    <x v="0"/>
    <x v="0"/>
    <x v="1"/>
    <s v="Agency"/>
    <x v="2"/>
    <s v="Sara Ali"/>
    <n v="173513"/>
    <n v="15156"/>
    <n v="90.9"/>
    <n v="3"/>
    <n v="11"/>
    <n v="1"/>
    <n v="17"/>
    <n v="75"/>
    <x v="0"/>
    <x v="0"/>
  </r>
  <r>
    <s v="EMP01121"/>
    <x v="37"/>
    <x v="0"/>
    <n v="24"/>
    <x v="8"/>
    <x v="2"/>
    <x v="246"/>
    <x v="0"/>
    <x v="0"/>
    <x v="2"/>
    <s v="Agency"/>
    <x v="6"/>
    <s v="Ahmed Raza"/>
    <n v="121646"/>
    <n v="5092"/>
    <n v="88.1"/>
    <n v="1"/>
    <n v="24"/>
    <n v="5"/>
    <n v="34"/>
    <n v="68"/>
    <x v="0"/>
    <x v="0"/>
  </r>
  <r>
    <s v="EMP01508"/>
    <x v="191"/>
    <x v="1"/>
    <n v="33"/>
    <x v="1"/>
    <x v="1"/>
    <x v="247"/>
    <x v="0"/>
    <x v="2"/>
    <x v="3"/>
    <s v="Agency"/>
    <x v="4"/>
    <s v="Sara Ali"/>
    <n v="234006"/>
    <n v="24771"/>
    <n v="80.099999999999994"/>
    <n v="5"/>
    <n v="2"/>
    <n v="4"/>
    <n v="13"/>
    <n v="63"/>
    <x v="0"/>
    <x v="0"/>
  </r>
  <r>
    <s v="EMP01832"/>
    <x v="55"/>
    <x v="1"/>
    <n v="38"/>
    <x v="7"/>
    <x v="0"/>
    <x v="247"/>
    <x v="0"/>
    <x v="0"/>
    <x v="2"/>
    <s v="Website"/>
    <x v="4"/>
    <s v="Fatima Noor"/>
    <n v="175889"/>
    <n v="18548"/>
    <n v="94.9"/>
    <n v="9"/>
    <n v="7"/>
    <n v="4"/>
    <n v="37"/>
    <n v="70"/>
    <x v="0"/>
    <x v="0"/>
  </r>
  <r>
    <s v="EMP00100"/>
    <x v="171"/>
    <x v="0"/>
    <n v="57"/>
    <x v="2"/>
    <x v="4"/>
    <x v="248"/>
    <x v="0"/>
    <x v="0"/>
    <x v="4"/>
    <s v="Website"/>
    <x v="1"/>
    <s v="Sara Ali"/>
    <n v="121719"/>
    <n v="21460"/>
    <n v="90.5"/>
    <n v="1"/>
    <n v="1"/>
    <n v="5"/>
    <n v="34"/>
    <n v="91"/>
    <x v="0"/>
    <x v="0"/>
  </r>
  <r>
    <s v="EMP01019"/>
    <x v="104"/>
    <x v="1"/>
    <n v="45"/>
    <x v="6"/>
    <x v="2"/>
    <x v="248"/>
    <x v="0"/>
    <x v="1"/>
    <x v="1"/>
    <s v="Referral"/>
    <x v="5"/>
    <s v="Sara Ali"/>
    <n v="106468"/>
    <n v="40577"/>
    <n v="82.5"/>
    <n v="6"/>
    <n v="23"/>
    <n v="4"/>
    <n v="36"/>
    <n v="91"/>
    <x v="1"/>
    <x v="0"/>
  </r>
  <r>
    <s v="EMP00437"/>
    <x v="186"/>
    <x v="0"/>
    <n v="28"/>
    <x v="6"/>
    <x v="5"/>
    <x v="249"/>
    <x v="0"/>
    <x v="0"/>
    <x v="0"/>
    <s v="Website"/>
    <x v="5"/>
    <s v="Bilal Khan"/>
    <n v="116496"/>
    <n v="27501"/>
    <n v="84.3"/>
    <n v="2"/>
    <n v="24"/>
    <n v="2"/>
    <n v="0"/>
    <n v="86"/>
    <x v="0"/>
    <x v="0"/>
  </r>
  <r>
    <s v="EMP01268"/>
    <x v="112"/>
    <x v="1"/>
    <n v="42"/>
    <x v="8"/>
    <x v="7"/>
    <x v="249"/>
    <x v="0"/>
    <x v="1"/>
    <x v="3"/>
    <s v="Agency"/>
    <x v="5"/>
    <s v="Usman Tariq"/>
    <n v="191218"/>
    <n v="30441"/>
    <n v="92.4"/>
    <n v="7"/>
    <n v="29"/>
    <n v="4"/>
    <n v="2"/>
    <n v="99"/>
    <x v="0"/>
    <x v="0"/>
  </r>
  <r>
    <s v="EMP01676"/>
    <x v="139"/>
    <x v="0"/>
    <n v="60"/>
    <x v="4"/>
    <x v="1"/>
    <x v="249"/>
    <x v="0"/>
    <x v="1"/>
    <x v="0"/>
    <s v="Agency"/>
    <x v="1"/>
    <s v="Fatima Noor"/>
    <n v="72048"/>
    <n v="32904"/>
    <n v="90"/>
    <n v="1"/>
    <n v="26"/>
    <n v="1"/>
    <n v="11"/>
    <n v="73"/>
    <x v="1"/>
    <x v="0"/>
  </r>
  <r>
    <s v="EMP01907"/>
    <x v="145"/>
    <x v="1"/>
    <n v="22"/>
    <x v="0"/>
    <x v="1"/>
    <x v="249"/>
    <x v="0"/>
    <x v="0"/>
    <x v="3"/>
    <s v="Referral"/>
    <x v="5"/>
    <s v="Ahmed Raza"/>
    <n v="249281"/>
    <n v="31912"/>
    <n v="100"/>
    <n v="7"/>
    <n v="19"/>
    <n v="5"/>
    <n v="5"/>
    <n v="86"/>
    <x v="1"/>
    <x v="0"/>
  </r>
  <r>
    <s v="EMP00198"/>
    <x v="76"/>
    <x v="1"/>
    <n v="51"/>
    <x v="7"/>
    <x v="2"/>
    <x v="250"/>
    <x v="1"/>
    <x v="1"/>
    <x v="0"/>
    <s v="Agency"/>
    <x v="6"/>
    <s v="Bilal Khan"/>
    <n v="104795"/>
    <n v="36868"/>
    <n v="82.6"/>
    <n v="5"/>
    <n v="19"/>
    <n v="5"/>
    <n v="9"/>
    <n v="69"/>
    <x v="0"/>
    <x v="1"/>
  </r>
  <r>
    <s v="EMP00237"/>
    <x v="42"/>
    <x v="1"/>
    <n v="38"/>
    <x v="4"/>
    <x v="3"/>
    <x v="250"/>
    <x v="0"/>
    <x v="0"/>
    <x v="1"/>
    <s v="Website"/>
    <x v="0"/>
    <s v="Ahmed Raza"/>
    <n v="181937"/>
    <n v="38907"/>
    <n v="83.7"/>
    <n v="9"/>
    <n v="17"/>
    <n v="1"/>
    <n v="7"/>
    <n v="61"/>
    <x v="0"/>
    <x v="0"/>
  </r>
  <r>
    <s v="EMP00447"/>
    <x v="154"/>
    <x v="0"/>
    <n v="56"/>
    <x v="7"/>
    <x v="1"/>
    <x v="250"/>
    <x v="0"/>
    <x v="2"/>
    <x v="3"/>
    <s v="Linkedin"/>
    <x v="1"/>
    <s v="Fatima Noor"/>
    <n v="166757"/>
    <n v="6110"/>
    <n v="94.6"/>
    <n v="2"/>
    <n v="4"/>
    <n v="5"/>
    <n v="14"/>
    <n v="75"/>
    <x v="1"/>
    <x v="0"/>
  </r>
  <r>
    <s v="EMP01238"/>
    <x v="106"/>
    <x v="1"/>
    <n v="41"/>
    <x v="8"/>
    <x v="1"/>
    <x v="250"/>
    <x v="0"/>
    <x v="2"/>
    <x v="4"/>
    <s v="Linkedin"/>
    <x v="2"/>
    <s v="Ahmed Raza"/>
    <n v="178370"/>
    <n v="26232"/>
    <n v="93"/>
    <n v="1"/>
    <n v="24"/>
    <n v="5"/>
    <n v="10"/>
    <n v="60"/>
    <x v="0"/>
    <x v="0"/>
  </r>
  <r>
    <s v="EMP01561"/>
    <x v="192"/>
    <x v="1"/>
    <n v="40"/>
    <x v="2"/>
    <x v="2"/>
    <x v="250"/>
    <x v="0"/>
    <x v="1"/>
    <x v="0"/>
    <s v="Agency"/>
    <x v="5"/>
    <s v="Bilal Khan"/>
    <n v="105806"/>
    <n v="22110"/>
    <n v="96.6"/>
    <n v="1"/>
    <n v="4"/>
    <n v="4"/>
    <n v="22"/>
    <n v="62"/>
    <x v="0"/>
    <x v="0"/>
  </r>
  <r>
    <s v="EMP00053"/>
    <x v="97"/>
    <x v="1"/>
    <n v="46"/>
    <x v="7"/>
    <x v="1"/>
    <x v="251"/>
    <x v="0"/>
    <x v="0"/>
    <x v="2"/>
    <s v="Agency"/>
    <x v="4"/>
    <s v="Sara Ali"/>
    <n v="79717"/>
    <n v="41608"/>
    <n v="96.9"/>
    <n v="8"/>
    <n v="11"/>
    <n v="3"/>
    <n v="28"/>
    <n v="77"/>
    <x v="0"/>
    <x v="0"/>
  </r>
  <r>
    <s v="EMP01086"/>
    <x v="57"/>
    <x v="1"/>
    <n v="47"/>
    <x v="6"/>
    <x v="2"/>
    <x v="251"/>
    <x v="0"/>
    <x v="2"/>
    <x v="3"/>
    <s v="Website"/>
    <x v="2"/>
    <s v="Usman Tariq"/>
    <n v="169525"/>
    <n v="31181"/>
    <n v="96.4"/>
    <n v="9"/>
    <n v="7"/>
    <n v="2"/>
    <n v="32"/>
    <n v="81"/>
    <x v="0"/>
    <x v="0"/>
  </r>
  <r>
    <s v="EMP01468"/>
    <x v="55"/>
    <x v="0"/>
    <n v="28"/>
    <x v="4"/>
    <x v="0"/>
    <x v="251"/>
    <x v="0"/>
    <x v="0"/>
    <x v="0"/>
    <s v="Website"/>
    <x v="4"/>
    <s v="Usman Tariq"/>
    <n v="200795"/>
    <n v="29229"/>
    <n v="97.6"/>
    <n v="1"/>
    <n v="27"/>
    <n v="3"/>
    <n v="23"/>
    <n v="87"/>
    <x v="0"/>
    <x v="0"/>
  </r>
  <r>
    <s v="EMP01500"/>
    <x v="29"/>
    <x v="1"/>
    <n v="40"/>
    <x v="0"/>
    <x v="7"/>
    <x v="251"/>
    <x v="0"/>
    <x v="2"/>
    <x v="0"/>
    <s v="Website"/>
    <x v="1"/>
    <s v="Sara Ali"/>
    <n v="38057"/>
    <n v="24135"/>
    <n v="84.6"/>
    <n v="3"/>
    <n v="20"/>
    <n v="2"/>
    <n v="17"/>
    <n v="86"/>
    <x v="0"/>
    <x v="0"/>
  </r>
  <r>
    <s v="EMP00003"/>
    <x v="115"/>
    <x v="0"/>
    <n v="25"/>
    <x v="1"/>
    <x v="3"/>
    <x v="252"/>
    <x v="0"/>
    <x v="2"/>
    <x v="1"/>
    <s v="Linkedin"/>
    <x v="4"/>
    <s v="Fatima Noor"/>
    <n v="244943"/>
    <n v="11294"/>
    <n v="98.1"/>
    <n v="0"/>
    <n v="22"/>
    <n v="3"/>
    <n v="30"/>
    <n v="70"/>
    <x v="0"/>
    <x v="0"/>
  </r>
  <r>
    <s v="EMP00213"/>
    <x v="35"/>
    <x v="1"/>
    <n v="43"/>
    <x v="8"/>
    <x v="7"/>
    <x v="252"/>
    <x v="0"/>
    <x v="0"/>
    <x v="0"/>
    <s v="Linkedin"/>
    <x v="1"/>
    <s v="Sara Ali"/>
    <n v="242085"/>
    <n v="34286"/>
    <n v="81.5"/>
    <n v="8"/>
    <n v="22"/>
    <n v="1"/>
    <n v="18"/>
    <n v="61"/>
    <x v="0"/>
    <x v="0"/>
  </r>
  <r>
    <s v="EMP01631"/>
    <x v="161"/>
    <x v="1"/>
    <n v="48"/>
    <x v="2"/>
    <x v="3"/>
    <x v="252"/>
    <x v="0"/>
    <x v="1"/>
    <x v="0"/>
    <s v="Linkedin"/>
    <x v="6"/>
    <s v="Ahmed Raza"/>
    <n v="122076"/>
    <n v="47938"/>
    <n v="91.2"/>
    <n v="9"/>
    <n v="18"/>
    <n v="3"/>
    <n v="14"/>
    <n v="90"/>
    <x v="0"/>
    <x v="0"/>
  </r>
  <r>
    <s v="EMP00460"/>
    <x v="72"/>
    <x v="1"/>
    <n v="24"/>
    <x v="5"/>
    <x v="3"/>
    <x v="253"/>
    <x v="0"/>
    <x v="2"/>
    <x v="3"/>
    <s v="Referral"/>
    <x v="4"/>
    <s v="Sara Ali"/>
    <n v="226231"/>
    <n v="38814"/>
    <n v="83"/>
    <n v="6"/>
    <n v="4"/>
    <n v="2"/>
    <n v="33"/>
    <n v="79"/>
    <x v="0"/>
    <x v="0"/>
  </r>
  <r>
    <s v="EMP00855"/>
    <x v="106"/>
    <x v="0"/>
    <n v="39"/>
    <x v="5"/>
    <x v="6"/>
    <x v="253"/>
    <x v="0"/>
    <x v="0"/>
    <x v="4"/>
    <s v="Linkedin"/>
    <x v="1"/>
    <s v="Fatima Noor"/>
    <n v="238131"/>
    <n v="9164"/>
    <n v="98.1"/>
    <n v="1"/>
    <n v="16"/>
    <n v="3"/>
    <n v="23"/>
    <n v="84"/>
    <x v="0"/>
    <x v="0"/>
  </r>
  <r>
    <s v="EMP00007"/>
    <x v="159"/>
    <x v="0"/>
    <n v="57"/>
    <x v="8"/>
    <x v="4"/>
    <x v="254"/>
    <x v="0"/>
    <x v="1"/>
    <x v="1"/>
    <s v="Campus"/>
    <x v="2"/>
    <s v="Bilal Khan"/>
    <n v="50245"/>
    <n v="22453"/>
    <n v="100"/>
    <n v="6"/>
    <n v="23"/>
    <n v="4"/>
    <n v="3"/>
    <n v="99"/>
    <x v="0"/>
    <x v="0"/>
  </r>
  <r>
    <s v="EMP00516"/>
    <x v="175"/>
    <x v="1"/>
    <n v="44"/>
    <x v="6"/>
    <x v="7"/>
    <x v="254"/>
    <x v="1"/>
    <x v="0"/>
    <x v="1"/>
    <s v="Linkedin"/>
    <x v="5"/>
    <s v="Ahmed Raza"/>
    <n v="212603"/>
    <n v="27454"/>
    <n v="96"/>
    <n v="8"/>
    <n v="29"/>
    <n v="4"/>
    <n v="32"/>
    <n v="78"/>
    <x v="0"/>
    <x v="4"/>
  </r>
  <r>
    <s v="EMP00807"/>
    <x v="53"/>
    <x v="0"/>
    <n v="39"/>
    <x v="7"/>
    <x v="0"/>
    <x v="254"/>
    <x v="0"/>
    <x v="2"/>
    <x v="4"/>
    <s v="Campus"/>
    <x v="4"/>
    <s v="Fatima Noor"/>
    <n v="233831"/>
    <n v="17167"/>
    <n v="95.5"/>
    <n v="0"/>
    <n v="23"/>
    <n v="3"/>
    <n v="21"/>
    <n v="62"/>
    <x v="0"/>
    <x v="0"/>
  </r>
  <r>
    <s v="EMP00806"/>
    <x v="79"/>
    <x v="0"/>
    <n v="30"/>
    <x v="1"/>
    <x v="5"/>
    <x v="255"/>
    <x v="0"/>
    <x v="2"/>
    <x v="4"/>
    <s v="Campus"/>
    <x v="2"/>
    <s v="Sara Ali"/>
    <n v="71539"/>
    <n v="27277"/>
    <n v="99.7"/>
    <n v="5"/>
    <n v="18"/>
    <n v="5"/>
    <n v="22"/>
    <n v="84"/>
    <x v="0"/>
    <x v="0"/>
  </r>
  <r>
    <s v="EMP00931"/>
    <x v="23"/>
    <x v="0"/>
    <n v="26"/>
    <x v="3"/>
    <x v="6"/>
    <x v="255"/>
    <x v="0"/>
    <x v="0"/>
    <x v="0"/>
    <s v="Referral"/>
    <x v="2"/>
    <s v="Sara Ali"/>
    <n v="249776"/>
    <n v="30046"/>
    <n v="91.7"/>
    <n v="1"/>
    <n v="12"/>
    <n v="2"/>
    <n v="23"/>
    <n v="86"/>
    <x v="1"/>
    <x v="0"/>
  </r>
  <r>
    <s v="EMP01245"/>
    <x v="159"/>
    <x v="1"/>
    <n v="47"/>
    <x v="4"/>
    <x v="4"/>
    <x v="255"/>
    <x v="1"/>
    <x v="2"/>
    <x v="3"/>
    <s v="Website"/>
    <x v="5"/>
    <s v="Bilal Khan"/>
    <n v="140053"/>
    <n v="29216"/>
    <n v="100"/>
    <n v="9"/>
    <n v="20"/>
    <n v="1"/>
    <n v="33"/>
    <n v="96"/>
    <x v="0"/>
    <x v="3"/>
  </r>
  <r>
    <s v="EMP01551"/>
    <x v="154"/>
    <x v="1"/>
    <n v="60"/>
    <x v="3"/>
    <x v="0"/>
    <x v="255"/>
    <x v="0"/>
    <x v="0"/>
    <x v="0"/>
    <s v="Website"/>
    <x v="2"/>
    <s v="Ahmed Raza"/>
    <n v="62848"/>
    <n v="45455"/>
    <n v="87.1"/>
    <n v="0"/>
    <n v="10"/>
    <n v="4"/>
    <n v="40"/>
    <n v="99"/>
    <x v="0"/>
    <x v="0"/>
  </r>
  <r>
    <s v="EMP01856"/>
    <x v="74"/>
    <x v="1"/>
    <n v="29"/>
    <x v="6"/>
    <x v="3"/>
    <x v="255"/>
    <x v="0"/>
    <x v="2"/>
    <x v="1"/>
    <s v="Agency"/>
    <x v="1"/>
    <s v="Usman Tariq"/>
    <n v="178856"/>
    <n v="9254"/>
    <n v="83.6"/>
    <n v="5"/>
    <n v="30"/>
    <n v="2"/>
    <n v="30"/>
    <n v="95"/>
    <x v="0"/>
    <x v="0"/>
  </r>
  <r>
    <s v="EMP01970"/>
    <x v="176"/>
    <x v="0"/>
    <n v="21"/>
    <x v="4"/>
    <x v="7"/>
    <x v="255"/>
    <x v="0"/>
    <x v="0"/>
    <x v="0"/>
    <s v="Linkedin"/>
    <x v="3"/>
    <s v="Usman Tariq"/>
    <n v="94635"/>
    <n v="6806"/>
    <n v="93.5"/>
    <n v="5"/>
    <n v="10"/>
    <n v="3"/>
    <n v="8"/>
    <n v="88"/>
    <x v="0"/>
    <x v="0"/>
  </r>
  <r>
    <s v="EMP00716"/>
    <x v="174"/>
    <x v="0"/>
    <n v="28"/>
    <x v="7"/>
    <x v="3"/>
    <x v="256"/>
    <x v="0"/>
    <x v="0"/>
    <x v="1"/>
    <s v="Website"/>
    <x v="6"/>
    <s v="Bilal Khan"/>
    <n v="196697"/>
    <n v="30559"/>
    <n v="94.4"/>
    <n v="0"/>
    <n v="13"/>
    <n v="4"/>
    <n v="9"/>
    <n v="69"/>
    <x v="0"/>
    <x v="0"/>
  </r>
  <r>
    <s v="EMP00120"/>
    <x v="111"/>
    <x v="1"/>
    <n v="48"/>
    <x v="7"/>
    <x v="4"/>
    <x v="257"/>
    <x v="0"/>
    <x v="1"/>
    <x v="0"/>
    <s v="Website"/>
    <x v="2"/>
    <s v="Sara Ali"/>
    <n v="227273"/>
    <n v="32686"/>
    <n v="81.3"/>
    <n v="0"/>
    <n v="7"/>
    <n v="1"/>
    <n v="6"/>
    <n v="100"/>
    <x v="0"/>
    <x v="0"/>
  </r>
  <r>
    <s v="EMP01034"/>
    <x v="168"/>
    <x v="0"/>
    <n v="54"/>
    <x v="6"/>
    <x v="7"/>
    <x v="257"/>
    <x v="0"/>
    <x v="1"/>
    <x v="1"/>
    <s v="Campus"/>
    <x v="7"/>
    <s v="Bilal Khan"/>
    <n v="54635"/>
    <n v="28873"/>
    <n v="94.6"/>
    <n v="7"/>
    <n v="16"/>
    <n v="2"/>
    <n v="19"/>
    <n v="87"/>
    <x v="0"/>
    <x v="0"/>
  </r>
  <r>
    <s v="EMP01035"/>
    <x v="59"/>
    <x v="0"/>
    <n v="42"/>
    <x v="7"/>
    <x v="7"/>
    <x v="258"/>
    <x v="0"/>
    <x v="1"/>
    <x v="2"/>
    <s v="Agency"/>
    <x v="5"/>
    <s v="Sara Ali"/>
    <n v="243233"/>
    <n v="38155"/>
    <n v="87.3"/>
    <n v="2"/>
    <n v="24"/>
    <n v="3"/>
    <n v="27"/>
    <n v="88"/>
    <x v="0"/>
    <x v="0"/>
  </r>
  <r>
    <s v="EMP01073"/>
    <x v="20"/>
    <x v="0"/>
    <n v="45"/>
    <x v="6"/>
    <x v="5"/>
    <x v="258"/>
    <x v="0"/>
    <x v="2"/>
    <x v="1"/>
    <s v="Campus"/>
    <x v="4"/>
    <s v="Sara Ali"/>
    <n v="50717"/>
    <n v="28336"/>
    <n v="83.7"/>
    <n v="5"/>
    <n v="22"/>
    <n v="3"/>
    <n v="9"/>
    <n v="83"/>
    <x v="0"/>
    <x v="0"/>
  </r>
  <r>
    <s v="EMP01087"/>
    <x v="130"/>
    <x v="1"/>
    <n v="43"/>
    <x v="8"/>
    <x v="6"/>
    <x v="258"/>
    <x v="0"/>
    <x v="0"/>
    <x v="1"/>
    <s v="Referral"/>
    <x v="5"/>
    <s v="Ahmed Raza"/>
    <n v="99384"/>
    <n v="24606"/>
    <n v="91.6"/>
    <n v="8"/>
    <n v="2"/>
    <n v="5"/>
    <n v="22"/>
    <n v="69"/>
    <x v="0"/>
    <x v="0"/>
  </r>
  <r>
    <s v="EMP01084"/>
    <x v="157"/>
    <x v="1"/>
    <n v="27"/>
    <x v="0"/>
    <x v="6"/>
    <x v="259"/>
    <x v="0"/>
    <x v="0"/>
    <x v="1"/>
    <s v="Agency"/>
    <x v="5"/>
    <s v="Fatima Noor"/>
    <n v="249909"/>
    <n v="21548"/>
    <n v="90.6"/>
    <n v="5"/>
    <n v="26"/>
    <n v="3"/>
    <n v="28"/>
    <n v="75"/>
    <x v="0"/>
    <x v="0"/>
  </r>
  <r>
    <s v="EMP00695"/>
    <x v="35"/>
    <x v="1"/>
    <n v="34"/>
    <x v="5"/>
    <x v="2"/>
    <x v="260"/>
    <x v="0"/>
    <x v="1"/>
    <x v="3"/>
    <s v="Website"/>
    <x v="2"/>
    <s v="Sara Ali"/>
    <n v="153374"/>
    <n v="33368"/>
    <n v="96.5"/>
    <n v="6"/>
    <n v="22"/>
    <n v="3"/>
    <n v="18"/>
    <n v="84"/>
    <x v="0"/>
    <x v="0"/>
  </r>
  <r>
    <s v="EMP00298"/>
    <x v="160"/>
    <x v="0"/>
    <n v="46"/>
    <x v="1"/>
    <x v="7"/>
    <x v="261"/>
    <x v="0"/>
    <x v="0"/>
    <x v="1"/>
    <s v="Agency"/>
    <x v="4"/>
    <s v="Usman Tariq"/>
    <n v="66163"/>
    <n v="37734"/>
    <n v="92.8"/>
    <n v="4"/>
    <n v="22"/>
    <n v="5"/>
    <n v="31"/>
    <n v="68"/>
    <x v="0"/>
    <x v="0"/>
  </r>
  <r>
    <s v="EMP00605"/>
    <x v="154"/>
    <x v="0"/>
    <n v="25"/>
    <x v="5"/>
    <x v="6"/>
    <x v="261"/>
    <x v="0"/>
    <x v="2"/>
    <x v="3"/>
    <s v="Agency"/>
    <x v="1"/>
    <s v="Bilal Khan"/>
    <n v="59690"/>
    <n v="46831"/>
    <n v="82.3"/>
    <n v="7"/>
    <n v="12"/>
    <n v="3"/>
    <n v="8"/>
    <n v="92"/>
    <x v="0"/>
    <x v="0"/>
  </r>
  <r>
    <s v="EMP00920"/>
    <x v="44"/>
    <x v="1"/>
    <n v="36"/>
    <x v="3"/>
    <x v="1"/>
    <x v="261"/>
    <x v="0"/>
    <x v="1"/>
    <x v="4"/>
    <s v="Campus"/>
    <x v="7"/>
    <s v="Fatima Noor"/>
    <n v="147713"/>
    <n v="28478"/>
    <n v="98"/>
    <n v="10"/>
    <n v="5"/>
    <n v="2"/>
    <n v="23"/>
    <n v="86"/>
    <x v="0"/>
    <x v="0"/>
  </r>
  <r>
    <s v="EMP01667"/>
    <x v="87"/>
    <x v="1"/>
    <n v="60"/>
    <x v="7"/>
    <x v="1"/>
    <x v="261"/>
    <x v="0"/>
    <x v="0"/>
    <x v="2"/>
    <s v="Campus"/>
    <x v="2"/>
    <s v="Bilal Khan"/>
    <n v="217994"/>
    <n v="10212"/>
    <n v="80"/>
    <n v="3"/>
    <n v="20"/>
    <n v="3"/>
    <n v="17"/>
    <n v="79"/>
    <x v="0"/>
    <x v="0"/>
  </r>
  <r>
    <s v="EMP00488"/>
    <x v="0"/>
    <x v="1"/>
    <n v="54"/>
    <x v="6"/>
    <x v="0"/>
    <x v="262"/>
    <x v="0"/>
    <x v="2"/>
    <x v="3"/>
    <s v="Campus"/>
    <x v="7"/>
    <s v="Usman Tariq"/>
    <n v="182040"/>
    <n v="21985"/>
    <n v="96.1"/>
    <n v="7"/>
    <n v="9"/>
    <n v="1"/>
    <n v="0"/>
    <n v="77"/>
    <x v="1"/>
    <x v="0"/>
  </r>
  <r>
    <s v="EMP00275"/>
    <x v="52"/>
    <x v="1"/>
    <n v="55"/>
    <x v="3"/>
    <x v="7"/>
    <x v="263"/>
    <x v="0"/>
    <x v="2"/>
    <x v="2"/>
    <s v="Campus"/>
    <x v="6"/>
    <s v="Sara Ali"/>
    <n v="98817"/>
    <n v="7791"/>
    <n v="82.2"/>
    <n v="0"/>
    <n v="4"/>
    <n v="5"/>
    <n v="11"/>
    <n v="90"/>
    <x v="0"/>
    <x v="0"/>
  </r>
  <r>
    <s v="EMP00464"/>
    <x v="126"/>
    <x v="0"/>
    <n v="43"/>
    <x v="7"/>
    <x v="1"/>
    <x v="263"/>
    <x v="0"/>
    <x v="0"/>
    <x v="2"/>
    <s v="Agency"/>
    <x v="4"/>
    <s v="Ahmed Raza"/>
    <n v="37357"/>
    <n v="48015"/>
    <n v="99.7"/>
    <n v="5"/>
    <n v="6"/>
    <n v="1"/>
    <n v="17"/>
    <n v="64"/>
    <x v="0"/>
    <x v="0"/>
  </r>
  <r>
    <s v="EMP00083"/>
    <x v="132"/>
    <x v="0"/>
    <n v="36"/>
    <x v="2"/>
    <x v="2"/>
    <x v="264"/>
    <x v="0"/>
    <x v="0"/>
    <x v="0"/>
    <s v="Website"/>
    <x v="4"/>
    <s v="Fatima Noor"/>
    <n v="98061"/>
    <n v="7350"/>
    <n v="84.2"/>
    <n v="1"/>
    <n v="29"/>
    <n v="5"/>
    <n v="27"/>
    <n v="74"/>
    <x v="0"/>
    <x v="0"/>
  </r>
  <r>
    <s v="EMP00634"/>
    <x v="1"/>
    <x v="1"/>
    <n v="34"/>
    <x v="5"/>
    <x v="2"/>
    <x v="264"/>
    <x v="1"/>
    <x v="1"/>
    <x v="3"/>
    <s v="Campus"/>
    <x v="4"/>
    <s v="Fatima Noor"/>
    <n v="233783"/>
    <n v="23826"/>
    <n v="80.099999999999994"/>
    <n v="8"/>
    <n v="5"/>
    <n v="2"/>
    <n v="21"/>
    <n v="76"/>
    <x v="0"/>
    <x v="4"/>
  </r>
  <r>
    <s v="EMP00953"/>
    <x v="142"/>
    <x v="1"/>
    <n v="51"/>
    <x v="5"/>
    <x v="5"/>
    <x v="264"/>
    <x v="0"/>
    <x v="2"/>
    <x v="0"/>
    <s v="Website"/>
    <x v="0"/>
    <s v="Fatima Noor"/>
    <n v="82811"/>
    <n v="14092"/>
    <n v="95.7"/>
    <n v="5"/>
    <n v="28"/>
    <n v="1"/>
    <n v="38"/>
    <n v="88"/>
    <x v="0"/>
    <x v="0"/>
  </r>
  <r>
    <s v="EMP01619"/>
    <x v="76"/>
    <x v="1"/>
    <n v="52"/>
    <x v="7"/>
    <x v="5"/>
    <x v="264"/>
    <x v="0"/>
    <x v="0"/>
    <x v="0"/>
    <s v="Linkedin"/>
    <x v="5"/>
    <s v="Sara Ali"/>
    <n v="94398"/>
    <n v="18540"/>
    <n v="82.5"/>
    <n v="3"/>
    <n v="8"/>
    <n v="3"/>
    <n v="30"/>
    <n v="66"/>
    <x v="0"/>
    <x v="0"/>
  </r>
  <r>
    <s v="EMP01850"/>
    <x v="81"/>
    <x v="0"/>
    <n v="25"/>
    <x v="7"/>
    <x v="6"/>
    <x v="264"/>
    <x v="0"/>
    <x v="1"/>
    <x v="3"/>
    <s v="Website"/>
    <x v="4"/>
    <s v="Sara Ali"/>
    <n v="193641"/>
    <n v="26717"/>
    <n v="99.7"/>
    <n v="5"/>
    <n v="3"/>
    <n v="1"/>
    <n v="1"/>
    <n v="80"/>
    <x v="0"/>
    <x v="0"/>
  </r>
  <r>
    <s v="EMP00046"/>
    <x v="191"/>
    <x v="1"/>
    <n v="47"/>
    <x v="1"/>
    <x v="2"/>
    <x v="265"/>
    <x v="0"/>
    <x v="0"/>
    <x v="0"/>
    <s v="Website"/>
    <x v="3"/>
    <s v="Usman Tariq"/>
    <n v="69932"/>
    <n v="32704"/>
    <n v="93.9"/>
    <n v="2"/>
    <n v="5"/>
    <n v="1"/>
    <n v="30"/>
    <n v="71"/>
    <x v="0"/>
    <x v="0"/>
  </r>
  <r>
    <s v="EMP00944"/>
    <x v="142"/>
    <x v="0"/>
    <n v="46"/>
    <x v="8"/>
    <x v="1"/>
    <x v="265"/>
    <x v="0"/>
    <x v="1"/>
    <x v="2"/>
    <s v="Campus"/>
    <x v="6"/>
    <s v="Fatima Noor"/>
    <n v="143442"/>
    <n v="40059"/>
    <n v="97.9"/>
    <n v="5"/>
    <n v="9"/>
    <n v="2"/>
    <n v="6"/>
    <n v="96"/>
    <x v="0"/>
    <x v="0"/>
  </r>
  <r>
    <s v="EMP00130"/>
    <x v="122"/>
    <x v="1"/>
    <n v="27"/>
    <x v="6"/>
    <x v="3"/>
    <x v="266"/>
    <x v="0"/>
    <x v="1"/>
    <x v="2"/>
    <s v="Campus"/>
    <x v="5"/>
    <s v="Sara Ali"/>
    <n v="156222"/>
    <n v="22729"/>
    <n v="86.9"/>
    <n v="5"/>
    <n v="23"/>
    <n v="2"/>
    <n v="36"/>
    <n v="92"/>
    <x v="0"/>
    <x v="0"/>
  </r>
  <r>
    <s v="EMP00532"/>
    <x v="115"/>
    <x v="0"/>
    <n v="21"/>
    <x v="4"/>
    <x v="3"/>
    <x v="266"/>
    <x v="0"/>
    <x v="1"/>
    <x v="2"/>
    <s v="Campus"/>
    <x v="7"/>
    <s v="Bilal Khan"/>
    <n v="65267"/>
    <n v="14355"/>
    <n v="93.4"/>
    <n v="6"/>
    <n v="10"/>
    <n v="4"/>
    <n v="20"/>
    <n v="63"/>
    <x v="0"/>
    <x v="0"/>
  </r>
  <r>
    <s v="EMP01548"/>
    <x v="153"/>
    <x v="1"/>
    <n v="54"/>
    <x v="4"/>
    <x v="1"/>
    <x v="266"/>
    <x v="0"/>
    <x v="2"/>
    <x v="4"/>
    <s v="Linkedin"/>
    <x v="6"/>
    <s v="Fatima Noor"/>
    <n v="160125"/>
    <n v="39676"/>
    <n v="90"/>
    <n v="8"/>
    <n v="13"/>
    <n v="5"/>
    <n v="4"/>
    <n v="82"/>
    <x v="0"/>
    <x v="0"/>
  </r>
  <r>
    <s v="EMP01580"/>
    <x v="117"/>
    <x v="0"/>
    <n v="48"/>
    <x v="6"/>
    <x v="0"/>
    <x v="266"/>
    <x v="0"/>
    <x v="0"/>
    <x v="4"/>
    <s v="Website"/>
    <x v="0"/>
    <s v="Ahmed Raza"/>
    <n v="198752"/>
    <n v="16465"/>
    <n v="88.7"/>
    <n v="3"/>
    <n v="9"/>
    <n v="5"/>
    <n v="17"/>
    <n v="98"/>
    <x v="0"/>
    <x v="0"/>
  </r>
  <r>
    <s v="EMP00400"/>
    <x v="85"/>
    <x v="1"/>
    <n v="31"/>
    <x v="8"/>
    <x v="0"/>
    <x v="267"/>
    <x v="0"/>
    <x v="2"/>
    <x v="2"/>
    <s v="Agency"/>
    <x v="3"/>
    <s v="Sara Ali"/>
    <n v="85764"/>
    <n v="37510"/>
    <n v="85.7"/>
    <n v="10"/>
    <n v="19"/>
    <n v="5"/>
    <n v="14"/>
    <n v="94"/>
    <x v="0"/>
    <x v="0"/>
  </r>
  <r>
    <s v="EMP01200"/>
    <x v="39"/>
    <x v="1"/>
    <n v="34"/>
    <x v="5"/>
    <x v="7"/>
    <x v="267"/>
    <x v="0"/>
    <x v="2"/>
    <x v="0"/>
    <s v="Linkedin"/>
    <x v="4"/>
    <s v="Bilal Khan"/>
    <n v="110810"/>
    <n v="24005"/>
    <n v="91.1"/>
    <n v="0"/>
    <n v="21"/>
    <n v="5"/>
    <n v="35"/>
    <n v="100"/>
    <x v="0"/>
    <x v="0"/>
  </r>
  <r>
    <s v="EMP01773"/>
    <x v="160"/>
    <x v="1"/>
    <n v="42"/>
    <x v="4"/>
    <x v="1"/>
    <x v="267"/>
    <x v="0"/>
    <x v="0"/>
    <x v="2"/>
    <s v="Campus"/>
    <x v="6"/>
    <s v="Ahmed Raza"/>
    <n v="48383"/>
    <n v="37162"/>
    <n v="99.5"/>
    <n v="0"/>
    <n v="10"/>
    <n v="2"/>
    <n v="19"/>
    <n v="86"/>
    <x v="1"/>
    <x v="0"/>
  </r>
  <r>
    <s v="EMP01939"/>
    <x v="140"/>
    <x v="0"/>
    <n v="41"/>
    <x v="1"/>
    <x v="6"/>
    <x v="267"/>
    <x v="0"/>
    <x v="0"/>
    <x v="2"/>
    <s v="Linkedin"/>
    <x v="4"/>
    <s v="Sara Ali"/>
    <n v="127549"/>
    <n v="19882"/>
    <n v="97.1"/>
    <n v="8"/>
    <n v="11"/>
    <n v="1"/>
    <n v="33"/>
    <n v="81"/>
    <x v="0"/>
    <x v="0"/>
  </r>
  <r>
    <s v="EMP00050"/>
    <x v="98"/>
    <x v="0"/>
    <n v="33"/>
    <x v="4"/>
    <x v="1"/>
    <x v="268"/>
    <x v="0"/>
    <x v="0"/>
    <x v="4"/>
    <s v="Linkedin"/>
    <x v="0"/>
    <s v="Usman Tariq"/>
    <n v="84790"/>
    <n v="25362"/>
    <n v="97.8"/>
    <n v="0"/>
    <n v="23"/>
    <n v="3"/>
    <n v="39"/>
    <n v="89"/>
    <x v="0"/>
    <x v="0"/>
  </r>
  <r>
    <s v="EMP00551"/>
    <x v="178"/>
    <x v="1"/>
    <n v="27"/>
    <x v="6"/>
    <x v="4"/>
    <x v="269"/>
    <x v="0"/>
    <x v="1"/>
    <x v="1"/>
    <s v="Campus"/>
    <x v="3"/>
    <s v="Usman Tariq"/>
    <n v="201922"/>
    <n v="21850"/>
    <n v="87.3"/>
    <n v="10"/>
    <n v="14"/>
    <n v="4"/>
    <n v="5"/>
    <n v="77"/>
    <x v="1"/>
    <x v="0"/>
  </r>
  <r>
    <s v="EMP01090"/>
    <x v="172"/>
    <x v="1"/>
    <n v="29"/>
    <x v="5"/>
    <x v="2"/>
    <x v="269"/>
    <x v="0"/>
    <x v="0"/>
    <x v="4"/>
    <s v="Website"/>
    <x v="6"/>
    <s v="Bilal Khan"/>
    <n v="62915"/>
    <n v="49561"/>
    <n v="84.2"/>
    <n v="4"/>
    <n v="20"/>
    <n v="3"/>
    <n v="20"/>
    <n v="95"/>
    <x v="0"/>
    <x v="0"/>
  </r>
  <r>
    <s v="EMP01417"/>
    <x v="149"/>
    <x v="0"/>
    <n v="38"/>
    <x v="1"/>
    <x v="3"/>
    <x v="269"/>
    <x v="0"/>
    <x v="1"/>
    <x v="4"/>
    <s v="Campus"/>
    <x v="7"/>
    <s v="Usman Tariq"/>
    <n v="97361"/>
    <n v="47930"/>
    <n v="80.900000000000006"/>
    <n v="9"/>
    <n v="19"/>
    <n v="1"/>
    <n v="12"/>
    <n v="80"/>
    <x v="0"/>
    <x v="0"/>
  </r>
  <r>
    <s v="EMP01118"/>
    <x v="152"/>
    <x v="0"/>
    <n v="56"/>
    <x v="4"/>
    <x v="6"/>
    <x v="270"/>
    <x v="0"/>
    <x v="1"/>
    <x v="1"/>
    <s v="Campus"/>
    <x v="5"/>
    <s v="Fatima Noor"/>
    <n v="171354"/>
    <n v="28795"/>
    <n v="83.3"/>
    <n v="5"/>
    <n v="11"/>
    <n v="3"/>
    <n v="33"/>
    <n v="82"/>
    <x v="0"/>
    <x v="0"/>
  </r>
  <r>
    <s v="EMP00863"/>
    <x v="148"/>
    <x v="0"/>
    <n v="57"/>
    <x v="0"/>
    <x v="0"/>
    <x v="271"/>
    <x v="0"/>
    <x v="1"/>
    <x v="0"/>
    <s v="Campus"/>
    <x v="6"/>
    <s v="Ahmed Raza"/>
    <n v="87004"/>
    <n v="29489"/>
    <n v="95.7"/>
    <n v="1"/>
    <n v="19"/>
    <n v="3"/>
    <n v="7"/>
    <n v="65"/>
    <x v="1"/>
    <x v="0"/>
  </r>
  <r>
    <s v="EMP01506"/>
    <x v="119"/>
    <x v="0"/>
    <n v="35"/>
    <x v="1"/>
    <x v="5"/>
    <x v="271"/>
    <x v="0"/>
    <x v="0"/>
    <x v="0"/>
    <s v="Referral"/>
    <x v="1"/>
    <s v="Bilal Khan"/>
    <n v="71240"/>
    <n v="10781"/>
    <n v="94.5"/>
    <n v="2"/>
    <n v="13"/>
    <n v="2"/>
    <n v="36"/>
    <n v="94"/>
    <x v="0"/>
    <x v="0"/>
  </r>
  <r>
    <s v="EMP00220"/>
    <x v="157"/>
    <x v="1"/>
    <n v="38"/>
    <x v="4"/>
    <x v="6"/>
    <x v="272"/>
    <x v="0"/>
    <x v="0"/>
    <x v="4"/>
    <s v="Referral"/>
    <x v="5"/>
    <s v="Usman Tariq"/>
    <n v="121602"/>
    <n v="20275"/>
    <n v="97.7"/>
    <n v="5"/>
    <n v="3"/>
    <n v="1"/>
    <n v="19"/>
    <n v="100"/>
    <x v="1"/>
    <x v="0"/>
  </r>
  <r>
    <s v="EMP00935"/>
    <x v="70"/>
    <x v="0"/>
    <n v="30"/>
    <x v="7"/>
    <x v="2"/>
    <x v="272"/>
    <x v="0"/>
    <x v="0"/>
    <x v="2"/>
    <s v="Agency"/>
    <x v="1"/>
    <s v="Ahmed Raza"/>
    <n v="181260"/>
    <n v="26123"/>
    <n v="88.7"/>
    <n v="4"/>
    <n v="1"/>
    <n v="2"/>
    <n v="23"/>
    <n v="67"/>
    <x v="1"/>
    <x v="0"/>
  </r>
  <r>
    <s v="EMP01274"/>
    <x v="43"/>
    <x v="0"/>
    <n v="59"/>
    <x v="3"/>
    <x v="4"/>
    <x v="272"/>
    <x v="0"/>
    <x v="0"/>
    <x v="2"/>
    <s v="Agency"/>
    <x v="1"/>
    <s v="Bilal Khan"/>
    <n v="197771"/>
    <n v="24356"/>
    <n v="91"/>
    <n v="7"/>
    <n v="19"/>
    <n v="5"/>
    <n v="11"/>
    <n v="100"/>
    <x v="0"/>
    <x v="0"/>
  </r>
  <r>
    <s v="EMP00906"/>
    <x v="150"/>
    <x v="1"/>
    <n v="28"/>
    <x v="2"/>
    <x v="7"/>
    <x v="273"/>
    <x v="0"/>
    <x v="2"/>
    <x v="4"/>
    <s v="Campus"/>
    <x v="3"/>
    <s v="Usman Tariq"/>
    <n v="95308"/>
    <n v="19793"/>
    <n v="87"/>
    <n v="8"/>
    <n v="0"/>
    <n v="5"/>
    <n v="8"/>
    <n v="78"/>
    <x v="0"/>
    <x v="0"/>
  </r>
  <r>
    <s v="EMP01336"/>
    <x v="87"/>
    <x v="0"/>
    <n v="44"/>
    <x v="4"/>
    <x v="0"/>
    <x v="273"/>
    <x v="0"/>
    <x v="0"/>
    <x v="4"/>
    <s v="Linkedin"/>
    <x v="2"/>
    <s v="Bilal Khan"/>
    <n v="149502"/>
    <n v="23376"/>
    <n v="98.8"/>
    <n v="7"/>
    <n v="15"/>
    <n v="5"/>
    <n v="17"/>
    <n v="98"/>
    <x v="0"/>
    <x v="0"/>
  </r>
  <r>
    <s v="EMP00215"/>
    <x v="169"/>
    <x v="0"/>
    <n v="40"/>
    <x v="5"/>
    <x v="1"/>
    <x v="274"/>
    <x v="0"/>
    <x v="1"/>
    <x v="2"/>
    <s v="Agency"/>
    <x v="5"/>
    <s v="Fatima Noor"/>
    <n v="103483"/>
    <n v="10217"/>
    <n v="81.7"/>
    <n v="0"/>
    <n v="9"/>
    <n v="4"/>
    <n v="36"/>
    <n v="99"/>
    <x v="0"/>
    <x v="0"/>
  </r>
  <r>
    <s v="EMP00052"/>
    <x v="152"/>
    <x v="1"/>
    <n v="29"/>
    <x v="6"/>
    <x v="3"/>
    <x v="275"/>
    <x v="0"/>
    <x v="2"/>
    <x v="1"/>
    <s v="Referral"/>
    <x v="1"/>
    <s v="Fatima Noor"/>
    <n v="53989"/>
    <n v="16510"/>
    <n v="99.7"/>
    <n v="5"/>
    <n v="16"/>
    <n v="4"/>
    <n v="19"/>
    <n v="96"/>
    <x v="0"/>
    <x v="0"/>
  </r>
  <r>
    <s v="EMP01569"/>
    <x v="161"/>
    <x v="1"/>
    <n v="29"/>
    <x v="8"/>
    <x v="3"/>
    <x v="275"/>
    <x v="0"/>
    <x v="0"/>
    <x v="2"/>
    <s v="Referral"/>
    <x v="6"/>
    <s v="Sara Ali"/>
    <n v="124064"/>
    <n v="18208"/>
    <n v="83.3"/>
    <n v="7"/>
    <n v="21"/>
    <n v="2"/>
    <n v="14"/>
    <n v="71"/>
    <x v="0"/>
    <x v="0"/>
  </r>
  <r>
    <s v="EMP01680"/>
    <x v="171"/>
    <x v="0"/>
    <n v="59"/>
    <x v="6"/>
    <x v="4"/>
    <x v="275"/>
    <x v="0"/>
    <x v="0"/>
    <x v="4"/>
    <s v="Referral"/>
    <x v="6"/>
    <s v="Usman Tariq"/>
    <n v="224795"/>
    <n v="28827"/>
    <n v="81.2"/>
    <n v="7"/>
    <n v="20"/>
    <n v="2"/>
    <n v="2"/>
    <n v="75"/>
    <x v="0"/>
    <x v="0"/>
  </r>
  <r>
    <s v="EMP00056"/>
    <x v="99"/>
    <x v="0"/>
    <n v="57"/>
    <x v="2"/>
    <x v="5"/>
    <x v="276"/>
    <x v="0"/>
    <x v="1"/>
    <x v="3"/>
    <s v="Website"/>
    <x v="7"/>
    <s v="Ahmed Raza"/>
    <n v="240366"/>
    <n v="27260"/>
    <n v="93.9"/>
    <n v="4"/>
    <n v="3"/>
    <n v="5"/>
    <n v="39"/>
    <n v="77"/>
    <x v="0"/>
    <x v="0"/>
  </r>
  <r>
    <s v="EMP00827"/>
    <x v="71"/>
    <x v="1"/>
    <n v="47"/>
    <x v="0"/>
    <x v="0"/>
    <x v="276"/>
    <x v="0"/>
    <x v="0"/>
    <x v="0"/>
    <s v="Agency"/>
    <x v="7"/>
    <s v="Sara Ali"/>
    <n v="98740"/>
    <n v="29335"/>
    <n v="98.3"/>
    <n v="0"/>
    <n v="24"/>
    <n v="2"/>
    <n v="15"/>
    <n v="61"/>
    <x v="0"/>
    <x v="0"/>
  </r>
  <r>
    <s v="EMP00949"/>
    <x v="21"/>
    <x v="0"/>
    <n v="24"/>
    <x v="0"/>
    <x v="3"/>
    <x v="276"/>
    <x v="0"/>
    <x v="1"/>
    <x v="2"/>
    <s v="Linkedin"/>
    <x v="2"/>
    <s v="Bilal Khan"/>
    <n v="180860"/>
    <n v="6960"/>
    <n v="90.2"/>
    <n v="6"/>
    <n v="4"/>
    <n v="2"/>
    <n v="9"/>
    <n v="62"/>
    <x v="1"/>
    <x v="0"/>
  </r>
  <r>
    <s v="EMP01836"/>
    <x v="107"/>
    <x v="0"/>
    <n v="32"/>
    <x v="6"/>
    <x v="4"/>
    <x v="276"/>
    <x v="1"/>
    <x v="0"/>
    <x v="3"/>
    <s v="Referral"/>
    <x v="1"/>
    <s v="Usman Tariq"/>
    <n v="48364"/>
    <n v="15978"/>
    <n v="83.6"/>
    <n v="4"/>
    <n v="29"/>
    <n v="1"/>
    <n v="1"/>
    <n v="100"/>
    <x v="0"/>
    <x v="5"/>
  </r>
  <r>
    <s v="EMP00217"/>
    <x v="61"/>
    <x v="1"/>
    <n v="50"/>
    <x v="2"/>
    <x v="3"/>
    <x v="277"/>
    <x v="0"/>
    <x v="2"/>
    <x v="4"/>
    <s v="Campus"/>
    <x v="6"/>
    <s v="Bilal Khan"/>
    <n v="67246"/>
    <n v="49211"/>
    <n v="97.6"/>
    <n v="2"/>
    <n v="11"/>
    <n v="5"/>
    <n v="37"/>
    <n v="60"/>
    <x v="0"/>
    <x v="0"/>
  </r>
  <r>
    <s v="EMP00356"/>
    <x v="184"/>
    <x v="0"/>
    <n v="35"/>
    <x v="0"/>
    <x v="2"/>
    <x v="277"/>
    <x v="0"/>
    <x v="2"/>
    <x v="1"/>
    <s v="Agency"/>
    <x v="1"/>
    <s v="Sara Ali"/>
    <n v="89341"/>
    <n v="18912"/>
    <n v="94"/>
    <n v="4"/>
    <n v="26"/>
    <n v="1"/>
    <n v="28"/>
    <n v="88"/>
    <x v="1"/>
    <x v="0"/>
  </r>
  <r>
    <s v="EMP00554"/>
    <x v="168"/>
    <x v="0"/>
    <n v="38"/>
    <x v="8"/>
    <x v="3"/>
    <x v="277"/>
    <x v="0"/>
    <x v="0"/>
    <x v="3"/>
    <s v="Campus"/>
    <x v="4"/>
    <s v="Bilal Khan"/>
    <n v="125330"/>
    <n v="21731"/>
    <n v="81.5"/>
    <n v="2"/>
    <n v="30"/>
    <n v="4"/>
    <n v="33"/>
    <n v="97"/>
    <x v="0"/>
    <x v="0"/>
  </r>
  <r>
    <s v="EMP01401"/>
    <x v="126"/>
    <x v="0"/>
    <n v="56"/>
    <x v="0"/>
    <x v="7"/>
    <x v="277"/>
    <x v="0"/>
    <x v="0"/>
    <x v="1"/>
    <s v="Campus"/>
    <x v="0"/>
    <s v="Bilal Khan"/>
    <n v="84040"/>
    <n v="25150"/>
    <n v="83"/>
    <n v="2"/>
    <n v="9"/>
    <n v="4"/>
    <n v="17"/>
    <n v="86"/>
    <x v="1"/>
    <x v="0"/>
  </r>
  <r>
    <s v="EMP00755"/>
    <x v="57"/>
    <x v="0"/>
    <n v="44"/>
    <x v="2"/>
    <x v="3"/>
    <x v="278"/>
    <x v="0"/>
    <x v="1"/>
    <x v="2"/>
    <s v="Campus"/>
    <x v="3"/>
    <s v="Ahmed Raza"/>
    <n v="151762"/>
    <n v="25105"/>
    <n v="98.4"/>
    <n v="3"/>
    <n v="24"/>
    <n v="5"/>
    <n v="32"/>
    <n v="63"/>
    <x v="0"/>
    <x v="0"/>
  </r>
  <r>
    <s v="EMP01303"/>
    <x v="100"/>
    <x v="1"/>
    <n v="43"/>
    <x v="2"/>
    <x v="1"/>
    <x v="278"/>
    <x v="0"/>
    <x v="1"/>
    <x v="3"/>
    <s v="Agency"/>
    <x v="3"/>
    <s v="Usman Tariq"/>
    <n v="140952"/>
    <n v="19627"/>
    <n v="99"/>
    <n v="4"/>
    <n v="9"/>
    <n v="4"/>
    <n v="26"/>
    <n v="86"/>
    <x v="0"/>
    <x v="0"/>
  </r>
  <r>
    <s v="EMP01369"/>
    <x v="133"/>
    <x v="0"/>
    <n v="21"/>
    <x v="0"/>
    <x v="5"/>
    <x v="278"/>
    <x v="0"/>
    <x v="0"/>
    <x v="4"/>
    <s v="Campus"/>
    <x v="2"/>
    <s v="Sara Ali"/>
    <n v="208113"/>
    <n v="27118"/>
    <n v="89.8"/>
    <n v="6"/>
    <n v="2"/>
    <n v="5"/>
    <n v="2"/>
    <n v="96"/>
    <x v="0"/>
    <x v="0"/>
  </r>
  <r>
    <s v="EMP01590"/>
    <x v="186"/>
    <x v="1"/>
    <n v="39"/>
    <x v="0"/>
    <x v="1"/>
    <x v="278"/>
    <x v="0"/>
    <x v="2"/>
    <x v="4"/>
    <s v="Website"/>
    <x v="4"/>
    <s v="Ahmed Raza"/>
    <n v="183815"/>
    <n v="45830"/>
    <n v="80.7"/>
    <n v="7"/>
    <n v="30"/>
    <n v="2"/>
    <n v="0"/>
    <n v="98"/>
    <x v="0"/>
    <x v="0"/>
  </r>
  <r>
    <s v="EMP00553"/>
    <x v="5"/>
    <x v="1"/>
    <n v="34"/>
    <x v="7"/>
    <x v="2"/>
    <x v="279"/>
    <x v="0"/>
    <x v="2"/>
    <x v="2"/>
    <s v="Referral"/>
    <x v="0"/>
    <s v="Sara Ali"/>
    <n v="36235"/>
    <n v="8652"/>
    <n v="94.8"/>
    <n v="6"/>
    <n v="14"/>
    <n v="3"/>
    <n v="29"/>
    <n v="68"/>
    <x v="0"/>
    <x v="0"/>
  </r>
  <r>
    <s v="EMP00772"/>
    <x v="18"/>
    <x v="0"/>
    <n v="55"/>
    <x v="7"/>
    <x v="5"/>
    <x v="279"/>
    <x v="0"/>
    <x v="0"/>
    <x v="0"/>
    <s v="Linkedin"/>
    <x v="6"/>
    <s v="Sara Ali"/>
    <n v="59179"/>
    <n v="7991"/>
    <n v="93.3"/>
    <n v="7"/>
    <n v="24"/>
    <n v="5"/>
    <n v="7"/>
    <n v="76"/>
    <x v="0"/>
    <x v="0"/>
  </r>
  <r>
    <s v="EMP01741"/>
    <x v="114"/>
    <x v="0"/>
    <n v="33"/>
    <x v="8"/>
    <x v="3"/>
    <x v="279"/>
    <x v="1"/>
    <x v="0"/>
    <x v="0"/>
    <s v="Linkedin"/>
    <x v="5"/>
    <s v="Sara Ali"/>
    <n v="167055"/>
    <n v="8122"/>
    <n v="92.5"/>
    <n v="2"/>
    <n v="28"/>
    <n v="3"/>
    <n v="15"/>
    <n v="67"/>
    <x v="0"/>
    <x v="1"/>
  </r>
  <r>
    <s v="EMP01860"/>
    <x v="16"/>
    <x v="0"/>
    <n v="42"/>
    <x v="8"/>
    <x v="1"/>
    <x v="279"/>
    <x v="0"/>
    <x v="0"/>
    <x v="2"/>
    <s v="Website"/>
    <x v="1"/>
    <s v="Ahmed Raza"/>
    <n v="144579"/>
    <n v="45760"/>
    <n v="89.1"/>
    <n v="3"/>
    <n v="10"/>
    <n v="4"/>
    <n v="34"/>
    <n v="89"/>
    <x v="1"/>
    <x v="0"/>
  </r>
  <r>
    <s v="EMP00360"/>
    <x v="16"/>
    <x v="0"/>
    <n v="29"/>
    <x v="5"/>
    <x v="7"/>
    <x v="280"/>
    <x v="0"/>
    <x v="1"/>
    <x v="3"/>
    <s v="Website"/>
    <x v="4"/>
    <s v="Usman Tariq"/>
    <n v="164005"/>
    <n v="10567"/>
    <n v="94.8"/>
    <n v="0"/>
    <n v="26"/>
    <n v="5"/>
    <n v="5"/>
    <n v="70"/>
    <x v="1"/>
    <x v="0"/>
  </r>
  <r>
    <s v="EMP00310"/>
    <x v="28"/>
    <x v="1"/>
    <n v="41"/>
    <x v="4"/>
    <x v="7"/>
    <x v="281"/>
    <x v="0"/>
    <x v="1"/>
    <x v="3"/>
    <s v="Linkedin"/>
    <x v="5"/>
    <s v="Usman Tariq"/>
    <n v="235975"/>
    <n v="46971"/>
    <n v="93.1"/>
    <n v="3"/>
    <n v="6"/>
    <n v="1"/>
    <n v="15"/>
    <n v="67"/>
    <x v="1"/>
    <x v="0"/>
  </r>
  <r>
    <s v="EMP01925"/>
    <x v="191"/>
    <x v="1"/>
    <n v="38"/>
    <x v="3"/>
    <x v="6"/>
    <x v="281"/>
    <x v="0"/>
    <x v="2"/>
    <x v="2"/>
    <s v="Campus"/>
    <x v="5"/>
    <s v="Sara Ali"/>
    <n v="196947"/>
    <n v="6377"/>
    <n v="88.8"/>
    <n v="5"/>
    <n v="8"/>
    <n v="3"/>
    <n v="18"/>
    <n v="93"/>
    <x v="0"/>
    <x v="0"/>
  </r>
  <r>
    <s v="EMP00389"/>
    <x v="102"/>
    <x v="1"/>
    <n v="37"/>
    <x v="8"/>
    <x v="6"/>
    <x v="282"/>
    <x v="0"/>
    <x v="2"/>
    <x v="4"/>
    <s v="Campus"/>
    <x v="3"/>
    <s v="Fatima Noor"/>
    <n v="164505"/>
    <n v="43044"/>
    <n v="86.6"/>
    <n v="3"/>
    <n v="2"/>
    <n v="2"/>
    <n v="24"/>
    <n v="85"/>
    <x v="0"/>
    <x v="0"/>
  </r>
  <r>
    <s v="EMP01074"/>
    <x v="127"/>
    <x v="0"/>
    <n v="44"/>
    <x v="8"/>
    <x v="5"/>
    <x v="282"/>
    <x v="0"/>
    <x v="0"/>
    <x v="2"/>
    <s v="Campus"/>
    <x v="3"/>
    <s v="Bilal Khan"/>
    <n v="164499"/>
    <n v="10904"/>
    <n v="83.2"/>
    <n v="6"/>
    <n v="22"/>
    <n v="3"/>
    <n v="2"/>
    <n v="79"/>
    <x v="0"/>
    <x v="0"/>
  </r>
  <r>
    <s v="EMP01385"/>
    <x v="87"/>
    <x v="1"/>
    <n v="35"/>
    <x v="0"/>
    <x v="3"/>
    <x v="282"/>
    <x v="0"/>
    <x v="2"/>
    <x v="3"/>
    <s v="Website"/>
    <x v="0"/>
    <s v="Sara Ali"/>
    <n v="72716"/>
    <n v="26848"/>
    <n v="83.8"/>
    <n v="0"/>
    <n v="25"/>
    <n v="2"/>
    <n v="7"/>
    <n v="76"/>
    <x v="0"/>
    <x v="0"/>
  </r>
  <r>
    <s v="EMP01066"/>
    <x v="22"/>
    <x v="1"/>
    <n v="35"/>
    <x v="8"/>
    <x v="7"/>
    <x v="283"/>
    <x v="0"/>
    <x v="2"/>
    <x v="3"/>
    <s v="Linkedin"/>
    <x v="4"/>
    <s v="Fatima Noor"/>
    <n v="58315"/>
    <n v="30747"/>
    <n v="85.6"/>
    <n v="5"/>
    <n v="30"/>
    <n v="2"/>
    <n v="15"/>
    <n v="73"/>
    <x v="0"/>
    <x v="0"/>
  </r>
  <r>
    <s v="EMP01624"/>
    <x v="79"/>
    <x v="0"/>
    <n v="25"/>
    <x v="6"/>
    <x v="5"/>
    <x v="283"/>
    <x v="0"/>
    <x v="0"/>
    <x v="4"/>
    <s v="Website"/>
    <x v="5"/>
    <s v="Fatima Noor"/>
    <n v="155601"/>
    <n v="16883"/>
    <n v="89.4"/>
    <n v="0"/>
    <n v="18"/>
    <n v="4"/>
    <n v="31"/>
    <n v="88"/>
    <x v="0"/>
    <x v="0"/>
  </r>
  <r>
    <s v="EMP00306"/>
    <x v="101"/>
    <x v="1"/>
    <n v="29"/>
    <x v="7"/>
    <x v="2"/>
    <x v="284"/>
    <x v="0"/>
    <x v="2"/>
    <x v="2"/>
    <s v="Linkedin"/>
    <x v="4"/>
    <s v="Sara Ali"/>
    <n v="146791"/>
    <n v="37425"/>
    <n v="87.4"/>
    <n v="10"/>
    <n v="9"/>
    <n v="3"/>
    <n v="31"/>
    <n v="64"/>
    <x v="1"/>
    <x v="0"/>
  </r>
  <r>
    <s v="EMP00783"/>
    <x v="173"/>
    <x v="1"/>
    <n v="38"/>
    <x v="7"/>
    <x v="2"/>
    <x v="284"/>
    <x v="1"/>
    <x v="2"/>
    <x v="1"/>
    <s v="Campus"/>
    <x v="4"/>
    <s v="Usman Tariq"/>
    <n v="243795"/>
    <n v="44369"/>
    <n v="95.8"/>
    <n v="2"/>
    <n v="13"/>
    <n v="2"/>
    <n v="20"/>
    <n v="83"/>
    <x v="0"/>
    <x v="4"/>
  </r>
  <r>
    <s v="EMP00940"/>
    <x v="187"/>
    <x v="1"/>
    <n v="54"/>
    <x v="8"/>
    <x v="7"/>
    <x v="284"/>
    <x v="0"/>
    <x v="2"/>
    <x v="0"/>
    <s v="Campus"/>
    <x v="1"/>
    <s v="Fatima Noor"/>
    <n v="35916"/>
    <n v="10579"/>
    <n v="99.3"/>
    <n v="6"/>
    <n v="2"/>
    <n v="3"/>
    <n v="36"/>
    <n v="86"/>
    <x v="0"/>
    <x v="0"/>
  </r>
  <r>
    <s v="EMP01072"/>
    <x v="73"/>
    <x v="0"/>
    <n v="33"/>
    <x v="2"/>
    <x v="6"/>
    <x v="284"/>
    <x v="1"/>
    <x v="2"/>
    <x v="2"/>
    <s v="Campus"/>
    <x v="6"/>
    <s v="Ahmed Raza"/>
    <n v="178888"/>
    <n v="13991"/>
    <n v="99.1"/>
    <n v="5"/>
    <n v="29"/>
    <n v="1"/>
    <n v="37"/>
    <n v="75"/>
    <x v="1"/>
    <x v="2"/>
  </r>
  <r>
    <s v="EMP00905"/>
    <x v="180"/>
    <x v="0"/>
    <n v="42"/>
    <x v="1"/>
    <x v="6"/>
    <x v="285"/>
    <x v="0"/>
    <x v="0"/>
    <x v="0"/>
    <s v="Linkedin"/>
    <x v="1"/>
    <s v="Usman Tariq"/>
    <n v="197110"/>
    <n v="35192"/>
    <n v="83.4"/>
    <n v="10"/>
    <n v="15"/>
    <n v="5"/>
    <n v="27"/>
    <n v="94"/>
    <x v="0"/>
    <x v="0"/>
  </r>
  <r>
    <s v="EMP01516"/>
    <x v="1"/>
    <x v="0"/>
    <n v="21"/>
    <x v="0"/>
    <x v="1"/>
    <x v="285"/>
    <x v="0"/>
    <x v="0"/>
    <x v="4"/>
    <s v="Campus"/>
    <x v="3"/>
    <s v="Bilal Khan"/>
    <n v="247278"/>
    <n v="38011"/>
    <n v="86.4"/>
    <n v="4"/>
    <n v="29"/>
    <n v="2"/>
    <n v="26"/>
    <n v="79"/>
    <x v="0"/>
    <x v="0"/>
  </r>
  <r>
    <s v="EMP00457"/>
    <x v="144"/>
    <x v="1"/>
    <n v="30"/>
    <x v="2"/>
    <x v="7"/>
    <x v="286"/>
    <x v="0"/>
    <x v="1"/>
    <x v="3"/>
    <s v="Agency"/>
    <x v="4"/>
    <s v="Sara Ali"/>
    <n v="38068"/>
    <n v="32329"/>
    <n v="84"/>
    <n v="2"/>
    <n v="29"/>
    <n v="3"/>
    <n v="22"/>
    <n v="63"/>
    <x v="0"/>
    <x v="0"/>
  </r>
  <r>
    <s v="EMP00606"/>
    <x v="189"/>
    <x v="1"/>
    <n v="36"/>
    <x v="4"/>
    <x v="5"/>
    <x v="286"/>
    <x v="0"/>
    <x v="1"/>
    <x v="0"/>
    <s v="Campus"/>
    <x v="4"/>
    <s v="Sara Ali"/>
    <n v="134258"/>
    <n v="45085"/>
    <n v="86.1"/>
    <n v="2"/>
    <n v="8"/>
    <n v="4"/>
    <n v="38"/>
    <n v="78"/>
    <x v="1"/>
    <x v="0"/>
  </r>
  <r>
    <s v="EMP01190"/>
    <x v="178"/>
    <x v="0"/>
    <n v="23"/>
    <x v="1"/>
    <x v="6"/>
    <x v="286"/>
    <x v="0"/>
    <x v="1"/>
    <x v="1"/>
    <s v="Referral"/>
    <x v="3"/>
    <s v="Fatima Noor"/>
    <n v="241554"/>
    <n v="5815"/>
    <n v="93.6"/>
    <n v="10"/>
    <n v="1"/>
    <n v="5"/>
    <n v="19"/>
    <n v="60"/>
    <x v="1"/>
    <x v="0"/>
  </r>
  <r>
    <s v="EMP00137"/>
    <x v="68"/>
    <x v="1"/>
    <n v="55"/>
    <x v="8"/>
    <x v="3"/>
    <x v="287"/>
    <x v="0"/>
    <x v="1"/>
    <x v="0"/>
    <s v="Website"/>
    <x v="4"/>
    <s v="Bilal Khan"/>
    <n v="148466"/>
    <n v="32568"/>
    <n v="87.1"/>
    <n v="3"/>
    <n v="2"/>
    <n v="3"/>
    <n v="26"/>
    <n v="85"/>
    <x v="1"/>
    <x v="0"/>
  </r>
  <r>
    <s v="EMP00922"/>
    <x v="193"/>
    <x v="0"/>
    <n v="45"/>
    <x v="0"/>
    <x v="3"/>
    <x v="287"/>
    <x v="0"/>
    <x v="1"/>
    <x v="4"/>
    <s v="Agency"/>
    <x v="6"/>
    <s v="Sara Ali"/>
    <n v="39331"/>
    <n v="41363"/>
    <n v="83.4"/>
    <n v="7"/>
    <n v="17"/>
    <n v="4"/>
    <n v="26"/>
    <n v="77"/>
    <x v="1"/>
    <x v="0"/>
  </r>
  <r>
    <s v="EMP01012"/>
    <x v="151"/>
    <x v="0"/>
    <n v="25"/>
    <x v="1"/>
    <x v="4"/>
    <x v="287"/>
    <x v="0"/>
    <x v="0"/>
    <x v="2"/>
    <s v="Agency"/>
    <x v="4"/>
    <s v="Sara Ali"/>
    <n v="70132"/>
    <n v="23888"/>
    <n v="85.8"/>
    <n v="4"/>
    <n v="24"/>
    <n v="1"/>
    <n v="39"/>
    <n v="98"/>
    <x v="1"/>
    <x v="0"/>
  </r>
  <r>
    <s v="EMP01137"/>
    <x v="193"/>
    <x v="0"/>
    <n v="34"/>
    <x v="2"/>
    <x v="6"/>
    <x v="287"/>
    <x v="0"/>
    <x v="2"/>
    <x v="1"/>
    <s v="Campus"/>
    <x v="5"/>
    <s v="Sara Ali"/>
    <n v="74122"/>
    <n v="14311"/>
    <n v="81.900000000000006"/>
    <n v="4"/>
    <n v="9"/>
    <n v="1"/>
    <n v="24"/>
    <n v="87"/>
    <x v="0"/>
    <x v="0"/>
  </r>
  <r>
    <s v="EMP01405"/>
    <x v="115"/>
    <x v="1"/>
    <n v="49"/>
    <x v="1"/>
    <x v="6"/>
    <x v="287"/>
    <x v="0"/>
    <x v="1"/>
    <x v="4"/>
    <s v="Agency"/>
    <x v="3"/>
    <s v="Ahmed Raza"/>
    <n v="212146"/>
    <n v="39346"/>
    <n v="99"/>
    <n v="3"/>
    <n v="12"/>
    <n v="2"/>
    <n v="36"/>
    <n v="87"/>
    <x v="1"/>
    <x v="0"/>
  </r>
  <r>
    <s v="EMP01800"/>
    <x v="42"/>
    <x v="0"/>
    <n v="24"/>
    <x v="1"/>
    <x v="7"/>
    <x v="287"/>
    <x v="0"/>
    <x v="2"/>
    <x v="4"/>
    <s v="Website"/>
    <x v="3"/>
    <s v="Bilal Khan"/>
    <n v="194749"/>
    <n v="38715"/>
    <n v="94.9"/>
    <n v="9"/>
    <n v="14"/>
    <n v="5"/>
    <n v="38"/>
    <n v="80"/>
    <x v="0"/>
    <x v="0"/>
  </r>
  <r>
    <s v="EMP01948"/>
    <x v="96"/>
    <x v="0"/>
    <n v="31"/>
    <x v="6"/>
    <x v="1"/>
    <x v="287"/>
    <x v="0"/>
    <x v="1"/>
    <x v="1"/>
    <s v="Linkedin"/>
    <x v="6"/>
    <s v="Sara Ali"/>
    <n v="234133"/>
    <n v="11292"/>
    <n v="91.5"/>
    <n v="10"/>
    <n v="5"/>
    <n v="1"/>
    <n v="5"/>
    <n v="82"/>
    <x v="0"/>
    <x v="0"/>
  </r>
  <r>
    <s v="EMP00930"/>
    <x v="8"/>
    <x v="1"/>
    <n v="43"/>
    <x v="6"/>
    <x v="6"/>
    <x v="288"/>
    <x v="0"/>
    <x v="0"/>
    <x v="1"/>
    <s v="Agency"/>
    <x v="5"/>
    <s v="Ahmed Raza"/>
    <n v="46852"/>
    <n v="36720"/>
    <n v="90.5"/>
    <n v="8"/>
    <n v="28"/>
    <n v="2"/>
    <n v="3"/>
    <n v="93"/>
    <x v="0"/>
    <x v="0"/>
  </r>
  <r>
    <s v="EMP01455"/>
    <x v="14"/>
    <x v="0"/>
    <n v="45"/>
    <x v="5"/>
    <x v="5"/>
    <x v="288"/>
    <x v="0"/>
    <x v="0"/>
    <x v="3"/>
    <s v="Campus"/>
    <x v="2"/>
    <s v="Bilal Khan"/>
    <n v="171905"/>
    <n v="18516"/>
    <n v="82.6"/>
    <n v="4"/>
    <n v="2"/>
    <n v="3"/>
    <n v="19"/>
    <n v="86"/>
    <x v="0"/>
    <x v="0"/>
  </r>
  <r>
    <s v="EMP01736"/>
    <x v="24"/>
    <x v="0"/>
    <n v="55"/>
    <x v="8"/>
    <x v="1"/>
    <x v="288"/>
    <x v="0"/>
    <x v="2"/>
    <x v="3"/>
    <s v="Agency"/>
    <x v="4"/>
    <s v="Ahmed Raza"/>
    <n v="131588"/>
    <n v="18736"/>
    <n v="94.5"/>
    <n v="0"/>
    <n v="19"/>
    <n v="1"/>
    <n v="24"/>
    <n v="60"/>
    <x v="0"/>
    <x v="0"/>
  </r>
  <r>
    <s v="EMP00025"/>
    <x v="92"/>
    <x v="1"/>
    <n v="31"/>
    <x v="7"/>
    <x v="0"/>
    <x v="289"/>
    <x v="0"/>
    <x v="2"/>
    <x v="3"/>
    <s v="Referral"/>
    <x v="7"/>
    <s v="Sara Ali"/>
    <n v="207221"/>
    <n v="29028"/>
    <n v="97.3"/>
    <n v="5"/>
    <n v="24"/>
    <n v="2"/>
    <n v="11"/>
    <n v="72"/>
    <x v="0"/>
    <x v="0"/>
  </r>
  <r>
    <s v="EMP00694"/>
    <x v="92"/>
    <x v="1"/>
    <n v="51"/>
    <x v="7"/>
    <x v="2"/>
    <x v="289"/>
    <x v="0"/>
    <x v="2"/>
    <x v="0"/>
    <s v="Referral"/>
    <x v="2"/>
    <s v="Fatima Noor"/>
    <n v="76798"/>
    <n v="48223"/>
    <n v="94.3"/>
    <n v="5"/>
    <n v="27"/>
    <n v="3"/>
    <n v="3"/>
    <n v="99"/>
    <x v="0"/>
    <x v="0"/>
  </r>
  <r>
    <s v="EMP00847"/>
    <x v="174"/>
    <x v="1"/>
    <n v="28"/>
    <x v="2"/>
    <x v="7"/>
    <x v="289"/>
    <x v="1"/>
    <x v="0"/>
    <x v="1"/>
    <s v="Referral"/>
    <x v="7"/>
    <s v="Ahmed Raza"/>
    <n v="169630"/>
    <n v="16213"/>
    <n v="93"/>
    <n v="4"/>
    <n v="16"/>
    <n v="3"/>
    <n v="37"/>
    <n v="73"/>
    <x v="1"/>
    <x v="2"/>
  </r>
  <r>
    <s v="EMP00976"/>
    <x v="93"/>
    <x v="0"/>
    <n v="46"/>
    <x v="3"/>
    <x v="7"/>
    <x v="289"/>
    <x v="0"/>
    <x v="2"/>
    <x v="2"/>
    <s v="Website"/>
    <x v="4"/>
    <s v="Ahmed Raza"/>
    <n v="183060"/>
    <n v="9738"/>
    <n v="81.099999999999994"/>
    <n v="7"/>
    <n v="17"/>
    <n v="1"/>
    <n v="28"/>
    <n v="60"/>
    <x v="0"/>
    <x v="0"/>
  </r>
  <r>
    <s v="EMP01609"/>
    <x v="25"/>
    <x v="0"/>
    <n v="39"/>
    <x v="8"/>
    <x v="3"/>
    <x v="289"/>
    <x v="0"/>
    <x v="2"/>
    <x v="4"/>
    <s v="Agency"/>
    <x v="6"/>
    <s v="Bilal Khan"/>
    <n v="81863"/>
    <n v="42415"/>
    <n v="82.5"/>
    <n v="4"/>
    <n v="17"/>
    <n v="2"/>
    <n v="23"/>
    <n v="78"/>
    <x v="0"/>
    <x v="0"/>
  </r>
  <r>
    <s v="EMP01959"/>
    <x v="77"/>
    <x v="1"/>
    <n v="21"/>
    <x v="3"/>
    <x v="7"/>
    <x v="289"/>
    <x v="0"/>
    <x v="2"/>
    <x v="2"/>
    <s v="Campus"/>
    <x v="5"/>
    <s v="Fatima Noor"/>
    <n v="240130"/>
    <n v="44092"/>
    <n v="90.3"/>
    <n v="9"/>
    <n v="27"/>
    <n v="5"/>
    <n v="19"/>
    <n v="97"/>
    <x v="0"/>
    <x v="0"/>
  </r>
  <r>
    <s v="EMP00258"/>
    <x v="94"/>
    <x v="1"/>
    <n v="53"/>
    <x v="6"/>
    <x v="3"/>
    <x v="290"/>
    <x v="0"/>
    <x v="2"/>
    <x v="2"/>
    <s v="Referral"/>
    <x v="3"/>
    <s v="Bilal Khan"/>
    <n v="193269"/>
    <n v="12556"/>
    <n v="80.599999999999994"/>
    <n v="2"/>
    <n v="5"/>
    <n v="5"/>
    <n v="5"/>
    <n v="68"/>
    <x v="0"/>
    <x v="0"/>
  </r>
  <r>
    <s v="EMP00287"/>
    <x v="164"/>
    <x v="0"/>
    <n v="48"/>
    <x v="6"/>
    <x v="1"/>
    <x v="290"/>
    <x v="0"/>
    <x v="1"/>
    <x v="1"/>
    <s v="Agency"/>
    <x v="0"/>
    <s v="Usman Tariq"/>
    <n v="208726"/>
    <n v="29756"/>
    <n v="82.3"/>
    <n v="6"/>
    <n v="17"/>
    <n v="4"/>
    <n v="10"/>
    <n v="98"/>
    <x v="0"/>
    <x v="0"/>
  </r>
  <r>
    <s v="EMP01501"/>
    <x v="66"/>
    <x v="0"/>
    <n v="24"/>
    <x v="0"/>
    <x v="6"/>
    <x v="290"/>
    <x v="0"/>
    <x v="1"/>
    <x v="1"/>
    <s v="Linkedin"/>
    <x v="4"/>
    <s v="Usman Tariq"/>
    <n v="179807"/>
    <n v="17287"/>
    <n v="87.5"/>
    <n v="9"/>
    <n v="13"/>
    <n v="4"/>
    <n v="11"/>
    <n v="93"/>
    <x v="0"/>
    <x v="0"/>
  </r>
  <r>
    <s v="EMP00069"/>
    <x v="102"/>
    <x v="1"/>
    <n v="34"/>
    <x v="2"/>
    <x v="4"/>
    <x v="291"/>
    <x v="0"/>
    <x v="2"/>
    <x v="2"/>
    <s v="Referral"/>
    <x v="2"/>
    <s v="Bilal Khan"/>
    <n v="48940"/>
    <n v="10367"/>
    <n v="84.4"/>
    <n v="10"/>
    <n v="8"/>
    <n v="2"/>
    <n v="15"/>
    <n v="85"/>
    <x v="0"/>
    <x v="0"/>
  </r>
  <r>
    <s v="EMP00927"/>
    <x v="34"/>
    <x v="0"/>
    <n v="29"/>
    <x v="4"/>
    <x v="0"/>
    <x v="291"/>
    <x v="0"/>
    <x v="0"/>
    <x v="3"/>
    <s v="Website"/>
    <x v="1"/>
    <s v="Ahmed Raza"/>
    <n v="145509"/>
    <n v="32308"/>
    <n v="80"/>
    <n v="0"/>
    <n v="9"/>
    <n v="2"/>
    <n v="28"/>
    <n v="74"/>
    <x v="0"/>
    <x v="0"/>
  </r>
  <r>
    <s v="EMP00933"/>
    <x v="194"/>
    <x v="0"/>
    <n v="25"/>
    <x v="4"/>
    <x v="0"/>
    <x v="291"/>
    <x v="1"/>
    <x v="2"/>
    <x v="0"/>
    <s v="Campus"/>
    <x v="5"/>
    <s v="Fatima Noor"/>
    <n v="71365"/>
    <n v="21578"/>
    <n v="80.7"/>
    <n v="2"/>
    <n v="0"/>
    <n v="3"/>
    <n v="1"/>
    <n v="66"/>
    <x v="1"/>
    <x v="5"/>
  </r>
  <r>
    <s v="EMP01337"/>
    <x v="144"/>
    <x v="1"/>
    <n v="31"/>
    <x v="2"/>
    <x v="0"/>
    <x v="291"/>
    <x v="0"/>
    <x v="2"/>
    <x v="0"/>
    <s v="Referral"/>
    <x v="7"/>
    <s v="Ahmed Raza"/>
    <n v="117799"/>
    <n v="27448"/>
    <n v="99"/>
    <n v="7"/>
    <n v="24"/>
    <n v="1"/>
    <n v="39"/>
    <n v="67"/>
    <x v="0"/>
    <x v="0"/>
  </r>
  <r>
    <s v="EMP00645"/>
    <x v="99"/>
    <x v="1"/>
    <n v="56"/>
    <x v="6"/>
    <x v="5"/>
    <x v="292"/>
    <x v="1"/>
    <x v="2"/>
    <x v="0"/>
    <s v="Agency"/>
    <x v="0"/>
    <s v="Fatima Noor"/>
    <n v="115474"/>
    <n v="10662"/>
    <n v="89.8"/>
    <n v="9"/>
    <n v="11"/>
    <n v="2"/>
    <n v="4"/>
    <n v="89"/>
    <x v="0"/>
    <x v="3"/>
  </r>
  <r>
    <s v="EMP00989"/>
    <x v="190"/>
    <x v="0"/>
    <n v="40"/>
    <x v="5"/>
    <x v="3"/>
    <x v="292"/>
    <x v="0"/>
    <x v="0"/>
    <x v="0"/>
    <s v="Linkedin"/>
    <x v="2"/>
    <s v="Bilal Khan"/>
    <n v="178589"/>
    <n v="41020"/>
    <n v="90.3"/>
    <n v="4"/>
    <n v="11"/>
    <n v="3"/>
    <n v="32"/>
    <n v="99"/>
    <x v="0"/>
    <x v="0"/>
  </r>
  <r>
    <s v="EMP01717"/>
    <x v="134"/>
    <x v="1"/>
    <n v="51"/>
    <x v="8"/>
    <x v="1"/>
    <x v="292"/>
    <x v="0"/>
    <x v="2"/>
    <x v="1"/>
    <s v="Campus"/>
    <x v="0"/>
    <s v="Bilal Khan"/>
    <n v="182183"/>
    <n v="5178"/>
    <n v="82.9"/>
    <n v="6"/>
    <n v="30"/>
    <n v="5"/>
    <n v="33"/>
    <n v="60"/>
    <x v="1"/>
    <x v="0"/>
  </r>
  <r>
    <s v="EMP01897"/>
    <x v="65"/>
    <x v="0"/>
    <n v="26"/>
    <x v="0"/>
    <x v="6"/>
    <x v="292"/>
    <x v="0"/>
    <x v="2"/>
    <x v="1"/>
    <s v="Website"/>
    <x v="0"/>
    <s v="Bilal Khan"/>
    <n v="242442"/>
    <n v="45859"/>
    <n v="95.5"/>
    <n v="10"/>
    <n v="1"/>
    <n v="3"/>
    <n v="24"/>
    <n v="99"/>
    <x v="0"/>
    <x v="0"/>
  </r>
  <r>
    <s v="EMP00579"/>
    <x v="195"/>
    <x v="1"/>
    <n v="32"/>
    <x v="5"/>
    <x v="7"/>
    <x v="293"/>
    <x v="0"/>
    <x v="1"/>
    <x v="0"/>
    <s v="Campus"/>
    <x v="0"/>
    <s v="Bilal Khan"/>
    <n v="87860"/>
    <n v="19991"/>
    <n v="86.3"/>
    <n v="5"/>
    <n v="30"/>
    <n v="4"/>
    <n v="23"/>
    <n v="84"/>
    <x v="0"/>
    <x v="0"/>
  </r>
  <r>
    <s v="EMP00987"/>
    <x v="17"/>
    <x v="0"/>
    <n v="34"/>
    <x v="2"/>
    <x v="7"/>
    <x v="293"/>
    <x v="0"/>
    <x v="1"/>
    <x v="2"/>
    <s v="Linkedin"/>
    <x v="6"/>
    <s v="Fatima Noor"/>
    <n v="86674"/>
    <n v="14905"/>
    <n v="96.1"/>
    <n v="4"/>
    <n v="27"/>
    <n v="2"/>
    <n v="25"/>
    <n v="88"/>
    <x v="0"/>
    <x v="0"/>
  </r>
  <r>
    <s v="EMP01575"/>
    <x v="66"/>
    <x v="1"/>
    <n v="36"/>
    <x v="4"/>
    <x v="2"/>
    <x v="294"/>
    <x v="0"/>
    <x v="1"/>
    <x v="3"/>
    <s v="Agency"/>
    <x v="2"/>
    <s v="Usman Tariq"/>
    <n v="81700"/>
    <n v="28512"/>
    <n v="90.6"/>
    <n v="6"/>
    <n v="16"/>
    <n v="2"/>
    <n v="6"/>
    <n v="75"/>
    <x v="0"/>
    <x v="0"/>
  </r>
  <r>
    <s v="EMP00880"/>
    <x v="181"/>
    <x v="0"/>
    <n v="24"/>
    <x v="6"/>
    <x v="4"/>
    <x v="295"/>
    <x v="0"/>
    <x v="0"/>
    <x v="1"/>
    <s v="Referral"/>
    <x v="0"/>
    <s v="Bilal Khan"/>
    <n v="37613"/>
    <n v="40822"/>
    <n v="85.9"/>
    <n v="3"/>
    <n v="7"/>
    <n v="1"/>
    <n v="37"/>
    <n v="67"/>
    <x v="0"/>
    <x v="0"/>
  </r>
  <r>
    <s v="EMP01462"/>
    <x v="167"/>
    <x v="0"/>
    <n v="21"/>
    <x v="0"/>
    <x v="1"/>
    <x v="295"/>
    <x v="0"/>
    <x v="0"/>
    <x v="2"/>
    <s v="Linkedin"/>
    <x v="3"/>
    <s v="Sara Ali"/>
    <n v="131479"/>
    <n v="29850"/>
    <n v="95.6"/>
    <n v="9"/>
    <n v="10"/>
    <n v="4"/>
    <n v="20"/>
    <n v="60"/>
    <x v="0"/>
    <x v="0"/>
  </r>
  <r>
    <s v="EMP01922"/>
    <x v="152"/>
    <x v="0"/>
    <n v="57"/>
    <x v="0"/>
    <x v="0"/>
    <x v="295"/>
    <x v="0"/>
    <x v="0"/>
    <x v="1"/>
    <s v="Agency"/>
    <x v="5"/>
    <s v="Ahmed Raza"/>
    <n v="188156"/>
    <n v="38524"/>
    <n v="89.8"/>
    <n v="1"/>
    <n v="17"/>
    <n v="3"/>
    <n v="31"/>
    <n v="89"/>
    <x v="0"/>
    <x v="0"/>
  </r>
  <r>
    <s v="EMP00395"/>
    <x v="13"/>
    <x v="1"/>
    <n v="30"/>
    <x v="8"/>
    <x v="2"/>
    <x v="296"/>
    <x v="0"/>
    <x v="0"/>
    <x v="4"/>
    <s v="Campus"/>
    <x v="6"/>
    <s v="Ahmed Raza"/>
    <n v="182738"/>
    <n v="10352"/>
    <n v="97.6"/>
    <n v="7"/>
    <n v="29"/>
    <n v="1"/>
    <n v="13"/>
    <n v="73"/>
    <x v="0"/>
    <x v="0"/>
  </r>
  <r>
    <s v="EMP00075"/>
    <x v="102"/>
    <x v="1"/>
    <n v="37"/>
    <x v="4"/>
    <x v="3"/>
    <x v="297"/>
    <x v="0"/>
    <x v="2"/>
    <x v="2"/>
    <s v="Referral"/>
    <x v="2"/>
    <s v="Usman Tariq"/>
    <n v="71143"/>
    <n v="40899"/>
    <n v="91.5"/>
    <n v="9"/>
    <n v="8"/>
    <n v="5"/>
    <n v="21"/>
    <n v="64"/>
    <x v="0"/>
    <x v="0"/>
  </r>
  <r>
    <s v="EMP00329"/>
    <x v="152"/>
    <x v="1"/>
    <n v="30"/>
    <x v="1"/>
    <x v="1"/>
    <x v="297"/>
    <x v="0"/>
    <x v="0"/>
    <x v="1"/>
    <s v="Campus"/>
    <x v="1"/>
    <s v="Sara Ali"/>
    <n v="165405"/>
    <n v="28818"/>
    <n v="91.8"/>
    <n v="1"/>
    <n v="19"/>
    <n v="4"/>
    <n v="26"/>
    <n v="72"/>
    <x v="0"/>
    <x v="0"/>
  </r>
  <r>
    <s v="EMP00470"/>
    <x v="192"/>
    <x v="1"/>
    <n v="30"/>
    <x v="6"/>
    <x v="7"/>
    <x v="297"/>
    <x v="0"/>
    <x v="0"/>
    <x v="3"/>
    <s v="Website"/>
    <x v="2"/>
    <s v="Fatima Noor"/>
    <n v="147526"/>
    <n v="23723"/>
    <n v="83.8"/>
    <n v="8"/>
    <n v="18"/>
    <n v="1"/>
    <n v="5"/>
    <n v="89"/>
    <x v="0"/>
    <x v="0"/>
  </r>
  <r>
    <s v="EMP00282"/>
    <x v="196"/>
    <x v="1"/>
    <n v="36"/>
    <x v="8"/>
    <x v="4"/>
    <x v="298"/>
    <x v="0"/>
    <x v="2"/>
    <x v="1"/>
    <s v="Website"/>
    <x v="0"/>
    <s v="Fatima Noor"/>
    <n v="112426"/>
    <n v="46543"/>
    <n v="86"/>
    <n v="5"/>
    <n v="13"/>
    <n v="1"/>
    <n v="23"/>
    <n v="95"/>
    <x v="1"/>
    <x v="0"/>
  </r>
  <r>
    <s v="EMP01215"/>
    <x v="18"/>
    <x v="0"/>
    <n v="37"/>
    <x v="3"/>
    <x v="1"/>
    <x v="298"/>
    <x v="0"/>
    <x v="0"/>
    <x v="2"/>
    <s v="Referral"/>
    <x v="6"/>
    <s v="Bilal Khan"/>
    <n v="42750"/>
    <n v="45252"/>
    <n v="85.6"/>
    <n v="6"/>
    <n v="28"/>
    <n v="4"/>
    <n v="11"/>
    <n v="90"/>
    <x v="0"/>
    <x v="0"/>
  </r>
  <r>
    <s v="EMP01562"/>
    <x v="137"/>
    <x v="0"/>
    <n v="49"/>
    <x v="5"/>
    <x v="3"/>
    <x v="298"/>
    <x v="0"/>
    <x v="2"/>
    <x v="2"/>
    <s v="Linkedin"/>
    <x v="7"/>
    <s v="Usman Tariq"/>
    <n v="84329"/>
    <n v="8487"/>
    <n v="86"/>
    <n v="5"/>
    <n v="21"/>
    <n v="4"/>
    <n v="25"/>
    <n v="79"/>
    <x v="0"/>
    <x v="0"/>
  </r>
  <r>
    <s v="EMP00501"/>
    <x v="173"/>
    <x v="0"/>
    <n v="25"/>
    <x v="5"/>
    <x v="0"/>
    <x v="299"/>
    <x v="0"/>
    <x v="0"/>
    <x v="0"/>
    <s v="Linkedin"/>
    <x v="5"/>
    <s v="Ahmed Raza"/>
    <n v="179239"/>
    <n v="20961"/>
    <n v="99.1"/>
    <n v="10"/>
    <n v="19"/>
    <n v="2"/>
    <n v="35"/>
    <n v="84"/>
    <x v="0"/>
    <x v="0"/>
  </r>
  <r>
    <s v="EMP01915"/>
    <x v="167"/>
    <x v="0"/>
    <n v="53"/>
    <x v="1"/>
    <x v="2"/>
    <x v="299"/>
    <x v="0"/>
    <x v="2"/>
    <x v="3"/>
    <s v="Agency"/>
    <x v="0"/>
    <s v="Usman Tariq"/>
    <n v="42119"/>
    <n v="15900"/>
    <n v="95"/>
    <n v="3"/>
    <n v="19"/>
    <n v="3"/>
    <n v="13"/>
    <n v="73"/>
    <x v="0"/>
    <x v="0"/>
  </r>
  <r>
    <s v="EMP00596"/>
    <x v="7"/>
    <x v="1"/>
    <n v="45"/>
    <x v="1"/>
    <x v="7"/>
    <x v="300"/>
    <x v="0"/>
    <x v="2"/>
    <x v="3"/>
    <s v="Referral"/>
    <x v="4"/>
    <s v="Usman Tariq"/>
    <n v="80354"/>
    <n v="31997"/>
    <n v="98.7"/>
    <n v="0"/>
    <n v="24"/>
    <n v="2"/>
    <n v="14"/>
    <n v="94"/>
    <x v="0"/>
    <x v="0"/>
  </r>
  <r>
    <s v="EMP01616"/>
    <x v="89"/>
    <x v="1"/>
    <n v="21"/>
    <x v="4"/>
    <x v="0"/>
    <x v="300"/>
    <x v="0"/>
    <x v="1"/>
    <x v="0"/>
    <s v="Website"/>
    <x v="7"/>
    <s v="Bilal Khan"/>
    <n v="86413"/>
    <n v="18833"/>
    <n v="97.2"/>
    <n v="7"/>
    <n v="24"/>
    <n v="2"/>
    <n v="17"/>
    <n v="97"/>
    <x v="0"/>
    <x v="0"/>
  </r>
  <r>
    <s v="EMP01916"/>
    <x v="70"/>
    <x v="0"/>
    <n v="26"/>
    <x v="3"/>
    <x v="3"/>
    <x v="300"/>
    <x v="0"/>
    <x v="2"/>
    <x v="2"/>
    <s v="Campus"/>
    <x v="6"/>
    <s v="Sara Ali"/>
    <n v="86058"/>
    <n v="15121"/>
    <n v="86.7"/>
    <n v="2"/>
    <n v="19"/>
    <n v="4"/>
    <n v="0"/>
    <n v="90"/>
    <x v="0"/>
    <x v="0"/>
  </r>
  <r>
    <s v="EMP00417"/>
    <x v="31"/>
    <x v="0"/>
    <n v="34"/>
    <x v="1"/>
    <x v="3"/>
    <x v="301"/>
    <x v="0"/>
    <x v="0"/>
    <x v="4"/>
    <s v="Website"/>
    <x v="6"/>
    <s v="Sara Ali"/>
    <n v="240447"/>
    <n v="28059"/>
    <n v="83.4"/>
    <n v="10"/>
    <n v="9"/>
    <n v="3"/>
    <n v="26"/>
    <n v="78"/>
    <x v="0"/>
    <x v="0"/>
  </r>
  <r>
    <s v="EMP01872"/>
    <x v="126"/>
    <x v="0"/>
    <n v="25"/>
    <x v="1"/>
    <x v="5"/>
    <x v="301"/>
    <x v="0"/>
    <x v="0"/>
    <x v="0"/>
    <s v="Referral"/>
    <x v="1"/>
    <s v="Usman Tariq"/>
    <n v="197451"/>
    <n v="39332"/>
    <n v="97.6"/>
    <n v="5"/>
    <n v="19"/>
    <n v="3"/>
    <n v="10"/>
    <n v="77"/>
    <x v="1"/>
    <x v="0"/>
  </r>
  <r>
    <s v="EMP00697"/>
    <x v="38"/>
    <x v="0"/>
    <n v="48"/>
    <x v="6"/>
    <x v="0"/>
    <x v="302"/>
    <x v="0"/>
    <x v="0"/>
    <x v="4"/>
    <s v="Linkedin"/>
    <x v="2"/>
    <s v="Sara Ali"/>
    <n v="98606"/>
    <n v="13287"/>
    <n v="85.9"/>
    <n v="9"/>
    <n v="30"/>
    <n v="2"/>
    <n v="19"/>
    <n v="100"/>
    <x v="0"/>
    <x v="0"/>
  </r>
  <r>
    <s v="EMP00371"/>
    <x v="105"/>
    <x v="1"/>
    <n v="22"/>
    <x v="6"/>
    <x v="6"/>
    <x v="303"/>
    <x v="0"/>
    <x v="2"/>
    <x v="0"/>
    <s v="Linkedin"/>
    <x v="2"/>
    <s v="Sara Ali"/>
    <n v="144536"/>
    <n v="47441"/>
    <n v="97.9"/>
    <n v="8"/>
    <n v="8"/>
    <n v="2"/>
    <n v="7"/>
    <n v="73"/>
    <x v="1"/>
    <x v="0"/>
  </r>
  <r>
    <s v="EMP00774"/>
    <x v="41"/>
    <x v="0"/>
    <n v="24"/>
    <x v="8"/>
    <x v="2"/>
    <x v="303"/>
    <x v="0"/>
    <x v="2"/>
    <x v="1"/>
    <s v="Referral"/>
    <x v="3"/>
    <s v="Ahmed Raza"/>
    <n v="192813"/>
    <n v="14846"/>
    <n v="90.9"/>
    <n v="3"/>
    <n v="27"/>
    <n v="1"/>
    <n v="25"/>
    <n v="76"/>
    <x v="1"/>
    <x v="0"/>
  </r>
  <r>
    <s v="EMP01796"/>
    <x v="47"/>
    <x v="1"/>
    <n v="60"/>
    <x v="1"/>
    <x v="2"/>
    <x v="303"/>
    <x v="0"/>
    <x v="1"/>
    <x v="4"/>
    <s v="Linkedin"/>
    <x v="6"/>
    <s v="Usman Tariq"/>
    <n v="57532"/>
    <n v="46853"/>
    <n v="91.1"/>
    <n v="0"/>
    <n v="1"/>
    <n v="5"/>
    <n v="9"/>
    <n v="93"/>
    <x v="0"/>
    <x v="0"/>
  </r>
  <r>
    <s v="EMP01439"/>
    <x v="120"/>
    <x v="0"/>
    <n v="44"/>
    <x v="4"/>
    <x v="7"/>
    <x v="304"/>
    <x v="0"/>
    <x v="0"/>
    <x v="4"/>
    <s v="Campus"/>
    <x v="3"/>
    <s v="Usman Tariq"/>
    <n v="212997"/>
    <n v="22693"/>
    <n v="99.6"/>
    <n v="0"/>
    <n v="15"/>
    <n v="2"/>
    <n v="24"/>
    <n v="82"/>
    <x v="0"/>
    <x v="0"/>
  </r>
  <r>
    <s v="EMP01429"/>
    <x v="66"/>
    <x v="0"/>
    <n v="23"/>
    <x v="2"/>
    <x v="2"/>
    <x v="305"/>
    <x v="1"/>
    <x v="2"/>
    <x v="2"/>
    <s v="Linkedin"/>
    <x v="5"/>
    <s v="Fatima Noor"/>
    <n v="248484"/>
    <n v="47047"/>
    <n v="98.3"/>
    <n v="0"/>
    <n v="9"/>
    <n v="4"/>
    <n v="6"/>
    <n v="87"/>
    <x v="0"/>
    <x v="3"/>
  </r>
  <r>
    <s v="EMP01743"/>
    <x v="20"/>
    <x v="0"/>
    <n v="54"/>
    <x v="0"/>
    <x v="7"/>
    <x v="305"/>
    <x v="0"/>
    <x v="0"/>
    <x v="1"/>
    <s v="Campus"/>
    <x v="0"/>
    <s v="Fatima Noor"/>
    <n v="62918"/>
    <n v="27746"/>
    <n v="98.6"/>
    <n v="3"/>
    <n v="25"/>
    <n v="2"/>
    <n v="33"/>
    <n v="63"/>
    <x v="0"/>
    <x v="0"/>
  </r>
  <r>
    <s v="EMP01802"/>
    <x v="99"/>
    <x v="0"/>
    <n v="49"/>
    <x v="4"/>
    <x v="6"/>
    <x v="305"/>
    <x v="0"/>
    <x v="0"/>
    <x v="2"/>
    <s v="Campus"/>
    <x v="4"/>
    <s v="Bilal Khan"/>
    <n v="65365"/>
    <n v="28362"/>
    <n v="82.7"/>
    <n v="9"/>
    <n v="6"/>
    <n v="4"/>
    <n v="27"/>
    <n v="81"/>
    <x v="0"/>
    <x v="0"/>
  </r>
  <r>
    <s v="EMP00072"/>
    <x v="89"/>
    <x v="0"/>
    <n v="22"/>
    <x v="5"/>
    <x v="0"/>
    <x v="306"/>
    <x v="0"/>
    <x v="2"/>
    <x v="0"/>
    <s v="Agency"/>
    <x v="5"/>
    <s v="Fatima Noor"/>
    <n v="60117"/>
    <n v="33137"/>
    <n v="88.9"/>
    <n v="4"/>
    <n v="7"/>
    <n v="1"/>
    <n v="8"/>
    <n v="60"/>
    <x v="0"/>
    <x v="0"/>
  </r>
  <r>
    <s v="EMP01521"/>
    <x v="160"/>
    <x v="1"/>
    <n v="40"/>
    <x v="3"/>
    <x v="7"/>
    <x v="306"/>
    <x v="0"/>
    <x v="0"/>
    <x v="3"/>
    <s v="Agency"/>
    <x v="0"/>
    <s v="Sara Ali"/>
    <n v="192663"/>
    <n v="17292"/>
    <n v="84"/>
    <n v="8"/>
    <n v="9"/>
    <n v="3"/>
    <n v="5"/>
    <n v="100"/>
    <x v="0"/>
    <x v="0"/>
  </r>
  <r>
    <s v="EMP01757"/>
    <x v="103"/>
    <x v="1"/>
    <n v="37"/>
    <x v="1"/>
    <x v="5"/>
    <x v="306"/>
    <x v="0"/>
    <x v="1"/>
    <x v="3"/>
    <s v="Agency"/>
    <x v="6"/>
    <s v="Bilal Khan"/>
    <n v="78525"/>
    <n v="11011"/>
    <n v="87.7"/>
    <n v="1"/>
    <n v="16"/>
    <n v="4"/>
    <n v="19"/>
    <n v="89"/>
    <x v="0"/>
    <x v="0"/>
  </r>
  <r>
    <s v="EMP00115"/>
    <x v="8"/>
    <x v="1"/>
    <n v="44"/>
    <x v="5"/>
    <x v="6"/>
    <x v="307"/>
    <x v="0"/>
    <x v="1"/>
    <x v="4"/>
    <s v="Referral"/>
    <x v="7"/>
    <s v="Sara Ali"/>
    <n v="92773"/>
    <n v="14865"/>
    <n v="84.5"/>
    <n v="10"/>
    <n v="0"/>
    <n v="4"/>
    <n v="22"/>
    <n v="97"/>
    <x v="0"/>
    <x v="0"/>
  </r>
  <r>
    <s v="EMP01022"/>
    <x v="130"/>
    <x v="0"/>
    <n v="60"/>
    <x v="8"/>
    <x v="0"/>
    <x v="308"/>
    <x v="0"/>
    <x v="1"/>
    <x v="2"/>
    <s v="Campus"/>
    <x v="3"/>
    <s v="Usman Tariq"/>
    <n v="223809"/>
    <n v="9445"/>
    <n v="96.8"/>
    <n v="2"/>
    <n v="12"/>
    <n v="2"/>
    <n v="8"/>
    <n v="94"/>
    <x v="0"/>
    <x v="0"/>
  </r>
  <r>
    <s v="EMP01298"/>
    <x v="81"/>
    <x v="0"/>
    <n v="36"/>
    <x v="3"/>
    <x v="3"/>
    <x v="308"/>
    <x v="0"/>
    <x v="1"/>
    <x v="0"/>
    <s v="Referral"/>
    <x v="3"/>
    <s v="Ahmed Raza"/>
    <n v="234095"/>
    <n v="48890"/>
    <n v="89.7"/>
    <n v="8"/>
    <n v="29"/>
    <n v="2"/>
    <n v="3"/>
    <n v="85"/>
    <x v="0"/>
    <x v="0"/>
  </r>
  <r>
    <s v="EMP01904"/>
    <x v="105"/>
    <x v="1"/>
    <n v="21"/>
    <x v="3"/>
    <x v="7"/>
    <x v="308"/>
    <x v="0"/>
    <x v="1"/>
    <x v="3"/>
    <s v="Campus"/>
    <x v="4"/>
    <s v="Ahmed Raza"/>
    <n v="152088"/>
    <n v="7179"/>
    <n v="94.6"/>
    <n v="7"/>
    <n v="30"/>
    <n v="3"/>
    <n v="34"/>
    <n v="99"/>
    <x v="0"/>
    <x v="0"/>
  </r>
  <r>
    <s v="EMP01920"/>
    <x v="31"/>
    <x v="1"/>
    <n v="21"/>
    <x v="5"/>
    <x v="7"/>
    <x v="308"/>
    <x v="0"/>
    <x v="0"/>
    <x v="4"/>
    <s v="Campus"/>
    <x v="4"/>
    <s v="Sara Ali"/>
    <n v="40881"/>
    <n v="8695"/>
    <n v="83.9"/>
    <n v="9"/>
    <n v="30"/>
    <n v="3"/>
    <n v="1"/>
    <n v="95"/>
    <x v="0"/>
    <x v="0"/>
  </r>
  <r>
    <s v="EMP00590"/>
    <x v="81"/>
    <x v="0"/>
    <n v="54"/>
    <x v="5"/>
    <x v="5"/>
    <x v="309"/>
    <x v="0"/>
    <x v="1"/>
    <x v="1"/>
    <s v="Website"/>
    <x v="3"/>
    <s v="Bilal Khan"/>
    <n v="124375"/>
    <n v="12028"/>
    <n v="86.1"/>
    <n v="5"/>
    <n v="25"/>
    <n v="3"/>
    <n v="20"/>
    <n v="93"/>
    <x v="0"/>
    <x v="0"/>
  </r>
  <r>
    <s v="EMP01923"/>
    <x v="56"/>
    <x v="1"/>
    <n v="31"/>
    <x v="0"/>
    <x v="6"/>
    <x v="309"/>
    <x v="0"/>
    <x v="2"/>
    <x v="0"/>
    <s v="Campus"/>
    <x v="1"/>
    <s v="Sara Ali"/>
    <n v="95938"/>
    <n v="25985"/>
    <n v="96.3"/>
    <n v="9"/>
    <n v="21"/>
    <n v="2"/>
    <n v="40"/>
    <n v="85"/>
    <x v="0"/>
    <x v="0"/>
  </r>
  <r>
    <s v="EMP00885"/>
    <x v="48"/>
    <x v="1"/>
    <n v="59"/>
    <x v="0"/>
    <x v="5"/>
    <x v="310"/>
    <x v="0"/>
    <x v="2"/>
    <x v="4"/>
    <s v="Referral"/>
    <x v="4"/>
    <s v="Bilal Khan"/>
    <n v="91103"/>
    <n v="40272"/>
    <n v="91.6"/>
    <n v="2"/>
    <n v="12"/>
    <n v="1"/>
    <n v="34"/>
    <n v="83"/>
    <x v="0"/>
    <x v="0"/>
  </r>
  <r>
    <s v="EMP01188"/>
    <x v="14"/>
    <x v="0"/>
    <n v="45"/>
    <x v="5"/>
    <x v="0"/>
    <x v="310"/>
    <x v="0"/>
    <x v="1"/>
    <x v="2"/>
    <s v="Website"/>
    <x v="0"/>
    <s v="Usman Tariq"/>
    <n v="134470"/>
    <n v="17126"/>
    <n v="81.3"/>
    <n v="5"/>
    <n v="15"/>
    <n v="4"/>
    <n v="16"/>
    <n v="77"/>
    <x v="0"/>
    <x v="0"/>
  </r>
  <r>
    <s v="EMP01438"/>
    <x v="127"/>
    <x v="0"/>
    <n v="44"/>
    <x v="1"/>
    <x v="5"/>
    <x v="311"/>
    <x v="0"/>
    <x v="1"/>
    <x v="3"/>
    <s v="Agency"/>
    <x v="1"/>
    <s v="Sara Ali"/>
    <n v="186423"/>
    <n v="13121"/>
    <n v="83.8"/>
    <n v="9"/>
    <n v="10"/>
    <n v="2"/>
    <n v="13"/>
    <n v="89"/>
    <x v="1"/>
    <x v="0"/>
  </r>
  <r>
    <s v="EMP01767"/>
    <x v="143"/>
    <x v="0"/>
    <n v="51"/>
    <x v="2"/>
    <x v="6"/>
    <x v="312"/>
    <x v="0"/>
    <x v="0"/>
    <x v="0"/>
    <s v="Website"/>
    <x v="4"/>
    <s v="Bilal Khan"/>
    <n v="106972"/>
    <n v="19815"/>
    <n v="85.3"/>
    <n v="10"/>
    <n v="16"/>
    <n v="2"/>
    <n v="0"/>
    <n v="78"/>
    <x v="0"/>
    <x v="0"/>
  </r>
  <r>
    <s v="EMP00580"/>
    <x v="95"/>
    <x v="1"/>
    <n v="54"/>
    <x v="3"/>
    <x v="2"/>
    <x v="313"/>
    <x v="0"/>
    <x v="1"/>
    <x v="1"/>
    <s v="Linkedin"/>
    <x v="0"/>
    <s v="Fatima Noor"/>
    <n v="85103"/>
    <n v="24422"/>
    <n v="92"/>
    <n v="6"/>
    <n v="28"/>
    <n v="3"/>
    <n v="28"/>
    <n v="89"/>
    <x v="0"/>
    <x v="0"/>
  </r>
  <r>
    <s v="EMP01149"/>
    <x v="98"/>
    <x v="0"/>
    <n v="44"/>
    <x v="3"/>
    <x v="7"/>
    <x v="313"/>
    <x v="0"/>
    <x v="1"/>
    <x v="1"/>
    <s v="Agency"/>
    <x v="0"/>
    <s v="Usman Tariq"/>
    <n v="114220"/>
    <n v="39568"/>
    <n v="88.9"/>
    <n v="2"/>
    <n v="5"/>
    <n v="4"/>
    <n v="11"/>
    <n v="99"/>
    <x v="0"/>
    <x v="0"/>
  </r>
  <r>
    <s v="EMP01334"/>
    <x v="194"/>
    <x v="1"/>
    <n v="34"/>
    <x v="6"/>
    <x v="0"/>
    <x v="313"/>
    <x v="0"/>
    <x v="0"/>
    <x v="1"/>
    <s v="Website"/>
    <x v="7"/>
    <s v="Fatima Noor"/>
    <n v="205947"/>
    <n v="41643"/>
    <n v="81"/>
    <n v="4"/>
    <n v="0"/>
    <n v="1"/>
    <n v="20"/>
    <n v="65"/>
    <x v="0"/>
    <x v="0"/>
  </r>
  <r>
    <s v="EMP01980"/>
    <x v="96"/>
    <x v="0"/>
    <n v="25"/>
    <x v="3"/>
    <x v="0"/>
    <x v="313"/>
    <x v="0"/>
    <x v="1"/>
    <x v="4"/>
    <s v="Campus"/>
    <x v="7"/>
    <s v="Fatima Noor"/>
    <n v="39893"/>
    <n v="21617"/>
    <n v="82.5"/>
    <n v="9"/>
    <n v="8"/>
    <n v="2"/>
    <n v="4"/>
    <n v="71"/>
    <x v="1"/>
    <x v="0"/>
  </r>
  <r>
    <s v="EMP00576"/>
    <x v="2"/>
    <x v="1"/>
    <n v="25"/>
    <x v="7"/>
    <x v="0"/>
    <x v="314"/>
    <x v="0"/>
    <x v="2"/>
    <x v="2"/>
    <s v="Referral"/>
    <x v="1"/>
    <s v="Fatima Noor"/>
    <n v="82226"/>
    <n v="27567"/>
    <n v="86.8"/>
    <n v="10"/>
    <n v="20"/>
    <n v="4"/>
    <n v="30"/>
    <n v="76"/>
    <x v="0"/>
    <x v="0"/>
  </r>
  <r>
    <s v="EMP01068"/>
    <x v="134"/>
    <x v="1"/>
    <n v="56"/>
    <x v="2"/>
    <x v="6"/>
    <x v="314"/>
    <x v="0"/>
    <x v="1"/>
    <x v="1"/>
    <s v="Referral"/>
    <x v="6"/>
    <s v="Fatima Noor"/>
    <n v="147945"/>
    <n v="27199"/>
    <n v="83.7"/>
    <n v="1"/>
    <n v="25"/>
    <n v="3"/>
    <n v="22"/>
    <n v="87"/>
    <x v="0"/>
    <x v="0"/>
  </r>
  <r>
    <s v="EMP00530"/>
    <x v="125"/>
    <x v="0"/>
    <n v="56"/>
    <x v="6"/>
    <x v="4"/>
    <x v="315"/>
    <x v="0"/>
    <x v="0"/>
    <x v="0"/>
    <s v="Campus"/>
    <x v="5"/>
    <s v="Usman Tariq"/>
    <n v="55695"/>
    <n v="25818"/>
    <n v="98.5"/>
    <n v="8"/>
    <n v="0"/>
    <n v="2"/>
    <n v="24"/>
    <n v="72"/>
    <x v="0"/>
    <x v="0"/>
  </r>
  <r>
    <s v="EMP00754"/>
    <x v="158"/>
    <x v="0"/>
    <n v="30"/>
    <x v="0"/>
    <x v="4"/>
    <x v="315"/>
    <x v="0"/>
    <x v="0"/>
    <x v="2"/>
    <s v="Campus"/>
    <x v="6"/>
    <s v="Fatima Noor"/>
    <n v="236694"/>
    <n v="11508"/>
    <n v="87.6"/>
    <n v="3"/>
    <n v="2"/>
    <n v="5"/>
    <n v="32"/>
    <n v="72"/>
    <x v="0"/>
    <x v="0"/>
  </r>
  <r>
    <s v="EMP00756"/>
    <x v="99"/>
    <x v="1"/>
    <n v="43"/>
    <x v="0"/>
    <x v="2"/>
    <x v="315"/>
    <x v="0"/>
    <x v="1"/>
    <x v="2"/>
    <s v="Referral"/>
    <x v="4"/>
    <s v="Bilal Khan"/>
    <n v="89710"/>
    <n v="20473"/>
    <n v="93.6"/>
    <n v="10"/>
    <n v="7"/>
    <n v="2"/>
    <n v="28"/>
    <n v="65"/>
    <x v="0"/>
    <x v="0"/>
  </r>
  <r>
    <s v="EMP00969"/>
    <x v="96"/>
    <x v="0"/>
    <n v="25"/>
    <x v="8"/>
    <x v="4"/>
    <x v="315"/>
    <x v="0"/>
    <x v="0"/>
    <x v="1"/>
    <s v="Campus"/>
    <x v="6"/>
    <s v="Fatima Noor"/>
    <n v="143836"/>
    <n v="35107"/>
    <n v="84.4"/>
    <n v="1"/>
    <n v="15"/>
    <n v="5"/>
    <n v="2"/>
    <n v="68"/>
    <x v="1"/>
    <x v="0"/>
  </r>
  <r>
    <s v="EMP01759"/>
    <x v="157"/>
    <x v="1"/>
    <n v="53"/>
    <x v="4"/>
    <x v="1"/>
    <x v="315"/>
    <x v="0"/>
    <x v="2"/>
    <x v="1"/>
    <s v="Campus"/>
    <x v="4"/>
    <s v="Bilal Khan"/>
    <n v="57876"/>
    <n v="40191"/>
    <n v="90.6"/>
    <n v="5"/>
    <n v="5"/>
    <n v="2"/>
    <n v="14"/>
    <n v="96"/>
    <x v="1"/>
    <x v="0"/>
  </r>
  <r>
    <s v="EMP01804"/>
    <x v="91"/>
    <x v="0"/>
    <n v="35"/>
    <x v="7"/>
    <x v="6"/>
    <x v="315"/>
    <x v="0"/>
    <x v="0"/>
    <x v="2"/>
    <s v="Linkedin"/>
    <x v="2"/>
    <s v="Sara Ali"/>
    <n v="234917"/>
    <n v="23495"/>
    <n v="87.8"/>
    <n v="2"/>
    <n v="10"/>
    <n v="3"/>
    <n v="9"/>
    <n v="66"/>
    <x v="0"/>
    <x v="0"/>
  </r>
  <r>
    <s v="EMP00021"/>
    <x v="145"/>
    <x v="1"/>
    <n v="60"/>
    <x v="8"/>
    <x v="5"/>
    <x v="316"/>
    <x v="0"/>
    <x v="2"/>
    <x v="4"/>
    <s v="Linkedin"/>
    <x v="0"/>
    <s v="Fatima Noor"/>
    <n v="49704"/>
    <n v="48731"/>
    <n v="98.1"/>
    <n v="3"/>
    <n v="19"/>
    <n v="2"/>
    <n v="35"/>
    <n v="71"/>
    <x v="0"/>
    <x v="0"/>
  </r>
  <r>
    <s v="EMP01408"/>
    <x v="96"/>
    <x v="0"/>
    <n v="38"/>
    <x v="0"/>
    <x v="6"/>
    <x v="316"/>
    <x v="1"/>
    <x v="2"/>
    <x v="4"/>
    <s v="Linkedin"/>
    <x v="5"/>
    <s v="Sara Ali"/>
    <n v="136824"/>
    <n v="27588"/>
    <n v="81.099999999999994"/>
    <n v="1"/>
    <n v="24"/>
    <n v="4"/>
    <n v="8"/>
    <n v="83"/>
    <x v="0"/>
    <x v="5"/>
  </r>
  <r>
    <s v="EMP01809"/>
    <x v="159"/>
    <x v="0"/>
    <n v="47"/>
    <x v="4"/>
    <x v="5"/>
    <x v="316"/>
    <x v="0"/>
    <x v="0"/>
    <x v="2"/>
    <s v="Linkedin"/>
    <x v="1"/>
    <s v="Usman Tariq"/>
    <n v="174521"/>
    <n v="7773"/>
    <n v="87.8"/>
    <n v="5"/>
    <n v="28"/>
    <n v="3"/>
    <n v="27"/>
    <n v="61"/>
    <x v="0"/>
    <x v="0"/>
  </r>
  <r>
    <s v="EMP01954"/>
    <x v="101"/>
    <x v="1"/>
    <n v="37"/>
    <x v="4"/>
    <x v="3"/>
    <x v="316"/>
    <x v="0"/>
    <x v="1"/>
    <x v="0"/>
    <s v="Referral"/>
    <x v="6"/>
    <s v="Usman Tariq"/>
    <n v="165594"/>
    <n v="31632"/>
    <n v="95"/>
    <n v="3"/>
    <n v="28"/>
    <n v="5"/>
    <n v="18"/>
    <n v="99"/>
    <x v="0"/>
    <x v="0"/>
  </r>
  <r>
    <s v="EMP00376"/>
    <x v="64"/>
    <x v="1"/>
    <n v="41"/>
    <x v="5"/>
    <x v="3"/>
    <x v="317"/>
    <x v="0"/>
    <x v="1"/>
    <x v="2"/>
    <s v="Campus"/>
    <x v="0"/>
    <s v="Ahmed Raza"/>
    <n v="196274"/>
    <n v="11358"/>
    <n v="88.1"/>
    <n v="0"/>
    <n v="14"/>
    <n v="1"/>
    <n v="2"/>
    <n v="80"/>
    <x v="0"/>
    <x v="0"/>
  </r>
  <r>
    <s v="EMP00386"/>
    <x v="143"/>
    <x v="0"/>
    <n v="53"/>
    <x v="8"/>
    <x v="4"/>
    <x v="318"/>
    <x v="0"/>
    <x v="2"/>
    <x v="1"/>
    <s v="Website"/>
    <x v="1"/>
    <s v="Bilal Khan"/>
    <n v="41840"/>
    <n v="5451"/>
    <n v="90.3"/>
    <n v="9"/>
    <n v="5"/>
    <n v="5"/>
    <n v="37"/>
    <n v="68"/>
    <x v="0"/>
    <x v="0"/>
  </r>
  <r>
    <s v="EMP00615"/>
    <x v="17"/>
    <x v="1"/>
    <n v="24"/>
    <x v="2"/>
    <x v="4"/>
    <x v="318"/>
    <x v="0"/>
    <x v="2"/>
    <x v="4"/>
    <s v="Website"/>
    <x v="2"/>
    <s v="Bilal Khan"/>
    <n v="146591"/>
    <n v="39410"/>
    <n v="97.7"/>
    <n v="5"/>
    <n v="26"/>
    <n v="4"/>
    <n v="21"/>
    <n v="74"/>
    <x v="0"/>
    <x v="0"/>
  </r>
  <r>
    <s v="EMP00674"/>
    <x v="11"/>
    <x v="0"/>
    <n v="52"/>
    <x v="0"/>
    <x v="5"/>
    <x v="318"/>
    <x v="0"/>
    <x v="2"/>
    <x v="4"/>
    <s v="Referral"/>
    <x v="3"/>
    <s v="Fatima Noor"/>
    <n v="244502"/>
    <n v="8594"/>
    <n v="83.9"/>
    <n v="3"/>
    <n v="29"/>
    <n v="2"/>
    <n v="27"/>
    <n v="93"/>
    <x v="0"/>
    <x v="0"/>
  </r>
  <r>
    <s v="EMP01579"/>
    <x v="157"/>
    <x v="0"/>
    <n v="21"/>
    <x v="5"/>
    <x v="7"/>
    <x v="318"/>
    <x v="1"/>
    <x v="2"/>
    <x v="2"/>
    <s v="Agency"/>
    <x v="0"/>
    <s v="Ahmed Raza"/>
    <n v="150318"/>
    <n v="35834"/>
    <n v="81.599999999999994"/>
    <n v="2"/>
    <n v="22"/>
    <n v="5"/>
    <n v="40"/>
    <n v="86"/>
    <x v="0"/>
    <x v="3"/>
  </r>
  <r>
    <s v="EMP00123"/>
    <x v="196"/>
    <x v="0"/>
    <n v="29"/>
    <x v="0"/>
    <x v="2"/>
    <x v="319"/>
    <x v="0"/>
    <x v="2"/>
    <x v="4"/>
    <s v="Website"/>
    <x v="7"/>
    <s v="Bilal Khan"/>
    <n v="86921"/>
    <n v="23816"/>
    <n v="93.5"/>
    <n v="9"/>
    <n v="4"/>
    <n v="4"/>
    <n v="21"/>
    <n v="78"/>
    <x v="0"/>
    <x v="0"/>
  </r>
  <r>
    <s v="EMP00722"/>
    <x v="138"/>
    <x v="1"/>
    <n v="45"/>
    <x v="8"/>
    <x v="6"/>
    <x v="319"/>
    <x v="0"/>
    <x v="2"/>
    <x v="4"/>
    <s v="Campus"/>
    <x v="3"/>
    <s v="Usman Tariq"/>
    <n v="51324"/>
    <n v="14227"/>
    <n v="80.599999999999994"/>
    <n v="6"/>
    <n v="19"/>
    <n v="4"/>
    <n v="10"/>
    <n v="79"/>
    <x v="0"/>
    <x v="0"/>
  </r>
  <r>
    <s v="EMP01403"/>
    <x v="126"/>
    <x v="1"/>
    <n v="57"/>
    <x v="8"/>
    <x v="6"/>
    <x v="319"/>
    <x v="0"/>
    <x v="2"/>
    <x v="3"/>
    <s v="Agency"/>
    <x v="6"/>
    <s v="Fatima Noor"/>
    <n v="109483"/>
    <n v="46782"/>
    <n v="95.9"/>
    <n v="8"/>
    <n v="24"/>
    <n v="2"/>
    <n v="1"/>
    <n v="96"/>
    <x v="0"/>
    <x v="0"/>
  </r>
  <r>
    <s v="EMP00066"/>
    <x v="50"/>
    <x v="0"/>
    <n v="58"/>
    <x v="2"/>
    <x v="3"/>
    <x v="320"/>
    <x v="1"/>
    <x v="1"/>
    <x v="2"/>
    <s v="Website"/>
    <x v="6"/>
    <s v="Sara Ali"/>
    <n v="193677"/>
    <n v="42495"/>
    <n v="91.6"/>
    <n v="0"/>
    <n v="19"/>
    <n v="2"/>
    <n v="11"/>
    <n v="66"/>
    <x v="0"/>
    <x v="4"/>
  </r>
  <r>
    <s v="EMP00167"/>
    <x v="98"/>
    <x v="0"/>
    <n v="34"/>
    <x v="7"/>
    <x v="0"/>
    <x v="320"/>
    <x v="0"/>
    <x v="2"/>
    <x v="1"/>
    <s v="Referral"/>
    <x v="0"/>
    <s v="Ahmed Raza"/>
    <n v="142617"/>
    <n v="32540"/>
    <n v="86.7"/>
    <n v="10"/>
    <n v="18"/>
    <n v="5"/>
    <n v="18"/>
    <n v="67"/>
    <x v="0"/>
    <x v="0"/>
  </r>
  <r>
    <s v="EMP00290"/>
    <x v="10"/>
    <x v="0"/>
    <n v="22"/>
    <x v="7"/>
    <x v="4"/>
    <x v="320"/>
    <x v="0"/>
    <x v="1"/>
    <x v="1"/>
    <s v="Campus"/>
    <x v="0"/>
    <s v="Ahmed Raza"/>
    <n v="203509"/>
    <n v="39164"/>
    <n v="88"/>
    <n v="6"/>
    <n v="19"/>
    <n v="3"/>
    <n v="34"/>
    <n v="95"/>
    <x v="0"/>
    <x v="0"/>
  </r>
  <r>
    <s v="EMP01502"/>
    <x v="167"/>
    <x v="0"/>
    <n v="52"/>
    <x v="4"/>
    <x v="6"/>
    <x v="321"/>
    <x v="0"/>
    <x v="2"/>
    <x v="3"/>
    <s v="Referral"/>
    <x v="7"/>
    <s v="Usman Tariq"/>
    <n v="57470"/>
    <n v="24539"/>
    <n v="85.9"/>
    <n v="9"/>
    <n v="0"/>
    <n v="1"/>
    <n v="31"/>
    <n v="70"/>
    <x v="0"/>
    <x v="0"/>
  </r>
  <r>
    <s v="EMP00214"/>
    <x v="10"/>
    <x v="1"/>
    <n v="57"/>
    <x v="4"/>
    <x v="4"/>
    <x v="322"/>
    <x v="0"/>
    <x v="2"/>
    <x v="3"/>
    <s v="Agency"/>
    <x v="6"/>
    <s v="Ahmed Raza"/>
    <n v="64983"/>
    <n v="24808"/>
    <n v="82.4"/>
    <n v="4"/>
    <n v="28"/>
    <n v="2"/>
    <n v="16"/>
    <n v="65"/>
    <x v="0"/>
    <x v="0"/>
  </r>
  <r>
    <s v="EMP00127"/>
    <x v="45"/>
    <x v="0"/>
    <n v="31"/>
    <x v="3"/>
    <x v="1"/>
    <x v="323"/>
    <x v="0"/>
    <x v="2"/>
    <x v="0"/>
    <s v="Website"/>
    <x v="2"/>
    <s v="Bilal Khan"/>
    <n v="112288"/>
    <n v="42931"/>
    <n v="84.6"/>
    <n v="8"/>
    <n v="23"/>
    <n v="4"/>
    <n v="15"/>
    <n v="90"/>
    <x v="0"/>
    <x v="0"/>
  </r>
  <r>
    <s v="EMP00418"/>
    <x v="175"/>
    <x v="1"/>
    <n v="42"/>
    <x v="1"/>
    <x v="5"/>
    <x v="323"/>
    <x v="0"/>
    <x v="2"/>
    <x v="1"/>
    <s v="Agency"/>
    <x v="2"/>
    <s v="Fatima Noor"/>
    <n v="200734"/>
    <n v="48521"/>
    <n v="80.099999999999994"/>
    <n v="0"/>
    <n v="24"/>
    <n v="5"/>
    <n v="4"/>
    <n v="68"/>
    <x v="0"/>
    <x v="0"/>
  </r>
  <r>
    <s v="EMP01085"/>
    <x v="23"/>
    <x v="0"/>
    <n v="21"/>
    <x v="5"/>
    <x v="5"/>
    <x v="323"/>
    <x v="0"/>
    <x v="1"/>
    <x v="3"/>
    <s v="Agency"/>
    <x v="5"/>
    <s v="Sara Ali"/>
    <n v="43416"/>
    <n v="36490"/>
    <n v="91.6"/>
    <n v="7"/>
    <n v="7"/>
    <n v="4"/>
    <n v="39"/>
    <n v="63"/>
    <x v="0"/>
    <x v="0"/>
  </r>
  <r>
    <s v="EMP01192"/>
    <x v="33"/>
    <x v="0"/>
    <n v="29"/>
    <x v="5"/>
    <x v="5"/>
    <x v="323"/>
    <x v="0"/>
    <x v="2"/>
    <x v="0"/>
    <s v="Referral"/>
    <x v="3"/>
    <s v="Ahmed Raza"/>
    <n v="89315"/>
    <n v="25836"/>
    <n v="94.1"/>
    <n v="7"/>
    <n v="17"/>
    <n v="3"/>
    <n v="0"/>
    <n v="78"/>
    <x v="0"/>
    <x v="0"/>
  </r>
  <r>
    <s v="EMP01205"/>
    <x v="155"/>
    <x v="0"/>
    <n v="21"/>
    <x v="5"/>
    <x v="0"/>
    <x v="323"/>
    <x v="0"/>
    <x v="1"/>
    <x v="3"/>
    <s v="Website"/>
    <x v="7"/>
    <s v="Fatima Noor"/>
    <n v="82876"/>
    <n v="18211"/>
    <n v="85.8"/>
    <n v="0"/>
    <n v="25"/>
    <n v="3"/>
    <n v="34"/>
    <n v="62"/>
    <x v="0"/>
    <x v="0"/>
  </r>
  <r>
    <s v="EMP00059"/>
    <x v="55"/>
    <x v="0"/>
    <n v="35"/>
    <x v="8"/>
    <x v="4"/>
    <x v="324"/>
    <x v="1"/>
    <x v="2"/>
    <x v="0"/>
    <s v="Website"/>
    <x v="5"/>
    <s v="Sara Ali"/>
    <n v="55970"/>
    <n v="7096"/>
    <n v="93.2"/>
    <n v="3"/>
    <n v="19"/>
    <n v="4"/>
    <n v="12"/>
    <n v="67"/>
    <x v="0"/>
    <x v="5"/>
  </r>
  <r>
    <s v="EMP00549"/>
    <x v="144"/>
    <x v="1"/>
    <n v="31"/>
    <x v="8"/>
    <x v="4"/>
    <x v="324"/>
    <x v="0"/>
    <x v="1"/>
    <x v="1"/>
    <s v="Agency"/>
    <x v="1"/>
    <s v="Usman Tariq"/>
    <n v="83989"/>
    <n v="48293"/>
    <n v="86.2"/>
    <n v="10"/>
    <n v="16"/>
    <n v="3"/>
    <n v="22"/>
    <n v="70"/>
    <x v="0"/>
    <x v="0"/>
  </r>
  <r>
    <s v="EMP00683"/>
    <x v="85"/>
    <x v="1"/>
    <n v="48"/>
    <x v="6"/>
    <x v="4"/>
    <x v="324"/>
    <x v="0"/>
    <x v="1"/>
    <x v="1"/>
    <s v="Agency"/>
    <x v="7"/>
    <s v="Usman Tariq"/>
    <n v="47896"/>
    <n v="28090"/>
    <n v="81.3"/>
    <n v="7"/>
    <n v="21"/>
    <n v="4"/>
    <n v="3"/>
    <n v="91"/>
    <x v="0"/>
    <x v="0"/>
  </r>
  <r>
    <s v="EMP00705"/>
    <x v="38"/>
    <x v="0"/>
    <n v="59"/>
    <x v="0"/>
    <x v="7"/>
    <x v="324"/>
    <x v="0"/>
    <x v="0"/>
    <x v="4"/>
    <s v="Website"/>
    <x v="1"/>
    <s v="Usman Tariq"/>
    <n v="130288"/>
    <n v="6567"/>
    <n v="83.6"/>
    <n v="5"/>
    <n v="11"/>
    <n v="5"/>
    <n v="40"/>
    <n v="91"/>
    <x v="0"/>
    <x v="0"/>
  </r>
  <r>
    <s v="EMP01230"/>
    <x v="171"/>
    <x v="0"/>
    <n v="54"/>
    <x v="7"/>
    <x v="6"/>
    <x v="324"/>
    <x v="0"/>
    <x v="1"/>
    <x v="2"/>
    <s v="Agency"/>
    <x v="0"/>
    <s v="Usman Tariq"/>
    <n v="138359"/>
    <n v="7191"/>
    <n v="82"/>
    <n v="3"/>
    <n v="29"/>
    <n v="5"/>
    <n v="18"/>
    <n v="87"/>
    <x v="0"/>
    <x v="0"/>
  </r>
  <r>
    <s v="EMP01075"/>
    <x v="151"/>
    <x v="0"/>
    <n v="35"/>
    <x v="5"/>
    <x v="7"/>
    <x v="325"/>
    <x v="0"/>
    <x v="0"/>
    <x v="4"/>
    <s v="Referral"/>
    <x v="2"/>
    <s v="Sara Ali"/>
    <n v="110325"/>
    <n v="49705"/>
    <n v="98.4"/>
    <n v="10"/>
    <n v="3"/>
    <n v="4"/>
    <n v="22"/>
    <n v="69"/>
    <x v="0"/>
    <x v="0"/>
  </r>
  <r>
    <s v="EMP01470"/>
    <x v="88"/>
    <x v="1"/>
    <n v="45"/>
    <x v="2"/>
    <x v="1"/>
    <x v="325"/>
    <x v="0"/>
    <x v="1"/>
    <x v="0"/>
    <s v="Website"/>
    <x v="3"/>
    <s v="Sara Ali"/>
    <n v="160946"/>
    <n v="43496"/>
    <n v="85.6"/>
    <n v="5"/>
    <n v="8"/>
    <n v="5"/>
    <n v="24"/>
    <n v="63"/>
    <x v="0"/>
    <x v="0"/>
  </r>
  <r>
    <s v="EMP01699"/>
    <x v="68"/>
    <x v="0"/>
    <n v="60"/>
    <x v="5"/>
    <x v="7"/>
    <x v="326"/>
    <x v="0"/>
    <x v="0"/>
    <x v="2"/>
    <s v="Website"/>
    <x v="1"/>
    <s v="Fatima Noor"/>
    <n v="140516"/>
    <n v="40819"/>
    <n v="96.4"/>
    <n v="5"/>
    <n v="25"/>
    <n v="3"/>
    <n v="22"/>
    <n v="85"/>
    <x v="0"/>
    <x v="0"/>
  </r>
  <r>
    <s v="EMP00777"/>
    <x v="22"/>
    <x v="0"/>
    <n v="60"/>
    <x v="6"/>
    <x v="2"/>
    <x v="327"/>
    <x v="0"/>
    <x v="2"/>
    <x v="2"/>
    <s v="Website"/>
    <x v="0"/>
    <s v="Usman Tariq"/>
    <n v="96409"/>
    <n v="34414"/>
    <n v="90"/>
    <n v="8"/>
    <n v="2"/>
    <n v="5"/>
    <n v="24"/>
    <n v="83"/>
    <x v="0"/>
    <x v="0"/>
  </r>
  <r>
    <s v="EMP01159"/>
    <x v="9"/>
    <x v="0"/>
    <n v="40"/>
    <x v="2"/>
    <x v="5"/>
    <x v="328"/>
    <x v="0"/>
    <x v="0"/>
    <x v="3"/>
    <s v="Agency"/>
    <x v="1"/>
    <s v="Usman Tariq"/>
    <n v="106130"/>
    <n v="35146"/>
    <n v="95.4"/>
    <n v="2"/>
    <n v="13"/>
    <n v="3"/>
    <n v="21"/>
    <n v="67"/>
    <x v="0"/>
    <x v="0"/>
  </r>
  <r>
    <s v="EMP02000"/>
    <x v="51"/>
    <x v="1"/>
    <n v="28"/>
    <x v="7"/>
    <x v="3"/>
    <x v="329"/>
    <x v="1"/>
    <x v="1"/>
    <x v="1"/>
    <s v="Referral"/>
    <x v="1"/>
    <s v="Bilal Khan"/>
    <n v="239653"/>
    <n v="46656"/>
    <n v="95.5"/>
    <n v="4"/>
    <n v="14"/>
    <n v="1"/>
    <n v="20"/>
    <n v="74"/>
    <x v="0"/>
    <x v="2"/>
  </r>
  <r>
    <s v="EMP00158"/>
    <x v="111"/>
    <x v="1"/>
    <n v="28"/>
    <x v="8"/>
    <x v="7"/>
    <x v="330"/>
    <x v="0"/>
    <x v="2"/>
    <x v="0"/>
    <s v="Referral"/>
    <x v="6"/>
    <s v="Fatima Noor"/>
    <n v="58296"/>
    <n v="6193"/>
    <n v="96.1"/>
    <n v="10"/>
    <n v="6"/>
    <n v="2"/>
    <n v="36"/>
    <n v="74"/>
    <x v="1"/>
    <x v="0"/>
  </r>
  <r>
    <s v="EMP00216"/>
    <x v="69"/>
    <x v="0"/>
    <n v="59"/>
    <x v="3"/>
    <x v="0"/>
    <x v="330"/>
    <x v="0"/>
    <x v="1"/>
    <x v="3"/>
    <s v="Website"/>
    <x v="3"/>
    <s v="Fatima Noor"/>
    <n v="70605"/>
    <n v="7416"/>
    <n v="95.9"/>
    <n v="10"/>
    <n v="8"/>
    <n v="4"/>
    <n v="31"/>
    <n v="67"/>
    <x v="1"/>
    <x v="0"/>
  </r>
  <r>
    <s v="EMP00505"/>
    <x v="143"/>
    <x v="0"/>
    <n v="42"/>
    <x v="0"/>
    <x v="0"/>
    <x v="330"/>
    <x v="0"/>
    <x v="1"/>
    <x v="2"/>
    <s v="Referral"/>
    <x v="5"/>
    <s v="Usman Tariq"/>
    <n v="187253"/>
    <n v="7295"/>
    <n v="88.2"/>
    <n v="10"/>
    <n v="19"/>
    <n v="1"/>
    <n v="16"/>
    <n v="100"/>
    <x v="0"/>
    <x v="0"/>
  </r>
  <r>
    <s v="EMP01300"/>
    <x v="38"/>
    <x v="0"/>
    <n v="27"/>
    <x v="7"/>
    <x v="4"/>
    <x v="330"/>
    <x v="1"/>
    <x v="2"/>
    <x v="1"/>
    <s v="Agency"/>
    <x v="6"/>
    <s v="Usman Tariq"/>
    <n v="231866"/>
    <n v="10118"/>
    <n v="97.4"/>
    <n v="5"/>
    <n v="7"/>
    <n v="3"/>
    <n v="19"/>
    <n v="64"/>
    <x v="0"/>
    <x v="3"/>
  </r>
  <r>
    <s v="EMP01945"/>
    <x v="64"/>
    <x v="1"/>
    <n v="36"/>
    <x v="8"/>
    <x v="2"/>
    <x v="330"/>
    <x v="0"/>
    <x v="0"/>
    <x v="0"/>
    <s v="Agency"/>
    <x v="6"/>
    <s v="Fatima Noor"/>
    <n v="59735"/>
    <n v="21876"/>
    <n v="97.9"/>
    <n v="4"/>
    <n v="18"/>
    <n v="5"/>
    <n v="27"/>
    <n v="95"/>
    <x v="0"/>
    <x v="0"/>
  </r>
  <r>
    <s v="EMP00381"/>
    <x v="60"/>
    <x v="0"/>
    <n v="39"/>
    <x v="5"/>
    <x v="5"/>
    <x v="331"/>
    <x v="0"/>
    <x v="0"/>
    <x v="2"/>
    <s v="Website"/>
    <x v="3"/>
    <s v="Bilal Khan"/>
    <n v="136153"/>
    <n v="19792"/>
    <n v="95.9"/>
    <n v="9"/>
    <n v="3"/>
    <n v="1"/>
    <n v="40"/>
    <n v="77"/>
    <x v="1"/>
    <x v="0"/>
  </r>
  <r>
    <s v="EMP00770"/>
    <x v="89"/>
    <x v="0"/>
    <n v="52"/>
    <x v="2"/>
    <x v="5"/>
    <x v="331"/>
    <x v="0"/>
    <x v="1"/>
    <x v="0"/>
    <s v="Agency"/>
    <x v="0"/>
    <s v="Sara Ali"/>
    <n v="228464"/>
    <n v="9898"/>
    <n v="82.3"/>
    <n v="3"/>
    <n v="14"/>
    <n v="2"/>
    <n v="27"/>
    <n v="67"/>
    <x v="0"/>
    <x v="0"/>
  </r>
  <r>
    <s v="EMP00801"/>
    <x v="90"/>
    <x v="0"/>
    <n v="24"/>
    <x v="2"/>
    <x v="3"/>
    <x v="331"/>
    <x v="0"/>
    <x v="1"/>
    <x v="4"/>
    <s v="Agency"/>
    <x v="0"/>
    <s v="Bilal Khan"/>
    <n v="75900"/>
    <n v="33540"/>
    <n v="85.7"/>
    <n v="10"/>
    <n v="3"/>
    <n v="4"/>
    <n v="38"/>
    <n v="83"/>
    <x v="0"/>
    <x v="0"/>
  </r>
  <r>
    <s v="EMP00091"/>
    <x v="177"/>
    <x v="1"/>
    <n v="53"/>
    <x v="1"/>
    <x v="2"/>
    <x v="332"/>
    <x v="0"/>
    <x v="0"/>
    <x v="2"/>
    <s v="Linkedin"/>
    <x v="3"/>
    <s v="Fatima Noor"/>
    <n v="43396"/>
    <n v="17952"/>
    <n v="97.4"/>
    <n v="4"/>
    <n v="12"/>
    <n v="2"/>
    <n v="27"/>
    <n v="98"/>
    <x v="0"/>
    <x v="0"/>
  </r>
  <r>
    <s v="EMP00937"/>
    <x v="123"/>
    <x v="1"/>
    <n v="41"/>
    <x v="0"/>
    <x v="2"/>
    <x v="332"/>
    <x v="0"/>
    <x v="0"/>
    <x v="3"/>
    <s v="Website"/>
    <x v="4"/>
    <s v="Ahmed Raza"/>
    <n v="216169"/>
    <n v="35132"/>
    <n v="88.2"/>
    <n v="10"/>
    <n v="7"/>
    <n v="3"/>
    <n v="12"/>
    <n v="71"/>
    <x v="0"/>
    <x v="0"/>
  </r>
  <r>
    <s v="EMP01418"/>
    <x v="137"/>
    <x v="1"/>
    <n v="52"/>
    <x v="3"/>
    <x v="2"/>
    <x v="332"/>
    <x v="0"/>
    <x v="0"/>
    <x v="1"/>
    <s v="Agency"/>
    <x v="2"/>
    <s v="Bilal Khan"/>
    <n v="115644"/>
    <n v="12550"/>
    <n v="98.8"/>
    <n v="5"/>
    <n v="21"/>
    <n v="4"/>
    <n v="6"/>
    <n v="77"/>
    <x v="0"/>
    <x v="0"/>
  </r>
  <r>
    <s v="EMP00897"/>
    <x v="107"/>
    <x v="0"/>
    <n v="40"/>
    <x v="0"/>
    <x v="2"/>
    <x v="333"/>
    <x v="0"/>
    <x v="2"/>
    <x v="3"/>
    <s v="Website"/>
    <x v="0"/>
    <s v="Sara Ali"/>
    <n v="104548"/>
    <n v="13087"/>
    <n v="81.5"/>
    <n v="0"/>
    <n v="2"/>
    <n v="2"/>
    <n v="10"/>
    <n v="80"/>
    <x v="1"/>
    <x v="0"/>
  </r>
  <r>
    <s v="EMP00932"/>
    <x v="164"/>
    <x v="0"/>
    <n v="40"/>
    <x v="3"/>
    <x v="7"/>
    <x v="333"/>
    <x v="0"/>
    <x v="1"/>
    <x v="3"/>
    <s v="Campus"/>
    <x v="5"/>
    <s v="Sara Ali"/>
    <n v="232920"/>
    <n v="12351"/>
    <n v="83.9"/>
    <n v="1"/>
    <n v="17"/>
    <n v="3"/>
    <n v="3"/>
    <n v="89"/>
    <x v="0"/>
    <x v="0"/>
  </r>
  <r>
    <s v="EMP00474"/>
    <x v="74"/>
    <x v="0"/>
    <n v="23"/>
    <x v="2"/>
    <x v="0"/>
    <x v="334"/>
    <x v="0"/>
    <x v="1"/>
    <x v="3"/>
    <s v="Campus"/>
    <x v="3"/>
    <s v="Fatima Noor"/>
    <n v="92026"/>
    <n v="12173"/>
    <n v="90.7"/>
    <n v="5"/>
    <n v="11"/>
    <n v="2"/>
    <n v="11"/>
    <n v="66"/>
    <x v="1"/>
    <x v="0"/>
  </r>
  <r>
    <s v="EMP01135"/>
    <x v="160"/>
    <x v="0"/>
    <n v="36"/>
    <x v="6"/>
    <x v="7"/>
    <x v="334"/>
    <x v="1"/>
    <x v="0"/>
    <x v="1"/>
    <s v="Website"/>
    <x v="5"/>
    <s v="Fatima Noor"/>
    <n v="122722"/>
    <n v="42943"/>
    <n v="89.2"/>
    <n v="0"/>
    <n v="20"/>
    <n v="5"/>
    <n v="9"/>
    <n v="88"/>
    <x v="0"/>
    <x v="2"/>
  </r>
  <r>
    <s v="EMP01224"/>
    <x v="80"/>
    <x v="1"/>
    <n v="23"/>
    <x v="6"/>
    <x v="1"/>
    <x v="335"/>
    <x v="0"/>
    <x v="1"/>
    <x v="0"/>
    <s v="Linkedin"/>
    <x v="0"/>
    <s v="Bilal Khan"/>
    <n v="128692"/>
    <n v="29666"/>
    <n v="80.3"/>
    <n v="0"/>
    <n v="29"/>
    <n v="3"/>
    <n v="29"/>
    <n v="67"/>
    <x v="0"/>
    <x v="0"/>
  </r>
  <r>
    <s v="EMP01703"/>
    <x v="176"/>
    <x v="0"/>
    <n v="50"/>
    <x v="5"/>
    <x v="6"/>
    <x v="336"/>
    <x v="0"/>
    <x v="1"/>
    <x v="3"/>
    <s v="Campus"/>
    <x v="7"/>
    <s v="Ahmed Raza"/>
    <n v="191036"/>
    <n v="6889"/>
    <n v="80.3"/>
    <n v="7"/>
    <n v="14"/>
    <n v="3"/>
    <n v="24"/>
    <n v="95"/>
    <x v="0"/>
    <x v="0"/>
  </r>
  <r>
    <s v="EMP01946"/>
    <x v="159"/>
    <x v="1"/>
    <n v="37"/>
    <x v="0"/>
    <x v="4"/>
    <x v="336"/>
    <x v="0"/>
    <x v="2"/>
    <x v="2"/>
    <s v="Campus"/>
    <x v="3"/>
    <s v="Fatima Noor"/>
    <n v="91188"/>
    <n v="8500"/>
    <n v="92.2"/>
    <n v="1"/>
    <n v="26"/>
    <n v="3"/>
    <n v="18"/>
    <n v="68"/>
    <x v="0"/>
    <x v="0"/>
  </r>
  <r>
    <s v="EMP00160"/>
    <x v="112"/>
    <x v="0"/>
    <n v="46"/>
    <x v="5"/>
    <x v="6"/>
    <x v="337"/>
    <x v="1"/>
    <x v="1"/>
    <x v="1"/>
    <s v="Agency"/>
    <x v="7"/>
    <s v="Ahmed Raza"/>
    <n v="95831"/>
    <n v="18822"/>
    <n v="89.9"/>
    <n v="9"/>
    <n v="28"/>
    <n v="2"/>
    <n v="34"/>
    <n v="89"/>
    <x v="0"/>
    <x v="3"/>
  </r>
  <r>
    <s v="EMP00668"/>
    <x v="64"/>
    <x v="1"/>
    <n v="50"/>
    <x v="6"/>
    <x v="4"/>
    <x v="337"/>
    <x v="0"/>
    <x v="1"/>
    <x v="1"/>
    <s v="Linkedin"/>
    <x v="5"/>
    <s v="Sara Ali"/>
    <n v="51879"/>
    <n v="23507"/>
    <n v="84.7"/>
    <n v="8"/>
    <n v="26"/>
    <n v="3"/>
    <n v="6"/>
    <n v="86"/>
    <x v="1"/>
    <x v="0"/>
  </r>
  <r>
    <s v="EMP01524"/>
    <x v="125"/>
    <x v="1"/>
    <n v="47"/>
    <x v="8"/>
    <x v="0"/>
    <x v="337"/>
    <x v="0"/>
    <x v="1"/>
    <x v="0"/>
    <s v="Agency"/>
    <x v="0"/>
    <s v="Ahmed Raza"/>
    <n v="119622"/>
    <n v="36798"/>
    <n v="91.8"/>
    <n v="8"/>
    <n v="6"/>
    <n v="4"/>
    <n v="0"/>
    <n v="92"/>
    <x v="0"/>
    <x v="0"/>
  </r>
  <r>
    <s v="EMP01578"/>
    <x v="18"/>
    <x v="0"/>
    <n v="58"/>
    <x v="3"/>
    <x v="7"/>
    <x v="337"/>
    <x v="1"/>
    <x v="2"/>
    <x v="0"/>
    <s v="Agency"/>
    <x v="1"/>
    <s v="Bilal Khan"/>
    <n v="153760"/>
    <n v="47490"/>
    <n v="87.5"/>
    <n v="4"/>
    <n v="6"/>
    <n v="3"/>
    <n v="29"/>
    <n v="66"/>
    <x v="1"/>
    <x v="2"/>
  </r>
  <r>
    <s v="EMP01671"/>
    <x v="114"/>
    <x v="1"/>
    <n v="25"/>
    <x v="1"/>
    <x v="7"/>
    <x v="337"/>
    <x v="0"/>
    <x v="0"/>
    <x v="2"/>
    <s v="Agency"/>
    <x v="3"/>
    <s v="Fatima Noor"/>
    <n v="202466"/>
    <n v="49417"/>
    <n v="96.9"/>
    <n v="1"/>
    <n v="6"/>
    <n v="3"/>
    <n v="21"/>
    <n v="77"/>
    <x v="0"/>
    <x v="0"/>
  </r>
  <r>
    <s v="EMP01420"/>
    <x v="54"/>
    <x v="1"/>
    <n v="27"/>
    <x v="5"/>
    <x v="0"/>
    <x v="338"/>
    <x v="0"/>
    <x v="1"/>
    <x v="2"/>
    <s v="Referral"/>
    <x v="0"/>
    <s v="Sara Ali"/>
    <n v="154060"/>
    <n v="34963"/>
    <n v="84.2"/>
    <n v="7"/>
    <n v="23"/>
    <n v="5"/>
    <n v="13"/>
    <n v="74"/>
    <x v="0"/>
    <x v="0"/>
  </r>
  <r>
    <s v="EMP00211"/>
    <x v="61"/>
    <x v="0"/>
    <n v="41"/>
    <x v="5"/>
    <x v="5"/>
    <x v="339"/>
    <x v="0"/>
    <x v="1"/>
    <x v="4"/>
    <s v="Referral"/>
    <x v="7"/>
    <s v="Sara Ali"/>
    <n v="104557"/>
    <n v="33134"/>
    <n v="94.9"/>
    <n v="0"/>
    <n v="30"/>
    <n v="1"/>
    <n v="37"/>
    <n v="74"/>
    <x v="0"/>
    <x v="0"/>
  </r>
  <r>
    <s v="EMP00571"/>
    <x v="157"/>
    <x v="0"/>
    <n v="29"/>
    <x v="2"/>
    <x v="2"/>
    <x v="339"/>
    <x v="0"/>
    <x v="0"/>
    <x v="2"/>
    <s v="Campus"/>
    <x v="4"/>
    <s v="Sara Ali"/>
    <n v="160106"/>
    <n v="19481"/>
    <n v="97.9"/>
    <n v="10"/>
    <n v="12"/>
    <n v="5"/>
    <n v="12"/>
    <n v="90"/>
    <x v="0"/>
    <x v="0"/>
  </r>
  <r>
    <s v="EMP00678"/>
    <x v="188"/>
    <x v="0"/>
    <n v="28"/>
    <x v="6"/>
    <x v="3"/>
    <x v="339"/>
    <x v="0"/>
    <x v="2"/>
    <x v="0"/>
    <s v="Linkedin"/>
    <x v="1"/>
    <s v="Ahmed Raza"/>
    <n v="80146"/>
    <n v="21731"/>
    <n v="91.5"/>
    <n v="2"/>
    <n v="1"/>
    <n v="3"/>
    <n v="28"/>
    <n v="96"/>
    <x v="0"/>
    <x v="0"/>
  </r>
  <r>
    <s v="EMP01302"/>
    <x v="36"/>
    <x v="1"/>
    <n v="37"/>
    <x v="0"/>
    <x v="2"/>
    <x v="339"/>
    <x v="0"/>
    <x v="1"/>
    <x v="4"/>
    <s v="Referral"/>
    <x v="7"/>
    <s v="Bilal Khan"/>
    <n v="103429"/>
    <n v="24188"/>
    <n v="96.6"/>
    <n v="6"/>
    <n v="18"/>
    <n v="1"/>
    <n v="40"/>
    <n v="67"/>
    <x v="0"/>
    <x v="0"/>
  </r>
  <r>
    <s v="EMP01340"/>
    <x v="28"/>
    <x v="0"/>
    <n v="26"/>
    <x v="3"/>
    <x v="4"/>
    <x v="339"/>
    <x v="0"/>
    <x v="1"/>
    <x v="4"/>
    <s v="Campus"/>
    <x v="6"/>
    <s v="Fatima Noor"/>
    <n v="245065"/>
    <n v="28805"/>
    <n v="95.4"/>
    <n v="5"/>
    <n v="30"/>
    <n v="3"/>
    <n v="4"/>
    <n v="74"/>
    <x v="0"/>
    <x v="0"/>
  </r>
  <r>
    <s v="EMP01824"/>
    <x v="40"/>
    <x v="0"/>
    <n v="39"/>
    <x v="4"/>
    <x v="0"/>
    <x v="339"/>
    <x v="1"/>
    <x v="2"/>
    <x v="2"/>
    <s v="Referral"/>
    <x v="5"/>
    <s v="Bilal Khan"/>
    <n v="53589"/>
    <n v="29987"/>
    <n v="81.8"/>
    <n v="0"/>
    <n v="19"/>
    <n v="1"/>
    <n v="9"/>
    <n v="80"/>
    <x v="0"/>
    <x v="5"/>
  </r>
  <r>
    <s v="EMP01596"/>
    <x v="147"/>
    <x v="0"/>
    <n v="41"/>
    <x v="7"/>
    <x v="1"/>
    <x v="340"/>
    <x v="0"/>
    <x v="0"/>
    <x v="2"/>
    <s v="Referral"/>
    <x v="4"/>
    <s v="Sara Ali"/>
    <n v="203635"/>
    <n v="8278"/>
    <n v="97.6"/>
    <n v="7"/>
    <n v="2"/>
    <n v="4"/>
    <n v="26"/>
    <n v="92"/>
    <x v="0"/>
    <x v="0"/>
  </r>
  <r>
    <s v="EMP01651"/>
    <x v="40"/>
    <x v="0"/>
    <n v="33"/>
    <x v="5"/>
    <x v="3"/>
    <x v="340"/>
    <x v="0"/>
    <x v="0"/>
    <x v="2"/>
    <s v="Website"/>
    <x v="4"/>
    <s v="Fatima Noor"/>
    <n v="149979"/>
    <n v="29858"/>
    <n v="94.3"/>
    <n v="1"/>
    <n v="20"/>
    <n v="4"/>
    <n v="28"/>
    <n v="70"/>
    <x v="0"/>
    <x v="0"/>
  </r>
  <r>
    <s v="EMP01700"/>
    <x v="82"/>
    <x v="1"/>
    <n v="59"/>
    <x v="6"/>
    <x v="6"/>
    <x v="340"/>
    <x v="0"/>
    <x v="2"/>
    <x v="2"/>
    <s v="Referral"/>
    <x v="5"/>
    <s v="Fatima Noor"/>
    <n v="124574"/>
    <n v="18060"/>
    <n v="85.9"/>
    <n v="7"/>
    <n v="8"/>
    <n v="1"/>
    <n v="2"/>
    <n v="63"/>
    <x v="0"/>
    <x v="0"/>
  </r>
  <r>
    <s v="EMP01484"/>
    <x v="153"/>
    <x v="0"/>
    <n v="37"/>
    <x v="7"/>
    <x v="3"/>
    <x v="341"/>
    <x v="0"/>
    <x v="0"/>
    <x v="2"/>
    <s v="Referral"/>
    <x v="6"/>
    <s v="Bilal Khan"/>
    <n v="69095"/>
    <n v="35401"/>
    <n v="93.3"/>
    <n v="7"/>
    <n v="7"/>
    <n v="2"/>
    <n v="28"/>
    <n v="73"/>
    <x v="0"/>
    <x v="0"/>
  </r>
  <r>
    <s v="EMP00272"/>
    <x v="145"/>
    <x v="1"/>
    <n v="27"/>
    <x v="3"/>
    <x v="5"/>
    <x v="342"/>
    <x v="0"/>
    <x v="1"/>
    <x v="3"/>
    <s v="Linkedin"/>
    <x v="2"/>
    <s v="Ahmed Raza"/>
    <n v="229965"/>
    <n v="45712"/>
    <n v="90"/>
    <n v="2"/>
    <n v="3"/>
    <n v="3"/>
    <n v="1"/>
    <n v="100"/>
    <x v="0"/>
    <x v="0"/>
  </r>
  <r>
    <s v="EMP00546"/>
    <x v="164"/>
    <x v="0"/>
    <n v="27"/>
    <x v="0"/>
    <x v="3"/>
    <x v="342"/>
    <x v="0"/>
    <x v="1"/>
    <x v="0"/>
    <s v="Website"/>
    <x v="6"/>
    <s v="Sara Ali"/>
    <n v="228940"/>
    <n v="37809"/>
    <n v="85"/>
    <n v="2"/>
    <n v="13"/>
    <n v="4"/>
    <n v="34"/>
    <n v="95"/>
    <x v="1"/>
    <x v="0"/>
  </r>
  <r>
    <s v="EMP01048"/>
    <x v="117"/>
    <x v="0"/>
    <n v="27"/>
    <x v="7"/>
    <x v="6"/>
    <x v="343"/>
    <x v="0"/>
    <x v="2"/>
    <x v="4"/>
    <s v="Referral"/>
    <x v="6"/>
    <s v="Ahmed Raza"/>
    <n v="228134"/>
    <n v="6953"/>
    <n v="88.1"/>
    <n v="10"/>
    <n v="1"/>
    <n v="1"/>
    <n v="36"/>
    <n v="88"/>
    <x v="0"/>
    <x v="0"/>
  </r>
  <r>
    <s v="EMP01140"/>
    <x v="41"/>
    <x v="0"/>
    <n v="26"/>
    <x v="7"/>
    <x v="5"/>
    <x v="343"/>
    <x v="0"/>
    <x v="0"/>
    <x v="1"/>
    <s v="Linkedin"/>
    <x v="7"/>
    <s v="Bilal Khan"/>
    <n v="107851"/>
    <n v="14251"/>
    <n v="92.2"/>
    <n v="0"/>
    <n v="30"/>
    <n v="4"/>
    <n v="2"/>
    <n v="66"/>
    <x v="0"/>
    <x v="0"/>
  </r>
  <r>
    <s v="EMP01153"/>
    <x v="115"/>
    <x v="0"/>
    <n v="44"/>
    <x v="2"/>
    <x v="6"/>
    <x v="343"/>
    <x v="0"/>
    <x v="1"/>
    <x v="4"/>
    <s v="Agency"/>
    <x v="3"/>
    <s v="Fatima Noor"/>
    <n v="103982"/>
    <n v="23203"/>
    <n v="85.8"/>
    <n v="3"/>
    <n v="5"/>
    <n v="2"/>
    <n v="3"/>
    <n v="96"/>
    <x v="0"/>
    <x v="0"/>
  </r>
  <r>
    <s v="EMP00370"/>
    <x v="54"/>
    <x v="1"/>
    <n v="52"/>
    <x v="8"/>
    <x v="7"/>
    <x v="344"/>
    <x v="0"/>
    <x v="1"/>
    <x v="2"/>
    <s v="Agency"/>
    <x v="2"/>
    <s v="Ahmed Raza"/>
    <n v="53188"/>
    <n v="30649"/>
    <n v="88.7"/>
    <n v="3"/>
    <n v="2"/>
    <n v="3"/>
    <n v="7"/>
    <n v="93"/>
    <x v="0"/>
    <x v="0"/>
  </r>
  <r>
    <s v="EMP00440"/>
    <x v="153"/>
    <x v="0"/>
    <n v="33"/>
    <x v="4"/>
    <x v="3"/>
    <x v="344"/>
    <x v="0"/>
    <x v="2"/>
    <x v="2"/>
    <s v="Website"/>
    <x v="0"/>
    <s v="Fatima Noor"/>
    <n v="230539"/>
    <n v="33947"/>
    <n v="94.4"/>
    <n v="5"/>
    <n v="13"/>
    <n v="3"/>
    <n v="22"/>
    <n v="74"/>
    <x v="1"/>
    <x v="0"/>
  </r>
  <r>
    <s v="EMP00584"/>
    <x v="48"/>
    <x v="1"/>
    <n v="58"/>
    <x v="3"/>
    <x v="7"/>
    <x v="344"/>
    <x v="0"/>
    <x v="2"/>
    <x v="4"/>
    <s v="Campus"/>
    <x v="7"/>
    <s v="Sara Ali"/>
    <n v="151431"/>
    <n v="38607"/>
    <n v="89.1"/>
    <n v="4"/>
    <n v="25"/>
    <n v="3"/>
    <n v="22"/>
    <n v="97"/>
    <x v="0"/>
    <x v="0"/>
  </r>
  <r>
    <s v="EMP01974"/>
    <x v="139"/>
    <x v="0"/>
    <n v="51"/>
    <x v="2"/>
    <x v="6"/>
    <x v="344"/>
    <x v="0"/>
    <x v="0"/>
    <x v="3"/>
    <s v="Agency"/>
    <x v="7"/>
    <s v="Fatima Noor"/>
    <n v="191136"/>
    <n v="42177"/>
    <n v="94.7"/>
    <n v="4"/>
    <n v="12"/>
    <n v="1"/>
    <n v="10"/>
    <n v="99"/>
    <x v="0"/>
    <x v="0"/>
  </r>
  <r>
    <s v="EMP00140"/>
    <x v="173"/>
    <x v="1"/>
    <n v="55"/>
    <x v="0"/>
    <x v="4"/>
    <x v="345"/>
    <x v="0"/>
    <x v="1"/>
    <x v="3"/>
    <s v="Campus"/>
    <x v="7"/>
    <s v="Usman Tariq"/>
    <n v="217572"/>
    <n v="33672"/>
    <n v="90.2"/>
    <n v="0"/>
    <n v="15"/>
    <n v="3"/>
    <n v="7"/>
    <n v="80"/>
    <x v="0"/>
    <x v="0"/>
  </r>
  <r>
    <s v="EMP00663"/>
    <x v="147"/>
    <x v="1"/>
    <n v="55"/>
    <x v="8"/>
    <x v="2"/>
    <x v="345"/>
    <x v="0"/>
    <x v="2"/>
    <x v="2"/>
    <s v="Referral"/>
    <x v="4"/>
    <s v="Sara Ali"/>
    <n v="220570"/>
    <n v="37337"/>
    <n v="81.8"/>
    <n v="4"/>
    <n v="7"/>
    <n v="4"/>
    <n v="14"/>
    <n v="65"/>
    <x v="0"/>
    <x v="0"/>
  </r>
  <r>
    <s v="EMP01147"/>
    <x v="187"/>
    <x v="1"/>
    <n v="57"/>
    <x v="3"/>
    <x v="4"/>
    <x v="345"/>
    <x v="0"/>
    <x v="1"/>
    <x v="0"/>
    <s v="Website"/>
    <x v="1"/>
    <s v="Bilal Khan"/>
    <n v="244202"/>
    <n v="14113"/>
    <n v="98.3"/>
    <n v="4"/>
    <n v="6"/>
    <n v="1"/>
    <n v="18"/>
    <n v="97"/>
    <x v="1"/>
    <x v="0"/>
  </r>
  <r>
    <s v="EMP01843"/>
    <x v="122"/>
    <x v="1"/>
    <n v="40"/>
    <x v="6"/>
    <x v="5"/>
    <x v="345"/>
    <x v="0"/>
    <x v="2"/>
    <x v="1"/>
    <s v="Website"/>
    <x v="5"/>
    <s v="Sara Ali"/>
    <n v="153135"/>
    <n v="6265"/>
    <n v="92.1"/>
    <n v="10"/>
    <n v="25"/>
    <n v="5"/>
    <n v="22"/>
    <n v="96"/>
    <x v="0"/>
    <x v="0"/>
  </r>
  <r>
    <s v="EMP00531"/>
    <x v="54"/>
    <x v="0"/>
    <n v="41"/>
    <x v="0"/>
    <x v="5"/>
    <x v="346"/>
    <x v="0"/>
    <x v="1"/>
    <x v="2"/>
    <s v="Referral"/>
    <x v="7"/>
    <s v="Fatima Noor"/>
    <n v="87797"/>
    <n v="39840"/>
    <n v="80.099999999999994"/>
    <n v="10"/>
    <n v="30"/>
    <n v="1"/>
    <n v="36"/>
    <n v="63"/>
    <x v="0"/>
    <x v="0"/>
  </r>
  <r>
    <s v="EMP00982"/>
    <x v="159"/>
    <x v="1"/>
    <n v="45"/>
    <x v="1"/>
    <x v="6"/>
    <x v="346"/>
    <x v="0"/>
    <x v="2"/>
    <x v="0"/>
    <s v="Website"/>
    <x v="7"/>
    <s v="Bilal Khan"/>
    <n v="240788"/>
    <n v="26242"/>
    <n v="83.3"/>
    <n v="7"/>
    <n v="25"/>
    <n v="1"/>
    <n v="11"/>
    <n v="98"/>
    <x v="0"/>
    <x v="0"/>
  </r>
  <r>
    <s v="EMP00154"/>
    <x v="93"/>
    <x v="1"/>
    <n v="31"/>
    <x v="7"/>
    <x v="5"/>
    <x v="347"/>
    <x v="0"/>
    <x v="0"/>
    <x v="3"/>
    <s v="Linkedin"/>
    <x v="6"/>
    <s v="Usman Tariq"/>
    <n v="100552"/>
    <n v="38243"/>
    <n v="83.9"/>
    <n v="7"/>
    <n v="26"/>
    <n v="3"/>
    <n v="17"/>
    <n v="76"/>
    <x v="1"/>
    <x v="0"/>
  </r>
  <r>
    <s v="EMP00206"/>
    <x v="35"/>
    <x v="0"/>
    <n v="57"/>
    <x v="3"/>
    <x v="3"/>
    <x v="347"/>
    <x v="0"/>
    <x v="2"/>
    <x v="2"/>
    <s v="Agency"/>
    <x v="4"/>
    <s v="Bilal Khan"/>
    <n v="156175"/>
    <n v="6785"/>
    <n v="90.8"/>
    <n v="8"/>
    <n v="9"/>
    <n v="1"/>
    <n v="34"/>
    <n v="84"/>
    <x v="0"/>
    <x v="0"/>
  </r>
  <r>
    <s v="EMP00259"/>
    <x v="24"/>
    <x v="1"/>
    <n v="43"/>
    <x v="2"/>
    <x v="2"/>
    <x v="347"/>
    <x v="0"/>
    <x v="1"/>
    <x v="3"/>
    <s v="Linkedin"/>
    <x v="0"/>
    <s v="Bilal Khan"/>
    <n v="62258"/>
    <n v="17958"/>
    <n v="98.1"/>
    <n v="3"/>
    <n v="28"/>
    <n v="4"/>
    <n v="12"/>
    <n v="95"/>
    <x v="0"/>
    <x v="0"/>
  </r>
  <r>
    <s v="EMP00631"/>
    <x v="194"/>
    <x v="1"/>
    <n v="23"/>
    <x v="4"/>
    <x v="1"/>
    <x v="347"/>
    <x v="0"/>
    <x v="0"/>
    <x v="3"/>
    <s v="Campus"/>
    <x v="5"/>
    <s v="Usman Tariq"/>
    <n v="206953"/>
    <n v="38648"/>
    <n v="97.8"/>
    <n v="5"/>
    <n v="11"/>
    <n v="5"/>
    <n v="7"/>
    <n v="75"/>
    <x v="0"/>
    <x v="0"/>
  </r>
  <r>
    <s v="EMP01044"/>
    <x v="72"/>
    <x v="0"/>
    <n v="24"/>
    <x v="6"/>
    <x v="1"/>
    <x v="347"/>
    <x v="0"/>
    <x v="2"/>
    <x v="2"/>
    <s v="Linkedin"/>
    <x v="3"/>
    <s v="Bilal Khan"/>
    <n v="157629"/>
    <n v="7371"/>
    <n v="88"/>
    <n v="4"/>
    <n v="11"/>
    <n v="4"/>
    <n v="30"/>
    <n v="98"/>
    <x v="1"/>
    <x v="0"/>
  </r>
  <r>
    <s v="EMP01378"/>
    <x v="0"/>
    <x v="1"/>
    <n v="57"/>
    <x v="8"/>
    <x v="6"/>
    <x v="347"/>
    <x v="0"/>
    <x v="2"/>
    <x v="1"/>
    <s v="Linkedin"/>
    <x v="7"/>
    <s v="Sara Ali"/>
    <n v="150067"/>
    <n v="45201"/>
    <n v="94.5"/>
    <n v="10"/>
    <n v="11"/>
    <n v="2"/>
    <n v="28"/>
    <n v="82"/>
    <x v="0"/>
    <x v="0"/>
  </r>
  <r>
    <s v="EMP01394"/>
    <x v="175"/>
    <x v="0"/>
    <n v="36"/>
    <x v="0"/>
    <x v="5"/>
    <x v="347"/>
    <x v="0"/>
    <x v="2"/>
    <x v="4"/>
    <s v="Campus"/>
    <x v="2"/>
    <s v="Usman Tariq"/>
    <n v="130515"/>
    <n v="34185"/>
    <n v="91.6"/>
    <n v="7"/>
    <n v="10"/>
    <n v="4"/>
    <n v="17"/>
    <n v="60"/>
    <x v="0"/>
    <x v="0"/>
  </r>
  <r>
    <s v="EMP00177"/>
    <x v="64"/>
    <x v="1"/>
    <n v="48"/>
    <x v="8"/>
    <x v="3"/>
    <x v="348"/>
    <x v="1"/>
    <x v="1"/>
    <x v="4"/>
    <s v="Linkedin"/>
    <x v="2"/>
    <s v="Ahmed Raza"/>
    <n v="89554"/>
    <n v="11747"/>
    <n v="81.3"/>
    <n v="0"/>
    <n v="17"/>
    <n v="4"/>
    <n v="32"/>
    <n v="91"/>
    <x v="0"/>
    <x v="3"/>
  </r>
  <r>
    <s v="EMP00423"/>
    <x v="12"/>
    <x v="0"/>
    <n v="42"/>
    <x v="8"/>
    <x v="3"/>
    <x v="348"/>
    <x v="0"/>
    <x v="2"/>
    <x v="0"/>
    <s v="Website"/>
    <x v="7"/>
    <s v="Fatima Noor"/>
    <n v="116603"/>
    <n v="14131"/>
    <n v="80.599999999999994"/>
    <n v="9"/>
    <n v="28"/>
    <n v="3"/>
    <n v="37"/>
    <n v="62"/>
    <x v="0"/>
    <x v="0"/>
  </r>
  <r>
    <s v="EMP01576"/>
    <x v="2"/>
    <x v="0"/>
    <n v="22"/>
    <x v="4"/>
    <x v="3"/>
    <x v="348"/>
    <x v="0"/>
    <x v="1"/>
    <x v="3"/>
    <s v="Referral"/>
    <x v="4"/>
    <s v="Usman Tariq"/>
    <n v="74369"/>
    <n v="23830"/>
    <n v="80.099999999999994"/>
    <n v="10"/>
    <n v="10"/>
    <n v="3"/>
    <n v="22"/>
    <n v="78"/>
    <x v="0"/>
    <x v="0"/>
  </r>
  <r>
    <s v="EMP01940"/>
    <x v="178"/>
    <x v="0"/>
    <n v="60"/>
    <x v="6"/>
    <x v="1"/>
    <x v="348"/>
    <x v="0"/>
    <x v="2"/>
    <x v="2"/>
    <s v="Website"/>
    <x v="7"/>
    <s v="Bilal Khan"/>
    <n v="84988"/>
    <n v="6136"/>
    <n v="99.9"/>
    <n v="9"/>
    <n v="14"/>
    <n v="5"/>
    <n v="0"/>
    <n v="70"/>
    <x v="0"/>
    <x v="0"/>
  </r>
  <r>
    <s v="EMP00358"/>
    <x v="1"/>
    <x v="1"/>
    <n v="58"/>
    <x v="1"/>
    <x v="2"/>
    <x v="349"/>
    <x v="0"/>
    <x v="1"/>
    <x v="3"/>
    <s v="Referral"/>
    <x v="7"/>
    <s v="Sara Ali"/>
    <n v="94968"/>
    <n v="21655"/>
    <n v="82.6"/>
    <n v="6"/>
    <n v="16"/>
    <n v="3"/>
    <n v="19"/>
    <n v="60"/>
    <x v="0"/>
    <x v="0"/>
  </r>
  <r>
    <s v="EMP01042"/>
    <x v="25"/>
    <x v="0"/>
    <n v="59"/>
    <x v="6"/>
    <x v="3"/>
    <x v="349"/>
    <x v="0"/>
    <x v="2"/>
    <x v="2"/>
    <s v="Campus"/>
    <x v="2"/>
    <s v="Usman Tariq"/>
    <n v="242778"/>
    <n v="34280"/>
    <n v="97.7"/>
    <n v="10"/>
    <n v="3"/>
    <n v="4"/>
    <n v="18"/>
    <n v="88"/>
    <x v="0"/>
    <x v="0"/>
  </r>
  <r>
    <s v="EMP01582"/>
    <x v="15"/>
    <x v="1"/>
    <n v="34"/>
    <x v="5"/>
    <x v="7"/>
    <x v="349"/>
    <x v="0"/>
    <x v="0"/>
    <x v="1"/>
    <s v="Website"/>
    <x v="4"/>
    <s v="Ahmed Raza"/>
    <n v="249484"/>
    <n v="32998"/>
    <n v="88.1"/>
    <n v="6"/>
    <n v="23"/>
    <n v="3"/>
    <n v="35"/>
    <n v="91"/>
    <x v="1"/>
    <x v="0"/>
  </r>
  <r>
    <s v="EMP00116"/>
    <x v="130"/>
    <x v="0"/>
    <n v="40"/>
    <x v="0"/>
    <x v="1"/>
    <x v="350"/>
    <x v="0"/>
    <x v="0"/>
    <x v="0"/>
    <s v="Campus"/>
    <x v="2"/>
    <s v="Sara Ali"/>
    <n v="42650"/>
    <n v="49212"/>
    <n v="80.099999999999994"/>
    <n v="2"/>
    <n v="0"/>
    <n v="3"/>
    <n v="32"/>
    <n v="65"/>
    <x v="1"/>
    <x v="0"/>
  </r>
  <r>
    <s v="EMP00921"/>
    <x v="5"/>
    <x v="1"/>
    <n v="31"/>
    <x v="7"/>
    <x v="4"/>
    <x v="350"/>
    <x v="0"/>
    <x v="1"/>
    <x v="0"/>
    <s v="Linkedin"/>
    <x v="6"/>
    <s v="Ahmed Raza"/>
    <n v="43504"/>
    <n v="36663"/>
    <n v="91.1"/>
    <n v="4"/>
    <n v="25"/>
    <n v="2"/>
    <n v="23"/>
    <n v="60"/>
    <x v="0"/>
    <x v="0"/>
  </r>
  <r>
    <s v="EMP00193"/>
    <x v="5"/>
    <x v="0"/>
    <n v="21"/>
    <x v="3"/>
    <x v="0"/>
    <x v="351"/>
    <x v="0"/>
    <x v="2"/>
    <x v="2"/>
    <s v="Website"/>
    <x v="3"/>
    <s v="Sara Ali"/>
    <n v="211938"/>
    <n v="8101"/>
    <n v="91.1"/>
    <n v="4"/>
    <n v="12"/>
    <n v="5"/>
    <n v="3"/>
    <n v="65"/>
    <x v="1"/>
    <x v="0"/>
  </r>
  <r>
    <s v="EMP00354"/>
    <x v="107"/>
    <x v="0"/>
    <n v="45"/>
    <x v="3"/>
    <x v="6"/>
    <x v="351"/>
    <x v="0"/>
    <x v="1"/>
    <x v="1"/>
    <s v="Agency"/>
    <x v="4"/>
    <s v="Sara Ali"/>
    <n v="86659"/>
    <n v="38482"/>
    <n v="96.9"/>
    <n v="10"/>
    <n v="17"/>
    <n v="1"/>
    <n v="28"/>
    <n v="71"/>
    <x v="0"/>
    <x v="0"/>
  </r>
  <r>
    <s v="EMP00865"/>
    <x v="102"/>
    <x v="1"/>
    <n v="36"/>
    <x v="0"/>
    <x v="6"/>
    <x v="351"/>
    <x v="0"/>
    <x v="2"/>
    <x v="4"/>
    <s v="Linkedin"/>
    <x v="1"/>
    <s v="Ahmed Raza"/>
    <n v="201542"/>
    <n v="15872"/>
    <n v="91.4"/>
    <n v="4"/>
    <n v="15"/>
    <n v="4"/>
    <n v="39"/>
    <n v="60"/>
    <x v="0"/>
    <x v="0"/>
  </r>
  <r>
    <s v="EMP00145"/>
    <x v="182"/>
    <x v="1"/>
    <n v="35"/>
    <x v="1"/>
    <x v="4"/>
    <x v="352"/>
    <x v="0"/>
    <x v="1"/>
    <x v="4"/>
    <s v="Referral"/>
    <x v="2"/>
    <s v="Ahmed Raza"/>
    <n v="242349"/>
    <n v="7282"/>
    <n v="99.5"/>
    <n v="1"/>
    <n v="6"/>
    <n v="3"/>
    <n v="10"/>
    <n v="62"/>
    <x v="0"/>
    <x v="0"/>
  </r>
  <r>
    <s v="EMP00610"/>
    <x v="58"/>
    <x v="0"/>
    <n v="23"/>
    <x v="6"/>
    <x v="0"/>
    <x v="352"/>
    <x v="0"/>
    <x v="0"/>
    <x v="1"/>
    <s v="Referral"/>
    <x v="4"/>
    <s v="Fatima Noor"/>
    <n v="167417"/>
    <n v="34328"/>
    <n v="82.8"/>
    <n v="5"/>
    <n v="21"/>
    <n v="1"/>
    <n v="37"/>
    <n v="62"/>
    <x v="1"/>
    <x v="0"/>
  </r>
  <r>
    <s v="EMP00879"/>
    <x v="66"/>
    <x v="1"/>
    <n v="50"/>
    <x v="2"/>
    <x v="3"/>
    <x v="352"/>
    <x v="0"/>
    <x v="2"/>
    <x v="4"/>
    <s v="Referral"/>
    <x v="2"/>
    <s v="Usman Tariq"/>
    <n v="86129"/>
    <n v="21195"/>
    <n v="87.2"/>
    <n v="8"/>
    <n v="28"/>
    <n v="3"/>
    <n v="28"/>
    <n v="90"/>
    <x v="0"/>
    <x v="0"/>
  </r>
  <r>
    <s v="EMP01852"/>
    <x v="103"/>
    <x v="0"/>
    <n v="51"/>
    <x v="0"/>
    <x v="5"/>
    <x v="352"/>
    <x v="0"/>
    <x v="0"/>
    <x v="3"/>
    <s v="Agency"/>
    <x v="7"/>
    <s v="Bilal Khan"/>
    <n v="163143"/>
    <n v="32324"/>
    <n v="81.3"/>
    <n v="5"/>
    <n v="24"/>
    <n v="1"/>
    <n v="33"/>
    <n v="100"/>
    <x v="0"/>
    <x v="0"/>
  </r>
  <r>
    <s v="EMP00151"/>
    <x v="14"/>
    <x v="0"/>
    <n v="59"/>
    <x v="6"/>
    <x v="4"/>
    <x v="353"/>
    <x v="0"/>
    <x v="1"/>
    <x v="0"/>
    <s v="Website"/>
    <x v="2"/>
    <s v="Fatima Noor"/>
    <n v="87674"/>
    <n v="9834"/>
    <n v="96.3"/>
    <n v="10"/>
    <n v="19"/>
    <n v="2"/>
    <n v="39"/>
    <n v="68"/>
    <x v="0"/>
    <x v="0"/>
  </r>
  <r>
    <s v="EMP01312"/>
    <x v="140"/>
    <x v="1"/>
    <n v="32"/>
    <x v="5"/>
    <x v="0"/>
    <x v="353"/>
    <x v="0"/>
    <x v="1"/>
    <x v="2"/>
    <s v="Linkedin"/>
    <x v="1"/>
    <s v="Fatima Noor"/>
    <n v="84398"/>
    <n v="11687"/>
    <n v="99.7"/>
    <n v="4"/>
    <n v="28"/>
    <n v="1"/>
    <n v="36"/>
    <n v="71"/>
    <x v="1"/>
    <x v="0"/>
  </r>
  <r>
    <s v="EMP01338"/>
    <x v="17"/>
    <x v="1"/>
    <n v="28"/>
    <x v="4"/>
    <x v="0"/>
    <x v="353"/>
    <x v="1"/>
    <x v="0"/>
    <x v="4"/>
    <s v="Linkedin"/>
    <x v="5"/>
    <s v="Bilal Khan"/>
    <n v="70293"/>
    <n v="19492"/>
    <n v="89.8"/>
    <n v="5"/>
    <n v="17"/>
    <n v="3"/>
    <n v="0"/>
    <n v="74"/>
    <x v="0"/>
    <x v="1"/>
  </r>
  <r>
    <s v="EMP00600"/>
    <x v="94"/>
    <x v="0"/>
    <n v="33"/>
    <x v="6"/>
    <x v="5"/>
    <x v="354"/>
    <x v="0"/>
    <x v="0"/>
    <x v="1"/>
    <s v="Referral"/>
    <x v="5"/>
    <s v="Ahmed Raza"/>
    <n v="128851"/>
    <n v="46799"/>
    <n v="85.4"/>
    <n v="0"/>
    <n v="14"/>
    <n v="5"/>
    <n v="0"/>
    <n v="61"/>
    <x v="0"/>
    <x v="0"/>
  </r>
  <r>
    <s v="EMP00809"/>
    <x v="180"/>
    <x v="1"/>
    <n v="35"/>
    <x v="8"/>
    <x v="3"/>
    <x v="354"/>
    <x v="1"/>
    <x v="2"/>
    <x v="1"/>
    <s v="Website"/>
    <x v="4"/>
    <s v="Bilal Khan"/>
    <n v="191118"/>
    <n v="6992"/>
    <n v="96.7"/>
    <n v="3"/>
    <n v="7"/>
    <n v="1"/>
    <n v="20"/>
    <n v="74"/>
    <x v="1"/>
    <x v="1"/>
  </r>
  <r>
    <s v="EMP01603"/>
    <x v="142"/>
    <x v="0"/>
    <n v="24"/>
    <x v="7"/>
    <x v="2"/>
    <x v="354"/>
    <x v="0"/>
    <x v="0"/>
    <x v="3"/>
    <s v="Website"/>
    <x v="7"/>
    <s v="Sara Ali"/>
    <n v="41846"/>
    <n v="28501"/>
    <n v="91.9"/>
    <n v="5"/>
    <n v="27"/>
    <n v="5"/>
    <n v="31"/>
    <n v="71"/>
    <x v="0"/>
    <x v="0"/>
  </r>
  <r>
    <s v="EMP00028"/>
    <x v="71"/>
    <x v="0"/>
    <n v="29"/>
    <x v="3"/>
    <x v="0"/>
    <x v="355"/>
    <x v="0"/>
    <x v="0"/>
    <x v="0"/>
    <s v="Campus"/>
    <x v="4"/>
    <s v="Fatima Noor"/>
    <n v="162040"/>
    <n v="13202"/>
    <n v="89.2"/>
    <n v="4"/>
    <n v="27"/>
    <n v="2"/>
    <n v="31"/>
    <n v="78"/>
    <x v="0"/>
    <x v="0"/>
  </r>
  <r>
    <s v="EMP01523"/>
    <x v="78"/>
    <x v="1"/>
    <n v="44"/>
    <x v="0"/>
    <x v="0"/>
    <x v="355"/>
    <x v="0"/>
    <x v="2"/>
    <x v="3"/>
    <s v="Website"/>
    <x v="7"/>
    <s v="Ahmed Raza"/>
    <n v="175206"/>
    <n v="26924"/>
    <n v="96.3"/>
    <n v="2"/>
    <n v="14"/>
    <n v="5"/>
    <n v="34"/>
    <n v="63"/>
    <x v="0"/>
    <x v="0"/>
  </r>
  <r>
    <s v="EMP01791"/>
    <x v="182"/>
    <x v="0"/>
    <n v="41"/>
    <x v="8"/>
    <x v="5"/>
    <x v="355"/>
    <x v="0"/>
    <x v="2"/>
    <x v="4"/>
    <s v="Agency"/>
    <x v="2"/>
    <s v="Usman Tariq"/>
    <n v="36606"/>
    <n v="17200"/>
    <n v="94.4"/>
    <n v="10"/>
    <n v="26"/>
    <n v="5"/>
    <n v="9"/>
    <n v="77"/>
    <x v="0"/>
    <x v="0"/>
  </r>
  <r>
    <s v="EMP01903"/>
    <x v="125"/>
    <x v="0"/>
    <n v="54"/>
    <x v="3"/>
    <x v="7"/>
    <x v="355"/>
    <x v="0"/>
    <x v="0"/>
    <x v="3"/>
    <s v="Referral"/>
    <x v="0"/>
    <s v="Usman Tariq"/>
    <n v="230280"/>
    <n v="17042"/>
    <n v="84.7"/>
    <n v="10"/>
    <n v="16"/>
    <n v="1"/>
    <n v="31"/>
    <n v="67"/>
    <x v="0"/>
    <x v="0"/>
  </r>
  <r>
    <s v="EMP01195"/>
    <x v="94"/>
    <x v="0"/>
    <n v="42"/>
    <x v="4"/>
    <x v="0"/>
    <x v="356"/>
    <x v="0"/>
    <x v="2"/>
    <x v="0"/>
    <s v="Campus"/>
    <x v="0"/>
    <s v="Ahmed Raza"/>
    <n v="176347"/>
    <n v="28934"/>
    <n v="88.8"/>
    <n v="3"/>
    <n v="2"/>
    <n v="2"/>
    <n v="15"/>
    <n v="96"/>
    <x v="0"/>
    <x v="0"/>
  </r>
  <r>
    <s v="EMP00182"/>
    <x v="101"/>
    <x v="0"/>
    <n v="21"/>
    <x v="8"/>
    <x v="5"/>
    <x v="357"/>
    <x v="0"/>
    <x v="1"/>
    <x v="1"/>
    <s v="Agency"/>
    <x v="0"/>
    <s v="Sara Ali"/>
    <n v="116055"/>
    <n v="29041"/>
    <n v="82.9"/>
    <n v="0"/>
    <n v="10"/>
    <n v="4"/>
    <n v="28"/>
    <n v="83"/>
    <x v="0"/>
    <x v="0"/>
  </r>
  <r>
    <s v="EMP00873"/>
    <x v="106"/>
    <x v="0"/>
    <n v="52"/>
    <x v="2"/>
    <x v="5"/>
    <x v="358"/>
    <x v="0"/>
    <x v="1"/>
    <x v="3"/>
    <s v="Campus"/>
    <x v="0"/>
    <s v="Fatima Noor"/>
    <n v="148559"/>
    <n v="8976"/>
    <n v="99.1"/>
    <n v="10"/>
    <n v="2"/>
    <n v="5"/>
    <n v="1"/>
    <n v="100"/>
    <x v="0"/>
    <x v="0"/>
  </r>
  <r>
    <s v="EMP00893"/>
    <x v="177"/>
    <x v="0"/>
    <n v="28"/>
    <x v="2"/>
    <x v="6"/>
    <x v="358"/>
    <x v="0"/>
    <x v="2"/>
    <x v="3"/>
    <s v="Linkedin"/>
    <x v="0"/>
    <s v="Bilal Khan"/>
    <n v="65901"/>
    <n v="42899"/>
    <n v="95.9"/>
    <n v="0"/>
    <n v="20"/>
    <n v="4"/>
    <n v="28"/>
    <n v="97"/>
    <x v="0"/>
    <x v="0"/>
  </r>
  <r>
    <s v="EMP01146"/>
    <x v="18"/>
    <x v="1"/>
    <n v="50"/>
    <x v="1"/>
    <x v="6"/>
    <x v="358"/>
    <x v="0"/>
    <x v="0"/>
    <x v="3"/>
    <s v="Agency"/>
    <x v="6"/>
    <s v="Fatima Noor"/>
    <n v="116375"/>
    <n v="14945"/>
    <n v="98.4"/>
    <n v="5"/>
    <n v="25"/>
    <n v="4"/>
    <n v="8"/>
    <n v="90"/>
    <x v="0"/>
    <x v="0"/>
  </r>
  <r>
    <s v="EMP01953"/>
    <x v="59"/>
    <x v="1"/>
    <n v="45"/>
    <x v="4"/>
    <x v="1"/>
    <x v="358"/>
    <x v="0"/>
    <x v="0"/>
    <x v="1"/>
    <s v="Linkedin"/>
    <x v="2"/>
    <s v="Sara Ali"/>
    <n v="113178"/>
    <n v="22100"/>
    <n v="91.2"/>
    <n v="4"/>
    <n v="9"/>
    <n v="3"/>
    <n v="21"/>
    <n v="95"/>
    <x v="0"/>
    <x v="0"/>
  </r>
  <r>
    <s v="EMP00625"/>
    <x v="25"/>
    <x v="1"/>
    <n v="44"/>
    <x v="3"/>
    <x v="4"/>
    <x v="359"/>
    <x v="0"/>
    <x v="2"/>
    <x v="3"/>
    <s v="Linkedin"/>
    <x v="6"/>
    <s v="Bilal Khan"/>
    <n v="62271"/>
    <n v="34158"/>
    <n v="93.7"/>
    <n v="3"/>
    <n v="15"/>
    <n v="2"/>
    <n v="31"/>
    <n v="62"/>
    <x v="0"/>
    <x v="0"/>
  </r>
  <r>
    <s v="EMP01511"/>
    <x v="151"/>
    <x v="1"/>
    <n v="58"/>
    <x v="6"/>
    <x v="3"/>
    <x v="359"/>
    <x v="0"/>
    <x v="0"/>
    <x v="2"/>
    <s v="Linkedin"/>
    <x v="3"/>
    <s v="Bilal Khan"/>
    <n v="164556"/>
    <n v="8306"/>
    <n v="98.1"/>
    <n v="6"/>
    <n v="3"/>
    <n v="2"/>
    <n v="10"/>
    <n v="76"/>
    <x v="0"/>
    <x v="0"/>
  </r>
  <r>
    <s v="EMP01706"/>
    <x v="159"/>
    <x v="1"/>
    <n v="57"/>
    <x v="0"/>
    <x v="3"/>
    <x v="359"/>
    <x v="0"/>
    <x v="1"/>
    <x v="4"/>
    <s v="Linkedin"/>
    <x v="2"/>
    <s v="Ahmed Raza"/>
    <n v="87031"/>
    <n v="46639"/>
    <n v="88"/>
    <n v="2"/>
    <n v="17"/>
    <n v="4"/>
    <n v="2"/>
    <n v="75"/>
    <x v="0"/>
    <x v="0"/>
  </r>
  <r>
    <s v="EMP00823"/>
    <x v="146"/>
    <x v="0"/>
    <n v="34"/>
    <x v="7"/>
    <x v="5"/>
    <x v="360"/>
    <x v="0"/>
    <x v="0"/>
    <x v="2"/>
    <s v="Linkedin"/>
    <x v="1"/>
    <s v="Bilal Khan"/>
    <n v="63031"/>
    <n v="15891"/>
    <n v="93.7"/>
    <n v="8"/>
    <n v="10"/>
    <n v="5"/>
    <n v="0"/>
    <n v="90"/>
    <x v="0"/>
    <x v="0"/>
  </r>
  <r>
    <s v="EMP01089"/>
    <x v="34"/>
    <x v="0"/>
    <n v="56"/>
    <x v="5"/>
    <x v="5"/>
    <x v="361"/>
    <x v="0"/>
    <x v="2"/>
    <x v="4"/>
    <s v="Agency"/>
    <x v="0"/>
    <s v="Usman Tariq"/>
    <n v="235249"/>
    <n v="21161"/>
    <n v="92.4"/>
    <n v="3"/>
    <n v="1"/>
    <n v="5"/>
    <n v="25"/>
    <n v="91"/>
    <x v="0"/>
    <x v="0"/>
  </r>
  <r>
    <s v="EMP01545"/>
    <x v="140"/>
    <x v="0"/>
    <n v="22"/>
    <x v="2"/>
    <x v="2"/>
    <x v="361"/>
    <x v="0"/>
    <x v="1"/>
    <x v="2"/>
    <s v="Linkedin"/>
    <x v="4"/>
    <s v="Usman Tariq"/>
    <n v="51234"/>
    <n v="47028"/>
    <n v="88.4"/>
    <n v="5"/>
    <n v="0"/>
    <n v="1"/>
    <n v="28"/>
    <n v="100"/>
    <x v="1"/>
    <x v="0"/>
  </r>
  <r>
    <s v="EMP01615"/>
    <x v="40"/>
    <x v="1"/>
    <n v="41"/>
    <x v="4"/>
    <x v="2"/>
    <x v="361"/>
    <x v="0"/>
    <x v="0"/>
    <x v="2"/>
    <s v="Referral"/>
    <x v="6"/>
    <s v="Fatima Noor"/>
    <n v="193501"/>
    <n v="31336"/>
    <n v="93"/>
    <n v="5"/>
    <n v="11"/>
    <n v="5"/>
    <n v="8"/>
    <n v="95"/>
    <x v="0"/>
    <x v="0"/>
  </r>
  <r>
    <s v="EMP00480"/>
    <x v="162"/>
    <x v="0"/>
    <n v="57"/>
    <x v="2"/>
    <x v="7"/>
    <x v="362"/>
    <x v="0"/>
    <x v="0"/>
    <x v="2"/>
    <s v="Linkedin"/>
    <x v="4"/>
    <s v="Sara Ali"/>
    <n v="165467"/>
    <n v="44050"/>
    <n v="86.7"/>
    <n v="3"/>
    <n v="4"/>
    <n v="2"/>
    <n v="19"/>
    <n v="64"/>
    <x v="0"/>
    <x v="0"/>
  </r>
  <r>
    <s v="EMP00947"/>
    <x v="142"/>
    <x v="0"/>
    <n v="37"/>
    <x v="1"/>
    <x v="0"/>
    <x v="362"/>
    <x v="0"/>
    <x v="1"/>
    <x v="1"/>
    <s v="Agency"/>
    <x v="2"/>
    <s v="Fatima Noor"/>
    <n v="75001"/>
    <n v="6297"/>
    <n v="98.9"/>
    <n v="8"/>
    <n v="8"/>
    <n v="4"/>
    <n v="16"/>
    <n v="86"/>
    <x v="0"/>
    <x v="0"/>
  </r>
  <r>
    <s v="EMP01053"/>
    <x v="175"/>
    <x v="1"/>
    <n v="55"/>
    <x v="5"/>
    <x v="6"/>
    <x v="362"/>
    <x v="0"/>
    <x v="1"/>
    <x v="1"/>
    <s v="Agency"/>
    <x v="2"/>
    <s v="Ahmed Raza"/>
    <n v="61903"/>
    <n v="31356"/>
    <n v="95.1"/>
    <n v="6"/>
    <n v="17"/>
    <n v="2"/>
    <n v="33"/>
    <n v="94"/>
    <x v="0"/>
    <x v="0"/>
  </r>
  <r>
    <s v="EMP01033"/>
    <x v="72"/>
    <x v="0"/>
    <n v="46"/>
    <x v="6"/>
    <x v="6"/>
    <x v="363"/>
    <x v="0"/>
    <x v="2"/>
    <x v="2"/>
    <s v="Website"/>
    <x v="5"/>
    <s v="Ahmed Raza"/>
    <n v="97798"/>
    <n v="27852"/>
    <n v="95.6"/>
    <n v="10"/>
    <n v="24"/>
    <n v="3"/>
    <n v="34"/>
    <n v="95"/>
    <x v="0"/>
    <x v="0"/>
  </r>
  <r>
    <s v="EMP01426"/>
    <x v="141"/>
    <x v="0"/>
    <n v="49"/>
    <x v="1"/>
    <x v="0"/>
    <x v="363"/>
    <x v="0"/>
    <x v="2"/>
    <x v="1"/>
    <s v="Website"/>
    <x v="5"/>
    <s v="Usman Tariq"/>
    <n v="242159"/>
    <n v="44318"/>
    <n v="97.9"/>
    <n v="3"/>
    <n v="0"/>
    <n v="3"/>
    <n v="38"/>
    <n v="92"/>
    <x v="0"/>
    <x v="0"/>
  </r>
  <r>
    <s v="EMP01335"/>
    <x v="180"/>
    <x v="0"/>
    <n v="58"/>
    <x v="1"/>
    <x v="7"/>
    <x v="364"/>
    <x v="0"/>
    <x v="0"/>
    <x v="4"/>
    <s v="Referral"/>
    <x v="7"/>
    <s v="Fatima Noor"/>
    <n v="179977"/>
    <n v="27410"/>
    <n v="89.9"/>
    <n v="5"/>
    <n v="3"/>
    <n v="5"/>
    <n v="38"/>
    <n v="67"/>
    <x v="1"/>
    <x v="0"/>
  </r>
  <r>
    <s v="EMP01921"/>
    <x v="97"/>
    <x v="1"/>
    <n v="60"/>
    <x v="0"/>
    <x v="4"/>
    <x v="364"/>
    <x v="0"/>
    <x v="0"/>
    <x v="1"/>
    <s v="Website"/>
    <x v="7"/>
    <s v="Ahmed Raza"/>
    <n v="124937"/>
    <n v="48509"/>
    <n v="90.9"/>
    <n v="5"/>
    <n v="5"/>
    <n v="3"/>
    <n v="20"/>
    <n v="95"/>
    <x v="1"/>
    <x v="0"/>
  </r>
  <r>
    <s v="EMP00254"/>
    <x v="24"/>
    <x v="0"/>
    <n v="34"/>
    <x v="4"/>
    <x v="2"/>
    <x v="365"/>
    <x v="0"/>
    <x v="0"/>
    <x v="2"/>
    <s v="Agency"/>
    <x v="6"/>
    <s v="Sara Ali"/>
    <n v="239427"/>
    <n v="21033"/>
    <n v="83.8"/>
    <n v="0"/>
    <n v="14"/>
    <n v="2"/>
    <n v="20"/>
    <n v="91"/>
    <x v="1"/>
    <x v="0"/>
  </r>
  <r>
    <s v="EMP00403"/>
    <x v="42"/>
    <x v="1"/>
    <n v="59"/>
    <x v="3"/>
    <x v="3"/>
    <x v="365"/>
    <x v="0"/>
    <x v="0"/>
    <x v="3"/>
    <s v="Campus"/>
    <x v="2"/>
    <s v="Ahmed Raza"/>
    <n v="186254"/>
    <n v="40220"/>
    <n v="88.1"/>
    <n v="7"/>
    <n v="17"/>
    <n v="2"/>
    <n v="37"/>
    <n v="63"/>
    <x v="1"/>
    <x v="0"/>
  </r>
  <r>
    <s v="EMP00424"/>
    <x v="129"/>
    <x v="1"/>
    <n v="36"/>
    <x v="8"/>
    <x v="1"/>
    <x v="365"/>
    <x v="0"/>
    <x v="2"/>
    <x v="0"/>
    <s v="Referral"/>
    <x v="5"/>
    <s v="Sara Ali"/>
    <n v="198372"/>
    <n v="24503"/>
    <n v="93"/>
    <n v="5"/>
    <n v="25"/>
    <n v="3"/>
    <n v="12"/>
    <n v="72"/>
    <x v="0"/>
    <x v="0"/>
  </r>
  <r>
    <s v="EMP00439"/>
    <x v="107"/>
    <x v="0"/>
    <n v="43"/>
    <x v="8"/>
    <x v="7"/>
    <x v="365"/>
    <x v="0"/>
    <x v="1"/>
    <x v="2"/>
    <s v="Linkedin"/>
    <x v="2"/>
    <s v="Sara Ali"/>
    <n v="110613"/>
    <n v="37229"/>
    <n v="93.9"/>
    <n v="8"/>
    <n v="12"/>
    <n v="3"/>
    <n v="32"/>
    <n v="84"/>
    <x v="0"/>
    <x v="0"/>
  </r>
  <r>
    <s v="EMP00837"/>
    <x v="53"/>
    <x v="1"/>
    <n v="45"/>
    <x v="1"/>
    <x v="2"/>
    <x v="365"/>
    <x v="0"/>
    <x v="0"/>
    <x v="4"/>
    <s v="Website"/>
    <x v="3"/>
    <s v="Ahmed Raza"/>
    <n v="44449"/>
    <n v="12783"/>
    <n v="90.2"/>
    <n v="0"/>
    <n v="11"/>
    <n v="4"/>
    <n v="30"/>
    <n v="83"/>
    <x v="1"/>
    <x v="0"/>
  </r>
  <r>
    <s v="EMP00883"/>
    <x v="34"/>
    <x v="0"/>
    <n v="35"/>
    <x v="4"/>
    <x v="1"/>
    <x v="365"/>
    <x v="0"/>
    <x v="0"/>
    <x v="0"/>
    <s v="Referral"/>
    <x v="5"/>
    <s v="Usman Tariq"/>
    <n v="73499"/>
    <n v="19519"/>
    <n v="93.9"/>
    <n v="1"/>
    <n v="28"/>
    <n v="5"/>
    <n v="18"/>
    <n v="75"/>
    <x v="1"/>
    <x v="0"/>
  </r>
  <r>
    <s v="EMP00222"/>
    <x v="134"/>
    <x v="1"/>
    <n v="25"/>
    <x v="5"/>
    <x v="3"/>
    <x v="366"/>
    <x v="0"/>
    <x v="2"/>
    <x v="2"/>
    <s v="Campus"/>
    <x v="0"/>
    <s v="Usman Tariq"/>
    <n v="53233"/>
    <n v="46540"/>
    <n v="98"/>
    <n v="0"/>
    <n v="27"/>
    <n v="3"/>
    <n v="0"/>
    <n v="76"/>
    <x v="1"/>
    <x v="0"/>
  </r>
  <r>
    <s v="EMP00438"/>
    <x v="107"/>
    <x v="0"/>
    <n v="21"/>
    <x v="4"/>
    <x v="4"/>
    <x v="366"/>
    <x v="0"/>
    <x v="0"/>
    <x v="4"/>
    <s v="Linkedin"/>
    <x v="2"/>
    <s v="Bilal Khan"/>
    <n v="73958"/>
    <n v="25974"/>
    <n v="97.2"/>
    <n v="10"/>
    <n v="8"/>
    <n v="4"/>
    <n v="31"/>
    <n v="94"/>
    <x v="0"/>
    <x v="0"/>
  </r>
  <r>
    <s v="EMP00666"/>
    <x v="5"/>
    <x v="1"/>
    <n v="23"/>
    <x v="1"/>
    <x v="0"/>
    <x v="366"/>
    <x v="0"/>
    <x v="0"/>
    <x v="4"/>
    <s v="Linkedin"/>
    <x v="5"/>
    <s v="Sara Ali"/>
    <n v="144129"/>
    <n v="7377"/>
    <n v="99.4"/>
    <n v="5"/>
    <n v="27"/>
    <n v="1"/>
    <n v="7"/>
    <n v="80"/>
    <x v="0"/>
    <x v="0"/>
  </r>
  <r>
    <s v="EMP00819"/>
    <x v="46"/>
    <x v="0"/>
    <n v="31"/>
    <x v="0"/>
    <x v="3"/>
    <x v="366"/>
    <x v="0"/>
    <x v="0"/>
    <x v="0"/>
    <s v="Linkedin"/>
    <x v="0"/>
    <s v="Fatima Noor"/>
    <n v="38160"/>
    <n v="25875"/>
    <n v="89.8"/>
    <n v="0"/>
    <n v="21"/>
    <n v="1"/>
    <n v="10"/>
    <n v="100"/>
    <x v="0"/>
    <x v="0"/>
  </r>
  <r>
    <s v="EMP00826"/>
    <x v="173"/>
    <x v="1"/>
    <n v="33"/>
    <x v="5"/>
    <x v="0"/>
    <x v="366"/>
    <x v="0"/>
    <x v="1"/>
    <x v="3"/>
    <s v="Referral"/>
    <x v="3"/>
    <s v="Bilal Khan"/>
    <n v="240922"/>
    <n v="10207"/>
    <n v="83.6"/>
    <n v="5"/>
    <n v="5"/>
    <n v="2"/>
    <n v="27"/>
    <n v="81"/>
    <x v="0"/>
    <x v="0"/>
  </r>
  <r>
    <s v="EMP00517"/>
    <x v="68"/>
    <x v="1"/>
    <n v="29"/>
    <x v="5"/>
    <x v="0"/>
    <x v="367"/>
    <x v="1"/>
    <x v="0"/>
    <x v="4"/>
    <s v="Website"/>
    <x v="7"/>
    <s v="Ahmed Raza"/>
    <n v="37898"/>
    <n v="37340"/>
    <n v="94"/>
    <n v="1"/>
    <n v="26"/>
    <n v="3"/>
    <n v="23"/>
    <n v="75"/>
    <x v="0"/>
    <x v="5"/>
  </r>
  <r>
    <s v="EMP00690"/>
    <x v="65"/>
    <x v="0"/>
    <n v="52"/>
    <x v="5"/>
    <x v="1"/>
    <x v="367"/>
    <x v="0"/>
    <x v="2"/>
    <x v="4"/>
    <s v="Agency"/>
    <x v="0"/>
    <s v="Sara Ali"/>
    <n v="216524"/>
    <n v="40555"/>
    <n v="83.5"/>
    <n v="2"/>
    <n v="9"/>
    <n v="1"/>
    <n v="6"/>
    <n v="71"/>
    <x v="0"/>
    <x v="0"/>
  </r>
  <r>
    <s v="EMP00696"/>
    <x v="139"/>
    <x v="1"/>
    <n v="57"/>
    <x v="0"/>
    <x v="1"/>
    <x v="367"/>
    <x v="0"/>
    <x v="1"/>
    <x v="1"/>
    <s v="Campus"/>
    <x v="3"/>
    <s v="Bilal Khan"/>
    <n v="208137"/>
    <n v="14009"/>
    <n v="98.4"/>
    <n v="9"/>
    <n v="28"/>
    <n v="5"/>
    <n v="1"/>
    <n v="98"/>
    <x v="0"/>
    <x v="0"/>
  </r>
  <r>
    <s v="EMP01070"/>
    <x v="122"/>
    <x v="1"/>
    <n v="38"/>
    <x v="7"/>
    <x v="4"/>
    <x v="368"/>
    <x v="0"/>
    <x v="1"/>
    <x v="0"/>
    <s v="Referral"/>
    <x v="2"/>
    <s v="Usman Tariq"/>
    <n v="50101"/>
    <n v="31887"/>
    <n v="84.3"/>
    <n v="1"/>
    <n v="23"/>
    <n v="1"/>
    <n v="32"/>
    <n v="98"/>
    <x v="0"/>
    <x v="0"/>
  </r>
  <r>
    <s v="EMP01617"/>
    <x v="191"/>
    <x v="1"/>
    <n v="29"/>
    <x v="5"/>
    <x v="1"/>
    <x v="368"/>
    <x v="0"/>
    <x v="1"/>
    <x v="3"/>
    <s v="Linkedin"/>
    <x v="6"/>
    <s v="Bilal Khan"/>
    <n v="205284"/>
    <n v="48835"/>
    <n v="88"/>
    <n v="0"/>
    <n v="16"/>
    <n v="3"/>
    <n v="20"/>
    <n v="95"/>
    <x v="0"/>
    <x v="0"/>
  </r>
  <r>
    <s v="EMP01886"/>
    <x v="95"/>
    <x v="1"/>
    <n v="59"/>
    <x v="5"/>
    <x v="1"/>
    <x v="369"/>
    <x v="0"/>
    <x v="0"/>
    <x v="3"/>
    <s v="Campus"/>
    <x v="4"/>
    <s v="Fatima Noor"/>
    <n v="166636"/>
    <n v="39103"/>
    <n v="80.400000000000006"/>
    <n v="8"/>
    <n v="14"/>
    <n v="5"/>
    <n v="19"/>
    <n v="77"/>
    <x v="0"/>
    <x v="0"/>
  </r>
  <r>
    <s v="EMP00020"/>
    <x v="101"/>
    <x v="0"/>
    <n v="24"/>
    <x v="1"/>
    <x v="1"/>
    <x v="370"/>
    <x v="0"/>
    <x v="0"/>
    <x v="2"/>
    <s v="Campus"/>
    <x v="3"/>
    <s v="Ahmed Raza"/>
    <n v="180764"/>
    <n v="35446"/>
    <n v="96.7"/>
    <n v="2"/>
    <n v="2"/>
    <n v="2"/>
    <n v="39"/>
    <n v="78"/>
    <x v="0"/>
    <x v="0"/>
  </r>
  <r>
    <s v="EMP00653"/>
    <x v="186"/>
    <x v="1"/>
    <n v="55"/>
    <x v="0"/>
    <x v="6"/>
    <x v="370"/>
    <x v="0"/>
    <x v="0"/>
    <x v="2"/>
    <s v="Website"/>
    <x v="2"/>
    <s v="Bilal Khan"/>
    <n v="163994"/>
    <n v="23442"/>
    <n v="98.6"/>
    <n v="0"/>
    <n v="3"/>
    <n v="4"/>
    <n v="21"/>
    <n v="68"/>
    <x v="1"/>
    <x v="0"/>
  </r>
  <r>
    <s v="EMP01377"/>
    <x v="94"/>
    <x v="1"/>
    <n v="55"/>
    <x v="1"/>
    <x v="3"/>
    <x v="370"/>
    <x v="0"/>
    <x v="2"/>
    <x v="1"/>
    <s v="Agency"/>
    <x v="4"/>
    <s v="Fatima Noor"/>
    <n v="181593"/>
    <n v="31491"/>
    <n v="93.8"/>
    <n v="2"/>
    <n v="22"/>
    <n v="3"/>
    <n v="14"/>
    <n v="99"/>
    <x v="0"/>
    <x v="0"/>
  </r>
  <r>
    <s v="EMP00252"/>
    <x v="8"/>
    <x v="1"/>
    <n v="52"/>
    <x v="8"/>
    <x v="5"/>
    <x v="371"/>
    <x v="0"/>
    <x v="1"/>
    <x v="0"/>
    <s v="Website"/>
    <x v="0"/>
    <s v="Usman Tariq"/>
    <n v="195160"/>
    <n v="29711"/>
    <n v="89.3"/>
    <n v="10"/>
    <n v="16"/>
    <n v="3"/>
    <n v="28"/>
    <n v="73"/>
    <x v="0"/>
    <x v="0"/>
  </r>
  <r>
    <s v="EMP00725"/>
    <x v="15"/>
    <x v="0"/>
    <n v="37"/>
    <x v="3"/>
    <x v="3"/>
    <x v="371"/>
    <x v="0"/>
    <x v="2"/>
    <x v="0"/>
    <s v="Campus"/>
    <x v="6"/>
    <s v="Fatima Noor"/>
    <n v="119259"/>
    <n v="30702"/>
    <n v="81.8"/>
    <n v="1"/>
    <n v="13"/>
    <n v="4"/>
    <n v="17"/>
    <n v="88"/>
    <x v="0"/>
    <x v="0"/>
  </r>
  <r>
    <s v="EMP00904"/>
    <x v="195"/>
    <x v="0"/>
    <n v="24"/>
    <x v="7"/>
    <x v="6"/>
    <x v="371"/>
    <x v="0"/>
    <x v="1"/>
    <x v="1"/>
    <s v="Agency"/>
    <x v="6"/>
    <s v="Fatima Noor"/>
    <n v="43808"/>
    <n v="43047"/>
    <n v="92.7"/>
    <n v="3"/>
    <n v="15"/>
    <n v="2"/>
    <n v="23"/>
    <n v="100"/>
    <x v="1"/>
    <x v="0"/>
  </r>
  <r>
    <s v="EMP00995"/>
    <x v="182"/>
    <x v="0"/>
    <n v="52"/>
    <x v="2"/>
    <x v="0"/>
    <x v="371"/>
    <x v="0"/>
    <x v="2"/>
    <x v="2"/>
    <s v="Linkedin"/>
    <x v="2"/>
    <s v="Fatima Noor"/>
    <n v="126196"/>
    <n v="21685"/>
    <n v="88.9"/>
    <n v="1"/>
    <n v="22"/>
    <n v="5"/>
    <n v="9"/>
    <n v="82"/>
    <x v="0"/>
    <x v="0"/>
  </r>
  <r>
    <s v="EMP01285"/>
    <x v="133"/>
    <x v="0"/>
    <n v="43"/>
    <x v="6"/>
    <x v="5"/>
    <x v="371"/>
    <x v="0"/>
    <x v="2"/>
    <x v="0"/>
    <s v="Website"/>
    <x v="0"/>
    <s v="Sara Ali"/>
    <n v="114944"/>
    <n v="45949"/>
    <n v="93.9"/>
    <n v="8"/>
    <n v="20"/>
    <n v="1"/>
    <n v="35"/>
    <n v="76"/>
    <x v="0"/>
    <x v="0"/>
  </r>
  <r>
    <s v="EMP01446"/>
    <x v="93"/>
    <x v="0"/>
    <n v="48"/>
    <x v="2"/>
    <x v="2"/>
    <x v="371"/>
    <x v="0"/>
    <x v="0"/>
    <x v="2"/>
    <s v="Referral"/>
    <x v="1"/>
    <s v="Sara Ali"/>
    <n v="96584"/>
    <n v="39560"/>
    <n v="99.7"/>
    <n v="3"/>
    <n v="2"/>
    <n v="1"/>
    <n v="36"/>
    <n v="74"/>
    <x v="1"/>
    <x v="0"/>
  </r>
  <r>
    <s v="EMP00967"/>
    <x v="9"/>
    <x v="0"/>
    <n v="41"/>
    <x v="5"/>
    <x v="1"/>
    <x v="372"/>
    <x v="0"/>
    <x v="1"/>
    <x v="3"/>
    <s v="Agency"/>
    <x v="3"/>
    <s v="Ahmed Raza"/>
    <n v="125564"/>
    <n v="19958"/>
    <n v="90.5"/>
    <n v="3"/>
    <n v="23"/>
    <n v="5"/>
    <n v="35"/>
    <n v="86"/>
    <x v="1"/>
    <x v="0"/>
  </r>
  <r>
    <s v="EMP01198"/>
    <x v="21"/>
    <x v="0"/>
    <n v="37"/>
    <x v="1"/>
    <x v="2"/>
    <x v="372"/>
    <x v="0"/>
    <x v="2"/>
    <x v="4"/>
    <s v="Website"/>
    <x v="0"/>
    <s v="Usman Tariq"/>
    <n v="159693"/>
    <n v="19447"/>
    <n v="93.1"/>
    <n v="0"/>
    <n v="0"/>
    <n v="4"/>
    <n v="26"/>
    <n v="93"/>
    <x v="0"/>
    <x v="0"/>
  </r>
  <r>
    <s v="EMP01126"/>
    <x v="14"/>
    <x v="1"/>
    <n v="24"/>
    <x v="5"/>
    <x v="7"/>
    <x v="373"/>
    <x v="0"/>
    <x v="0"/>
    <x v="4"/>
    <s v="Linkedin"/>
    <x v="0"/>
    <s v="Ahmed Raza"/>
    <n v="108075"/>
    <n v="32896"/>
    <n v="99.7"/>
    <n v="4"/>
    <n v="4"/>
    <n v="5"/>
    <n v="20"/>
    <n v="73"/>
    <x v="1"/>
    <x v="0"/>
  </r>
  <r>
    <s v="EMP01157"/>
    <x v="29"/>
    <x v="1"/>
    <n v="55"/>
    <x v="6"/>
    <x v="4"/>
    <x v="373"/>
    <x v="0"/>
    <x v="2"/>
    <x v="0"/>
    <s v="Website"/>
    <x v="0"/>
    <s v="Ahmed Raza"/>
    <n v="143517"/>
    <n v="49070"/>
    <n v="94.8"/>
    <n v="9"/>
    <n v="5"/>
    <n v="4"/>
    <n v="13"/>
    <n v="63"/>
    <x v="0"/>
    <x v="0"/>
  </r>
  <r>
    <s v="EMP01278"/>
    <x v="174"/>
    <x v="0"/>
    <n v="21"/>
    <x v="7"/>
    <x v="7"/>
    <x v="373"/>
    <x v="0"/>
    <x v="2"/>
    <x v="0"/>
    <s v="Campus"/>
    <x v="6"/>
    <s v="Fatima Noor"/>
    <n v="46172"/>
    <n v="10421"/>
    <n v="92"/>
    <n v="6"/>
    <n v="18"/>
    <n v="1"/>
    <n v="22"/>
    <n v="88"/>
    <x v="0"/>
    <x v="0"/>
  </r>
  <r>
    <s v="EMP00144"/>
    <x v="119"/>
    <x v="1"/>
    <n v="60"/>
    <x v="6"/>
    <x v="2"/>
    <x v="374"/>
    <x v="0"/>
    <x v="1"/>
    <x v="3"/>
    <s v="Campus"/>
    <x v="4"/>
    <s v="Sara Ali"/>
    <n v="189350"/>
    <n v="32883"/>
    <n v="91.2"/>
    <n v="1"/>
    <n v="20"/>
    <n v="5"/>
    <n v="12"/>
    <n v="66"/>
    <x v="1"/>
    <x v="0"/>
  </r>
  <r>
    <s v="EMP00406"/>
    <x v="176"/>
    <x v="0"/>
    <n v="38"/>
    <x v="8"/>
    <x v="3"/>
    <x v="374"/>
    <x v="0"/>
    <x v="0"/>
    <x v="1"/>
    <s v="Linkedin"/>
    <x v="5"/>
    <s v="Ahmed Raza"/>
    <n v="120481"/>
    <n v="6145"/>
    <n v="95.8"/>
    <n v="7"/>
    <n v="29"/>
    <n v="2"/>
    <n v="30"/>
    <n v="95"/>
    <x v="0"/>
    <x v="0"/>
  </r>
  <r>
    <s v="EMP00838"/>
    <x v="175"/>
    <x v="1"/>
    <n v="55"/>
    <x v="2"/>
    <x v="5"/>
    <x v="374"/>
    <x v="0"/>
    <x v="2"/>
    <x v="0"/>
    <s v="Agency"/>
    <x v="3"/>
    <s v="Usman Tariq"/>
    <n v="154273"/>
    <n v="42365"/>
    <n v="83.4"/>
    <n v="4"/>
    <n v="0"/>
    <n v="2"/>
    <n v="27"/>
    <n v="99"/>
    <x v="0"/>
    <x v="0"/>
  </r>
  <r>
    <s v="EMP01646"/>
    <x v="140"/>
    <x v="1"/>
    <n v="25"/>
    <x v="0"/>
    <x v="7"/>
    <x v="374"/>
    <x v="0"/>
    <x v="2"/>
    <x v="3"/>
    <s v="Website"/>
    <x v="1"/>
    <s v="Sara Ali"/>
    <n v="175847"/>
    <n v="16334"/>
    <n v="93.8"/>
    <n v="9"/>
    <n v="13"/>
    <n v="2"/>
    <n v="27"/>
    <n v="85"/>
    <x v="1"/>
    <x v="0"/>
  </r>
  <r>
    <s v="EMP01762"/>
    <x v="177"/>
    <x v="1"/>
    <n v="22"/>
    <x v="3"/>
    <x v="2"/>
    <x v="374"/>
    <x v="0"/>
    <x v="2"/>
    <x v="1"/>
    <s v="Website"/>
    <x v="3"/>
    <s v="Sara Ali"/>
    <n v="70029"/>
    <n v="12229"/>
    <n v="98.5"/>
    <n v="2"/>
    <n v="16"/>
    <n v="2"/>
    <n v="31"/>
    <n v="99"/>
    <x v="0"/>
    <x v="0"/>
  </r>
  <r>
    <s v="EMP01726"/>
    <x v="186"/>
    <x v="0"/>
    <n v="23"/>
    <x v="7"/>
    <x v="1"/>
    <x v="375"/>
    <x v="1"/>
    <x v="0"/>
    <x v="1"/>
    <s v="Website"/>
    <x v="0"/>
    <s v="Usman Tariq"/>
    <n v="114971"/>
    <n v="10912"/>
    <n v="97.2"/>
    <n v="9"/>
    <n v="25"/>
    <n v="4"/>
    <n v="13"/>
    <n v="81"/>
    <x v="1"/>
    <x v="1"/>
  </r>
  <r>
    <s v="EMP01835"/>
    <x v="8"/>
    <x v="1"/>
    <n v="34"/>
    <x v="3"/>
    <x v="2"/>
    <x v="375"/>
    <x v="0"/>
    <x v="1"/>
    <x v="2"/>
    <s v="Agency"/>
    <x v="2"/>
    <s v="Ahmed Raza"/>
    <n v="225178"/>
    <n v="12345"/>
    <n v="98.5"/>
    <n v="10"/>
    <n v="25"/>
    <n v="1"/>
    <n v="13"/>
    <n v="92"/>
    <x v="1"/>
    <x v="0"/>
  </r>
  <r>
    <s v="EMP01908"/>
    <x v="5"/>
    <x v="0"/>
    <n v="24"/>
    <x v="1"/>
    <x v="4"/>
    <x v="375"/>
    <x v="0"/>
    <x v="0"/>
    <x v="0"/>
    <s v="Website"/>
    <x v="2"/>
    <s v="Fatima Noor"/>
    <n v="154632"/>
    <n v="35144"/>
    <n v="91.4"/>
    <n v="6"/>
    <n v="1"/>
    <n v="5"/>
    <n v="20"/>
    <n v="78"/>
    <x v="0"/>
    <x v="0"/>
  </r>
  <r>
    <s v="EMP00228"/>
    <x v="189"/>
    <x v="1"/>
    <n v="39"/>
    <x v="5"/>
    <x v="6"/>
    <x v="376"/>
    <x v="1"/>
    <x v="0"/>
    <x v="3"/>
    <s v="Linkedin"/>
    <x v="2"/>
    <s v="Ahmed Raza"/>
    <n v="212781"/>
    <n v="29136"/>
    <n v="97"/>
    <n v="6"/>
    <n v="28"/>
    <n v="3"/>
    <n v="40"/>
    <n v="85"/>
    <x v="0"/>
    <x v="4"/>
  </r>
  <r>
    <s v="EMP01175"/>
    <x v="63"/>
    <x v="0"/>
    <n v="39"/>
    <x v="1"/>
    <x v="2"/>
    <x v="376"/>
    <x v="0"/>
    <x v="0"/>
    <x v="0"/>
    <s v="Referral"/>
    <x v="6"/>
    <s v="Sara Ali"/>
    <n v="193322"/>
    <n v="47661"/>
    <n v="97.5"/>
    <n v="0"/>
    <n v="23"/>
    <n v="4"/>
    <n v="24"/>
    <n v="89"/>
    <x v="0"/>
    <x v="0"/>
  </r>
  <r>
    <s v="EMP01515"/>
    <x v="20"/>
    <x v="0"/>
    <n v="54"/>
    <x v="1"/>
    <x v="0"/>
    <x v="376"/>
    <x v="1"/>
    <x v="2"/>
    <x v="3"/>
    <s v="Linkedin"/>
    <x v="4"/>
    <s v="Fatima Noor"/>
    <n v="112958"/>
    <n v="28143"/>
    <n v="91.9"/>
    <n v="0"/>
    <n v="17"/>
    <n v="5"/>
    <n v="2"/>
    <n v="93"/>
    <x v="0"/>
    <x v="4"/>
  </r>
  <r>
    <s v="EMP00427"/>
    <x v="45"/>
    <x v="0"/>
    <n v="44"/>
    <x v="7"/>
    <x v="2"/>
    <x v="377"/>
    <x v="0"/>
    <x v="1"/>
    <x v="4"/>
    <s v="Website"/>
    <x v="0"/>
    <s v="Ahmed Raza"/>
    <n v="190282"/>
    <n v="43686"/>
    <n v="98.2"/>
    <n v="3"/>
    <n v="12"/>
    <n v="3"/>
    <n v="36"/>
    <n v="98"/>
    <x v="0"/>
    <x v="0"/>
  </r>
  <r>
    <s v="EMP00486"/>
    <x v="45"/>
    <x v="0"/>
    <n v="44"/>
    <x v="7"/>
    <x v="5"/>
    <x v="377"/>
    <x v="0"/>
    <x v="1"/>
    <x v="3"/>
    <s v="Agency"/>
    <x v="3"/>
    <s v="Sara Ali"/>
    <n v="208998"/>
    <n v="36072"/>
    <n v="91.1"/>
    <n v="0"/>
    <n v="4"/>
    <n v="3"/>
    <n v="11"/>
    <n v="95"/>
    <x v="1"/>
    <x v="0"/>
  </r>
  <r>
    <s v="EMP01018"/>
    <x v="183"/>
    <x v="1"/>
    <n v="29"/>
    <x v="3"/>
    <x v="5"/>
    <x v="377"/>
    <x v="0"/>
    <x v="2"/>
    <x v="3"/>
    <s v="Linkedin"/>
    <x v="2"/>
    <s v="Sara Ali"/>
    <n v="127464"/>
    <n v="41884"/>
    <n v="84.1"/>
    <n v="7"/>
    <n v="12"/>
    <n v="3"/>
    <n v="35"/>
    <n v="66"/>
    <x v="0"/>
    <x v="0"/>
  </r>
  <r>
    <s v="EMP01952"/>
    <x v="5"/>
    <x v="1"/>
    <n v="38"/>
    <x v="5"/>
    <x v="1"/>
    <x v="377"/>
    <x v="0"/>
    <x v="1"/>
    <x v="1"/>
    <s v="Linkedin"/>
    <x v="1"/>
    <s v="Sara Ali"/>
    <n v="47246"/>
    <n v="5788"/>
    <n v="94.4"/>
    <n v="4"/>
    <n v="25"/>
    <n v="4"/>
    <n v="28"/>
    <n v="95"/>
    <x v="0"/>
    <x v="0"/>
  </r>
  <r>
    <s v="EMP00627"/>
    <x v="181"/>
    <x v="1"/>
    <n v="43"/>
    <x v="7"/>
    <x v="6"/>
    <x v="378"/>
    <x v="0"/>
    <x v="0"/>
    <x v="0"/>
    <s v="Referral"/>
    <x v="3"/>
    <s v="Sara Ali"/>
    <n v="48369"/>
    <n v="8351"/>
    <n v="94.2"/>
    <n v="9"/>
    <n v="20"/>
    <n v="1"/>
    <n v="9"/>
    <n v="79"/>
    <x v="1"/>
    <x v="0"/>
  </r>
  <r>
    <s v="EMP00875"/>
    <x v="77"/>
    <x v="1"/>
    <n v="22"/>
    <x v="7"/>
    <x v="2"/>
    <x v="378"/>
    <x v="0"/>
    <x v="2"/>
    <x v="0"/>
    <s v="Referral"/>
    <x v="4"/>
    <s v="Fatima Noor"/>
    <n v="67400"/>
    <n v="23241"/>
    <n v="89.9"/>
    <n v="5"/>
    <n v="23"/>
    <n v="3"/>
    <n v="3"/>
    <n v="98"/>
    <x v="0"/>
    <x v="0"/>
  </r>
  <r>
    <s v="EMP01264"/>
    <x v="35"/>
    <x v="0"/>
    <n v="26"/>
    <x v="7"/>
    <x v="1"/>
    <x v="378"/>
    <x v="0"/>
    <x v="0"/>
    <x v="2"/>
    <s v="Website"/>
    <x v="5"/>
    <s v="Usman Tariq"/>
    <n v="55065"/>
    <n v="10524"/>
    <n v="95.6"/>
    <n v="6"/>
    <n v="17"/>
    <n v="2"/>
    <n v="8"/>
    <n v="88"/>
    <x v="1"/>
    <x v="0"/>
  </r>
  <r>
    <s v="EMP01400"/>
    <x v="16"/>
    <x v="0"/>
    <n v="40"/>
    <x v="6"/>
    <x v="0"/>
    <x v="378"/>
    <x v="0"/>
    <x v="0"/>
    <x v="1"/>
    <s v="Website"/>
    <x v="4"/>
    <s v="Ahmed Raza"/>
    <n v="132710"/>
    <n v="18960"/>
    <n v="81"/>
    <n v="7"/>
    <n v="4"/>
    <n v="5"/>
    <n v="12"/>
    <n v="83"/>
    <x v="0"/>
    <x v="0"/>
  </r>
  <r>
    <s v="EMP00593"/>
    <x v="50"/>
    <x v="1"/>
    <n v="57"/>
    <x v="8"/>
    <x v="1"/>
    <x v="379"/>
    <x v="0"/>
    <x v="2"/>
    <x v="1"/>
    <s v="Linkedin"/>
    <x v="4"/>
    <s v="Sara Ali"/>
    <n v="108623"/>
    <n v="30234"/>
    <n v="97.7"/>
    <n v="2"/>
    <n v="9"/>
    <n v="3"/>
    <n v="32"/>
    <n v="67"/>
    <x v="0"/>
    <x v="0"/>
  </r>
  <r>
    <s v="EMP00659"/>
    <x v="83"/>
    <x v="1"/>
    <n v="50"/>
    <x v="1"/>
    <x v="0"/>
    <x v="380"/>
    <x v="0"/>
    <x v="1"/>
    <x v="1"/>
    <s v="Campus"/>
    <x v="1"/>
    <s v="Usman Tariq"/>
    <n v="221312"/>
    <n v="33795"/>
    <n v="98.9"/>
    <n v="2"/>
    <n v="6"/>
    <n v="5"/>
    <n v="8"/>
    <n v="60"/>
    <x v="0"/>
    <x v="0"/>
  </r>
  <r>
    <s v="EMP01454"/>
    <x v="19"/>
    <x v="0"/>
    <n v="38"/>
    <x v="0"/>
    <x v="7"/>
    <x v="380"/>
    <x v="0"/>
    <x v="1"/>
    <x v="1"/>
    <s v="Referral"/>
    <x v="0"/>
    <s v="Fatima Noor"/>
    <n v="148164"/>
    <n v="10513"/>
    <n v="81.8"/>
    <n v="5"/>
    <n v="28"/>
    <n v="3"/>
    <n v="32"/>
    <n v="71"/>
    <x v="0"/>
    <x v="0"/>
  </r>
  <r>
    <s v="EMP00353"/>
    <x v="8"/>
    <x v="1"/>
    <n v="53"/>
    <x v="2"/>
    <x v="4"/>
    <x v="381"/>
    <x v="1"/>
    <x v="1"/>
    <x v="2"/>
    <s v="Campus"/>
    <x v="6"/>
    <s v="Sara Ali"/>
    <n v="190685"/>
    <n v="21192"/>
    <n v="95.9"/>
    <n v="5"/>
    <n v="15"/>
    <n v="5"/>
    <n v="37"/>
    <n v="87"/>
    <x v="1"/>
    <x v="1"/>
  </r>
  <r>
    <s v="EMP01774"/>
    <x v="111"/>
    <x v="1"/>
    <n v="21"/>
    <x v="1"/>
    <x v="4"/>
    <x v="381"/>
    <x v="0"/>
    <x v="0"/>
    <x v="2"/>
    <s v="Agency"/>
    <x v="3"/>
    <s v="Sara Ali"/>
    <n v="136413"/>
    <n v="31000"/>
    <n v="81.599999999999994"/>
    <n v="4"/>
    <n v="24"/>
    <n v="2"/>
    <n v="10"/>
    <n v="100"/>
    <x v="0"/>
    <x v="0"/>
  </r>
  <r>
    <s v="EMP00564"/>
    <x v="79"/>
    <x v="1"/>
    <n v="23"/>
    <x v="7"/>
    <x v="7"/>
    <x v="382"/>
    <x v="0"/>
    <x v="0"/>
    <x v="4"/>
    <s v="Website"/>
    <x v="0"/>
    <s v="Ahmed Raza"/>
    <n v="239828"/>
    <n v="21460"/>
    <n v="80.3"/>
    <n v="5"/>
    <n v="30"/>
    <n v="5"/>
    <n v="24"/>
    <n v="73"/>
    <x v="0"/>
    <x v="0"/>
  </r>
  <r>
    <s v="EMP00720"/>
    <x v="36"/>
    <x v="1"/>
    <n v="55"/>
    <x v="8"/>
    <x v="5"/>
    <x v="383"/>
    <x v="0"/>
    <x v="1"/>
    <x v="1"/>
    <s v="Website"/>
    <x v="2"/>
    <s v="Bilal Khan"/>
    <n v="225108"/>
    <n v="48103"/>
    <n v="85.7"/>
    <n v="1"/>
    <n v="10"/>
    <n v="1"/>
    <n v="10"/>
    <n v="84"/>
    <x v="0"/>
    <x v="0"/>
  </r>
  <r>
    <s v="EMP01269"/>
    <x v="88"/>
    <x v="1"/>
    <n v="35"/>
    <x v="3"/>
    <x v="1"/>
    <x v="383"/>
    <x v="0"/>
    <x v="2"/>
    <x v="4"/>
    <s v="Agency"/>
    <x v="2"/>
    <s v="Bilal Khan"/>
    <n v="138669"/>
    <n v="26613"/>
    <n v="98.2"/>
    <n v="3"/>
    <n v="16"/>
    <n v="1"/>
    <n v="27"/>
    <n v="83"/>
    <x v="0"/>
    <x v="0"/>
  </r>
  <r>
    <s v="EMP01306"/>
    <x v="17"/>
    <x v="1"/>
    <n v="56"/>
    <x v="5"/>
    <x v="0"/>
    <x v="383"/>
    <x v="1"/>
    <x v="0"/>
    <x v="3"/>
    <s v="Agency"/>
    <x v="2"/>
    <s v="Usman Tariq"/>
    <n v="234518"/>
    <n v="20986"/>
    <n v="82.9"/>
    <n v="8"/>
    <n v="8"/>
    <n v="4"/>
    <n v="20"/>
    <n v="62"/>
    <x v="0"/>
    <x v="3"/>
  </r>
  <r>
    <s v="EMP01555"/>
    <x v="0"/>
    <x v="0"/>
    <n v="50"/>
    <x v="0"/>
    <x v="5"/>
    <x v="383"/>
    <x v="0"/>
    <x v="0"/>
    <x v="4"/>
    <s v="Agency"/>
    <x v="7"/>
    <s v="Ahmed Raza"/>
    <n v="225805"/>
    <n v="43859"/>
    <n v="99.7"/>
    <n v="6"/>
    <n v="28"/>
    <n v="3"/>
    <n v="39"/>
    <n v="97"/>
    <x v="0"/>
    <x v="0"/>
  </r>
  <r>
    <s v="EMP01861"/>
    <x v="181"/>
    <x v="0"/>
    <n v="48"/>
    <x v="5"/>
    <x v="2"/>
    <x v="383"/>
    <x v="0"/>
    <x v="1"/>
    <x v="4"/>
    <s v="Website"/>
    <x v="2"/>
    <s v="Ahmed Raza"/>
    <n v="145507"/>
    <n v="7099"/>
    <n v="91.5"/>
    <n v="4"/>
    <n v="15"/>
    <n v="4"/>
    <n v="6"/>
    <n v="63"/>
    <x v="0"/>
    <x v="0"/>
  </r>
  <r>
    <s v="EMP00861"/>
    <x v="107"/>
    <x v="1"/>
    <n v="46"/>
    <x v="2"/>
    <x v="2"/>
    <x v="384"/>
    <x v="0"/>
    <x v="0"/>
    <x v="4"/>
    <s v="Agency"/>
    <x v="0"/>
    <s v="Bilal Khan"/>
    <n v="72562"/>
    <n v="15671"/>
    <n v="90.9"/>
    <n v="9"/>
    <n v="8"/>
    <n v="1"/>
    <n v="27"/>
    <n v="78"/>
    <x v="0"/>
    <x v="0"/>
  </r>
  <r>
    <s v="EMP00874"/>
    <x v="188"/>
    <x v="1"/>
    <n v="58"/>
    <x v="5"/>
    <x v="3"/>
    <x v="384"/>
    <x v="0"/>
    <x v="2"/>
    <x v="3"/>
    <s v="Campus"/>
    <x v="6"/>
    <s v="Bilal Khan"/>
    <n v="200240"/>
    <n v="34723"/>
    <n v="94.3"/>
    <n v="7"/>
    <n v="25"/>
    <n v="5"/>
    <n v="37"/>
    <n v="90"/>
    <x v="0"/>
    <x v="0"/>
  </r>
  <r>
    <s v="EMP00106"/>
    <x v="81"/>
    <x v="0"/>
    <n v="44"/>
    <x v="7"/>
    <x v="2"/>
    <x v="385"/>
    <x v="0"/>
    <x v="0"/>
    <x v="0"/>
    <s v="Website"/>
    <x v="5"/>
    <s v="Ahmed Raza"/>
    <n v="160674"/>
    <n v="14583"/>
    <n v="85.6"/>
    <n v="1"/>
    <n v="30"/>
    <n v="5"/>
    <n v="11"/>
    <n v="77"/>
    <x v="0"/>
    <x v="0"/>
  </r>
  <r>
    <s v="EMP00420"/>
    <x v="129"/>
    <x v="0"/>
    <n v="57"/>
    <x v="6"/>
    <x v="5"/>
    <x v="385"/>
    <x v="0"/>
    <x v="1"/>
    <x v="3"/>
    <s v="Website"/>
    <x v="6"/>
    <s v="Ahmed Raza"/>
    <n v="135098"/>
    <n v="37632"/>
    <n v="95.9"/>
    <n v="10"/>
    <n v="29"/>
    <n v="4"/>
    <n v="40"/>
    <n v="80"/>
    <x v="0"/>
    <x v="0"/>
  </r>
  <r>
    <s v="EMP00996"/>
    <x v="69"/>
    <x v="1"/>
    <n v="43"/>
    <x v="3"/>
    <x v="6"/>
    <x v="385"/>
    <x v="0"/>
    <x v="1"/>
    <x v="1"/>
    <s v="Agency"/>
    <x v="7"/>
    <s v="Fatima Noor"/>
    <n v="159517"/>
    <n v="14017"/>
    <n v="91.2"/>
    <n v="10"/>
    <n v="13"/>
    <n v="1"/>
    <n v="32"/>
    <n v="93"/>
    <x v="0"/>
    <x v="0"/>
  </r>
  <r>
    <s v="EMP01124"/>
    <x v="45"/>
    <x v="1"/>
    <n v="54"/>
    <x v="3"/>
    <x v="2"/>
    <x v="385"/>
    <x v="0"/>
    <x v="1"/>
    <x v="2"/>
    <s v="Website"/>
    <x v="1"/>
    <s v="Usman Tariq"/>
    <n v="39086"/>
    <n v="36630"/>
    <n v="90.5"/>
    <n v="1"/>
    <n v="10"/>
    <n v="3"/>
    <n v="18"/>
    <n v="65"/>
    <x v="0"/>
    <x v="0"/>
  </r>
  <r>
    <s v="EMP01308"/>
    <x v="22"/>
    <x v="1"/>
    <n v="49"/>
    <x v="1"/>
    <x v="2"/>
    <x v="385"/>
    <x v="0"/>
    <x v="2"/>
    <x v="1"/>
    <s v="Website"/>
    <x v="7"/>
    <s v="Sara Ali"/>
    <n v="186610"/>
    <n v="36873"/>
    <n v="98.5"/>
    <n v="1"/>
    <n v="30"/>
    <n v="2"/>
    <n v="37"/>
    <n v="81"/>
    <x v="1"/>
    <x v="0"/>
  </r>
  <r>
    <s v="EMP01784"/>
    <x v="4"/>
    <x v="0"/>
    <n v="41"/>
    <x v="5"/>
    <x v="4"/>
    <x v="385"/>
    <x v="0"/>
    <x v="2"/>
    <x v="0"/>
    <s v="Campus"/>
    <x v="6"/>
    <s v="Sara Ali"/>
    <n v="52921"/>
    <n v="28558"/>
    <n v="92.9"/>
    <n v="7"/>
    <n v="15"/>
    <n v="1"/>
    <n v="14"/>
    <n v="91"/>
    <x v="1"/>
    <x v="0"/>
  </r>
  <r>
    <s v="EMP01226"/>
    <x v="51"/>
    <x v="0"/>
    <n v="60"/>
    <x v="4"/>
    <x v="1"/>
    <x v="386"/>
    <x v="0"/>
    <x v="1"/>
    <x v="4"/>
    <s v="Agency"/>
    <x v="6"/>
    <s v="Fatima Noor"/>
    <n v="192132"/>
    <n v="35017"/>
    <n v="93.5"/>
    <n v="7"/>
    <n v="26"/>
    <n v="1"/>
    <n v="26"/>
    <n v="67"/>
    <x v="0"/>
    <x v="0"/>
  </r>
  <r>
    <s v="EMP01912"/>
    <x v="124"/>
    <x v="1"/>
    <n v="60"/>
    <x v="7"/>
    <x v="5"/>
    <x v="386"/>
    <x v="0"/>
    <x v="1"/>
    <x v="4"/>
    <s v="Linkedin"/>
    <x v="2"/>
    <s v="Bilal Khan"/>
    <n v="103611"/>
    <n v="19126"/>
    <n v="86.2"/>
    <n v="7"/>
    <n v="30"/>
    <n v="2"/>
    <n v="35"/>
    <n v="66"/>
    <x v="0"/>
    <x v="0"/>
  </r>
  <r>
    <s v="EMP00111"/>
    <x v="197"/>
    <x v="1"/>
    <n v="27"/>
    <x v="6"/>
    <x v="3"/>
    <x v="387"/>
    <x v="0"/>
    <x v="2"/>
    <x v="3"/>
    <s v="Linkedin"/>
    <x v="1"/>
    <s v="Sara Ali"/>
    <n v="241276"/>
    <n v="47345"/>
    <n v="93.6"/>
    <n v="0"/>
    <n v="10"/>
    <n v="2"/>
    <n v="20"/>
    <n v="75"/>
    <x v="0"/>
    <x v="0"/>
  </r>
  <r>
    <s v="EMP00689"/>
    <x v="121"/>
    <x v="0"/>
    <n v="53"/>
    <x v="4"/>
    <x v="3"/>
    <x v="387"/>
    <x v="0"/>
    <x v="1"/>
    <x v="2"/>
    <s v="Referral"/>
    <x v="1"/>
    <s v="Fatima Noor"/>
    <n v="94773"/>
    <n v="35108"/>
    <n v="83"/>
    <n v="0"/>
    <n v="28"/>
    <n v="5"/>
    <n v="27"/>
    <n v="88"/>
    <x v="0"/>
    <x v="0"/>
  </r>
  <r>
    <s v="EMP00785"/>
    <x v="12"/>
    <x v="0"/>
    <n v="60"/>
    <x v="1"/>
    <x v="7"/>
    <x v="387"/>
    <x v="0"/>
    <x v="1"/>
    <x v="2"/>
    <s v="Linkedin"/>
    <x v="4"/>
    <s v="Fatima Noor"/>
    <n v="181176"/>
    <n v="17952"/>
    <n v="81.8"/>
    <n v="2"/>
    <n v="17"/>
    <n v="3"/>
    <n v="32"/>
    <n v="67"/>
    <x v="0"/>
    <x v="0"/>
  </r>
  <r>
    <s v="EMP01168"/>
    <x v="173"/>
    <x v="0"/>
    <n v="21"/>
    <x v="5"/>
    <x v="4"/>
    <x v="387"/>
    <x v="0"/>
    <x v="2"/>
    <x v="4"/>
    <s v="Website"/>
    <x v="0"/>
    <s v="Fatima Noor"/>
    <n v="206396"/>
    <n v="16249"/>
    <n v="82"/>
    <n v="6"/>
    <n v="5"/>
    <n v="4"/>
    <n v="23"/>
    <n v="95"/>
    <x v="1"/>
    <x v="0"/>
  </r>
  <r>
    <s v="EMP01406"/>
    <x v="154"/>
    <x v="0"/>
    <n v="29"/>
    <x v="2"/>
    <x v="7"/>
    <x v="387"/>
    <x v="0"/>
    <x v="2"/>
    <x v="2"/>
    <s v="Campus"/>
    <x v="7"/>
    <s v="Ahmed Raza"/>
    <n v="162625"/>
    <n v="38751"/>
    <n v="93.4"/>
    <n v="9"/>
    <n v="30"/>
    <n v="5"/>
    <n v="14"/>
    <n v="63"/>
    <x v="1"/>
    <x v="0"/>
  </r>
  <r>
    <s v="EMP01469"/>
    <x v="197"/>
    <x v="0"/>
    <n v="30"/>
    <x v="8"/>
    <x v="7"/>
    <x v="387"/>
    <x v="1"/>
    <x v="0"/>
    <x v="0"/>
    <s v="Agency"/>
    <x v="5"/>
    <s v="Ahmed Raza"/>
    <n v="230263"/>
    <n v="5549"/>
    <n v="91.8"/>
    <n v="6"/>
    <n v="12"/>
    <n v="3"/>
    <n v="18"/>
    <n v="91"/>
    <x v="1"/>
    <x v="5"/>
  </r>
  <r>
    <s v="EMP01573"/>
    <x v="170"/>
    <x v="1"/>
    <n v="26"/>
    <x v="4"/>
    <x v="5"/>
    <x v="387"/>
    <x v="0"/>
    <x v="2"/>
    <x v="4"/>
    <s v="Website"/>
    <x v="2"/>
    <s v="Usman Tariq"/>
    <n v="77156"/>
    <n v="13021"/>
    <n v="95.4"/>
    <n v="1"/>
    <n v="19"/>
    <n v="3"/>
    <n v="31"/>
    <n v="84"/>
    <x v="0"/>
    <x v="0"/>
  </r>
  <r>
    <s v="EMP00064"/>
    <x v="36"/>
    <x v="0"/>
    <n v="42"/>
    <x v="7"/>
    <x v="3"/>
    <x v="388"/>
    <x v="0"/>
    <x v="2"/>
    <x v="1"/>
    <s v="Agency"/>
    <x v="3"/>
    <s v="Usman Tariq"/>
    <n v="140909"/>
    <n v="44714"/>
    <n v="90.6"/>
    <n v="6"/>
    <n v="24"/>
    <n v="1"/>
    <n v="40"/>
    <n v="60"/>
    <x v="1"/>
    <x v="0"/>
  </r>
  <r>
    <s v="EMP00238"/>
    <x v="93"/>
    <x v="0"/>
    <n v="31"/>
    <x v="7"/>
    <x v="6"/>
    <x v="388"/>
    <x v="0"/>
    <x v="2"/>
    <x v="3"/>
    <s v="Campus"/>
    <x v="3"/>
    <s v="Ahmed Raza"/>
    <n v="139563"/>
    <n v="30188"/>
    <n v="87"/>
    <n v="4"/>
    <n v="30"/>
    <n v="1"/>
    <n v="12"/>
    <n v="98"/>
    <x v="0"/>
    <x v="0"/>
  </r>
  <r>
    <s v="EMP00574"/>
    <x v="103"/>
    <x v="1"/>
    <n v="45"/>
    <x v="1"/>
    <x v="4"/>
    <x v="388"/>
    <x v="1"/>
    <x v="2"/>
    <x v="0"/>
    <s v="Linkedin"/>
    <x v="5"/>
    <s v="Bilal Khan"/>
    <n v="46027"/>
    <n v="16099"/>
    <n v="93.9"/>
    <n v="3"/>
    <n v="19"/>
    <n v="3"/>
    <n v="30"/>
    <n v="99"/>
    <x v="0"/>
    <x v="5"/>
  </r>
  <r>
    <s v="EMP01344"/>
    <x v="77"/>
    <x v="0"/>
    <n v="49"/>
    <x v="7"/>
    <x v="1"/>
    <x v="388"/>
    <x v="0"/>
    <x v="0"/>
    <x v="0"/>
    <s v="Referral"/>
    <x v="1"/>
    <s v="Sara Ali"/>
    <n v="180459"/>
    <n v="8514"/>
    <n v="84.6"/>
    <n v="2"/>
    <n v="11"/>
    <n v="2"/>
    <n v="1"/>
    <n v="80"/>
    <x v="1"/>
    <x v="0"/>
  </r>
  <r>
    <s v="EMP00832"/>
    <x v="15"/>
    <x v="0"/>
    <n v="56"/>
    <x v="5"/>
    <x v="0"/>
    <x v="389"/>
    <x v="0"/>
    <x v="1"/>
    <x v="1"/>
    <s v="Linkedin"/>
    <x v="4"/>
    <s v="Usman Tariq"/>
    <n v="194838"/>
    <n v="12219"/>
    <n v="82.5"/>
    <n v="10"/>
    <n v="28"/>
    <n v="4"/>
    <n v="39"/>
    <n v="67"/>
    <x v="0"/>
    <x v="0"/>
  </r>
  <r>
    <s v="EMP00067"/>
    <x v="167"/>
    <x v="1"/>
    <n v="43"/>
    <x v="2"/>
    <x v="7"/>
    <x v="390"/>
    <x v="1"/>
    <x v="2"/>
    <x v="4"/>
    <s v="Agency"/>
    <x v="7"/>
    <s v="Fatima Noor"/>
    <n v="160921"/>
    <n v="13257"/>
    <n v="95.1"/>
    <n v="3"/>
    <n v="25"/>
    <n v="2"/>
    <n v="13"/>
    <n v="81"/>
    <x v="0"/>
    <x v="5"/>
  </r>
  <r>
    <s v="EMP01244"/>
    <x v="11"/>
    <x v="1"/>
    <n v="25"/>
    <x v="7"/>
    <x v="0"/>
    <x v="390"/>
    <x v="0"/>
    <x v="1"/>
    <x v="0"/>
    <s v="Referral"/>
    <x v="1"/>
    <s v="Sara Ali"/>
    <n v="45209"/>
    <n v="43643"/>
    <n v="87.3"/>
    <n v="3"/>
    <n v="18"/>
    <n v="1"/>
    <n v="9"/>
    <n v="81"/>
    <x v="0"/>
    <x v="0"/>
  </r>
  <r>
    <s v="EMP01505"/>
    <x v="164"/>
    <x v="1"/>
    <n v="32"/>
    <x v="1"/>
    <x v="7"/>
    <x v="390"/>
    <x v="0"/>
    <x v="2"/>
    <x v="4"/>
    <s v="Linkedin"/>
    <x v="5"/>
    <s v="Ahmed Raza"/>
    <n v="78342"/>
    <n v="25205"/>
    <n v="81.900000000000006"/>
    <n v="10"/>
    <n v="18"/>
    <n v="5"/>
    <n v="0"/>
    <n v="82"/>
    <x v="0"/>
    <x v="0"/>
  </r>
  <r>
    <s v="EMP00737"/>
    <x v="165"/>
    <x v="1"/>
    <n v="50"/>
    <x v="2"/>
    <x v="1"/>
    <x v="391"/>
    <x v="0"/>
    <x v="1"/>
    <x v="2"/>
    <s v="Website"/>
    <x v="1"/>
    <s v="Sara Ali"/>
    <n v="175514"/>
    <n v="19005"/>
    <n v="99.1"/>
    <n v="9"/>
    <n v="3"/>
    <n v="3"/>
    <n v="2"/>
    <n v="89"/>
    <x v="0"/>
    <x v="0"/>
  </r>
  <r>
    <s v="EMP00709"/>
    <x v="43"/>
    <x v="1"/>
    <n v="35"/>
    <x v="0"/>
    <x v="0"/>
    <x v="392"/>
    <x v="0"/>
    <x v="0"/>
    <x v="0"/>
    <s v="Linkedin"/>
    <x v="0"/>
    <s v="Bilal Khan"/>
    <n v="100619"/>
    <n v="16429"/>
    <n v="93.9"/>
    <n v="10"/>
    <n v="25"/>
    <n v="3"/>
    <n v="7"/>
    <n v="68"/>
    <x v="0"/>
    <x v="0"/>
  </r>
  <r>
    <s v="EMP01684"/>
    <x v="3"/>
    <x v="0"/>
    <n v="46"/>
    <x v="6"/>
    <x v="6"/>
    <x v="392"/>
    <x v="0"/>
    <x v="2"/>
    <x v="4"/>
    <s v="Agency"/>
    <x v="2"/>
    <s v="Fatima Noor"/>
    <n v="155441"/>
    <n v="27161"/>
    <n v="100"/>
    <n v="3"/>
    <n v="16"/>
    <n v="3"/>
    <n v="21"/>
    <n v="77"/>
    <x v="0"/>
    <x v="0"/>
  </r>
  <r>
    <s v="EMP01281"/>
    <x v="98"/>
    <x v="1"/>
    <n v="26"/>
    <x v="5"/>
    <x v="7"/>
    <x v="393"/>
    <x v="0"/>
    <x v="2"/>
    <x v="3"/>
    <s v="Referral"/>
    <x v="2"/>
    <s v="Sara Ali"/>
    <n v="68548"/>
    <n v="14670"/>
    <n v="84.6"/>
    <n v="8"/>
    <n v="24"/>
    <n v="5"/>
    <n v="32"/>
    <n v="77"/>
    <x v="0"/>
    <x v="0"/>
  </r>
  <r>
    <s v="EMP00364"/>
    <x v="60"/>
    <x v="0"/>
    <n v="60"/>
    <x v="6"/>
    <x v="0"/>
    <x v="394"/>
    <x v="0"/>
    <x v="2"/>
    <x v="3"/>
    <s v="Website"/>
    <x v="4"/>
    <s v="Fatima Noor"/>
    <n v="236631"/>
    <n v="9808"/>
    <n v="81"/>
    <n v="2"/>
    <n v="27"/>
    <n v="5"/>
    <n v="7"/>
    <n v="100"/>
    <x v="0"/>
    <x v="0"/>
  </r>
  <r>
    <s v="EMP00414"/>
    <x v="27"/>
    <x v="1"/>
    <n v="49"/>
    <x v="6"/>
    <x v="5"/>
    <x v="394"/>
    <x v="1"/>
    <x v="1"/>
    <x v="2"/>
    <s v="Website"/>
    <x v="4"/>
    <s v="Fatima Noor"/>
    <n v="113293"/>
    <n v="45580"/>
    <n v="96.4"/>
    <n v="1"/>
    <n v="20"/>
    <n v="5"/>
    <n v="22"/>
    <n v="73"/>
    <x v="0"/>
    <x v="1"/>
  </r>
  <r>
    <s v="EMP01495"/>
    <x v="43"/>
    <x v="0"/>
    <n v="44"/>
    <x v="4"/>
    <x v="3"/>
    <x v="394"/>
    <x v="0"/>
    <x v="0"/>
    <x v="0"/>
    <s v="Linkedin"/>
    <x v="4"/>
    <s v="Ahmed Raza"/>
    <n v="77913"/>
    <n v="11299"/>
    <n v="81"/>
    <n v="4"/>
    <n v="0"/>
    <n v="2"/>
    <n v="9"/>
    <n v="65"/>
    <x v="0"/>
    <x v="0"/>
  </r>
  <r>
    <s v="EMP00538"/>
    <x v="190"/>
    <x v="1"/>
    <n v="43"/>
    <x v="5"/>
    <x v="3"/>
    <x v="395"/>
    <x v="0"/>
    <x v="0"/>
    <x v="1"/>
    <s v="Campus"/>
    <x v="6"/>
    <s v="Ahmed Raza"/>
    <n v="125618"/>
    <n v="6915"/>
    <n v="80.3"/>
    <n v="0"/>
    <n v="29"/>
    <n v="5"/>
    <n v="21"/>
    <n v="88"/>
    <x v="0"/>
    <x v="0"/>
  </r>
  <r>
    <s v="EMP00595"/>
    <x v="107"/>
    <x v="0"/>
    <n v="43"/>
    <x v="8"/>
    <x v="7"/>
    <x v="395"/>
    <x v="0"/>
    <x v="0"/>
    <x v="1"/>
    <s v="Agency"/>
    <x v="4"/>
    <s v="Ahmed Raza"/>
    <n v="123387"/>
    <n v="44063"/>
    <n v="86"/>
    <n v="3"/>
    <n v="20"/>
    <n v="3"/>
    <n v="29"/>
    <n v="85"/>
    <x v="0"/>
    <x v="0"/>
  </r>
  <r>
    <s v="EMP00728"/>
    <x v="114"/>
    <x v="1"/>
    <n v="48"/>
    <x v="7"/>
    <x v="1"/>
    <x v="395"/>
    <x v="1"/>
    <x v="2"/>
    <x v="4"/>
    <s v="Campus"/>
    <x v="6"/>
    <s v="Sara Ali"/>
    <n v="122770"/>
    <n v="11637"/>
    <n v="80.099999999999994"/>
    <n v="9"/>
    <n v="14"/>
    <n v="1"/>
    <n v="2"/>
    <n v="81"/>
    <x v="0"/>
    <x v="4"/>
  </r>
  <r>
    <s v="EMP01247"/>
    <x v="22"/>
    <x v="1"/>
    <n v="30"/>
    <x v="7"/>
    <x v="5"/>
    <x v="395"/>
    <x v="0"/>
    <x v="1"/>
    <x v="4"/>
    <s v="Website"/>
    <x v="3"/>
    <s v="Fatima Noor"/>
    <n v="213971"/>
    <n v="32720"/>
    <n v="88.3"/>
    <n v="0"/>
    <n v="17"/>
    <n v="5"/>
    <n v="14"/>
    <n v="81"/>
    <x v="0"/>
    <x v="0"/>
  </r>
  <r>
    <s v="EMP01701"/>
    <x v="50"/>
    <x v="0"/>
    <n v="48"/>
    <x v="0"/>
    <x v="1"/>
    <x v="395"/>
    <x v="0"/>
    <x v="1"/>
    <x v="4"/>
    <s v="Linkedin"/>
    <x v="6"/>
    <s v="Bilal Khan"/>
    <n v="173558"/>
    <n v="43060"/>
    <n v="88.5"/>
    <n v="3"/>
    <n v="7"/>
    <n v="5"/>
    <n v="30"/>
    <n v="78"/>
    <x v="0"/>
    <x v="0"/>
  </r>
  <r>
    <s v="EMP01728"/>
    <x v="52"/>
    <x v="1"/>
    <n v="47"/>
    <x v="5"/>
    <x v="1"/>
    <x v="395"/>
    <x v="0"/>
    <x v="1"/>
    <x v="3"/>
    <s v="Referral"/>
    <x v="1"/>
    <s v="Bilal Khan"/>
    <n v="48070"/>
    <n v="18659"/>
    <n v="85.1"/>
    <n v="7"/>
    <n v="20"/>
    <n v="2"/>
    <n v="26"/>
    <n v="99"/>
    <x v="1"/>
    <x v="0"/>
  </r>
  <r>
    <s v="EMP00027"/>
    <x v="188"/>
    <x v="1"/>
    <n v="45"/>
    <x v="0"/>
    <x v="3"/>
    <x v="396"/>
    <x v="0"/>
    <x v="1"/>
    <x v="2"/>
    <s v="Referral"/>
    <x v="0"/>
    <s v="Bilal Khan"/>
    <n v="243720"/>
    <n v="24254"/>
    <n v="89.6"/>
    <n v="10"/>
    <n v="11"/>
    <n v="2"/>
    <n v="3"/>
    <n v="69"/>
    <x v="0"/>
    <x v="0"/>
  </r>
  <r>
    <s v="EMP01594"/>
    <x v="120"/>
    <x v="1"/>
    <n v="58"/>
    <x v="2"/>
    <x v="3"/>
    <x v="396"/>
    <x v="0"/>
    <x v="2"/>
    <x v="3"/>
    <s v="Referral"/>
    <x v="5"/>
    <s v="Ahmed Raza"/>
    <n v="207698"/>
    <n v="49898"/>
    <n v="86.1"/>
    <n v="0"/>
    <n v="5"/>
    <n v="4"/>
    <n v="40"/>
    <n v="95"/>
    <x v="0"/>
    <x v="0"/>
  </r>
  <r>
    <s v="EMP00923"/>
    <x v="35"/>
    <x v="0"/>
    <n v="42"/>
    <x v="6"/>
    <x v="0"/>
    <x v="397"/>
    <x v="0"/>
    <x v="2"/>
    <x v="1"/>
    <s v="Agency"/>
    <x v="0"/>
    <s v="Usman Tariq"/>
    <n v="202562"/>
    <n v="34358"/>
    <n v="93.8"/>
    <n v="9"/>
    <n v="23"/>
    <n v="4"/>
    <n v="24"/>
    <n v="60"/>
    <x v="0"/>
    <x v="0"/>
  </r>
  <r>
    <s v="EMP01927"/>
    <x v="38"/>
    <x v="0"/>
    <n v="54"/>
    <x v="6"/>
    <x v="3"/>
    <x v="397"/>
    <x v="1"/>
    <x v="1"/>
    <x v="4"/>
    <s v="Website"/>
    <x v="6"/>
    <s v="Fatima Noor"/>
    <n v="219733"/>
    <n v="5991"/>
    <n v="98.9"/>
    <n v="6"/>
    <n v="5"/>
    <n v="3"/>
    <n v="11"/>
    <n v="76"/>
    <x v="1"/>
    <x v="5"/>
  </r>
  <r>
    <s v="EMP00316"/>
    <x v="189"/>
    <x v="0"/>
    <n v="28"/>
    <x v="1"/>
    <x v="4"/>
    <x v="398"/>
    <x v="0"/>
    <x v="1"/>
    <x v="4"/>
    <s v="Linkedin"/>
    <x v="1"/>
    <s v="Ahmed Raza"/>
    <n v="195433"/>
    <n v="9174"/>
    <n v="90.5"/>
    <n v="4"/>
    <n v="8"/>
    <n v="5"/>
    <n v="35"/>
    <n v="73"/>
    <x v="0"/>
    <x v="0"/>
  </r>
  <r>
    <s v="EMP01919"/>
    <x v="123"/>
    <x v="0"/>
    <n v="30"/>
    <x v="1"/>
    <x v="6"/>
    <x v="398"/>
    <x v="0"/>
    <x v="1"/>
    <x v="4"/>
    <s v="Referral"/>
    <x v="0"/>
    <s v="Bilal Khan"/>
    <n v="60925"/>
    <n v="36628"/>
    <n v="95.9"/>
    <n v="9"/>
    <n v="28"/>
    <n v="2"/>
    <n v="36"/>
    <n v="72"/>
    <x v="0"/>
    <x v="0"/>
  </r>
  <r>
    <s v="EMP00336"/>
    <x v="67"/>
    <x v="1"/>
    <n v="48"/>
    <x v="6"/>
    <x v="6"/>
    <x v="399"/>
    <x v="1"/>
    <x v="2"/>
    <x v="1"/>
    <s v="Website"/>
    <x v="1"/>
    <s v="Ahmed Raza"/>
    <n v="76280"/>
    <n v="22562"/>
    <n v="99.6"/>
    <n v="6"/>
    <n v="2"/>
    <n v="2"/>
    <n v="36"/>
    <n v="91"/>
    <x v="0"/>
    <x v="5"/>
  </r>
  <r>
    <s v="EMP00472"/>
    <x v="124"/>
    <x v="1"/>
    <n v="57"/>
    <x v="5"/>
    <x v="0"/>
    <x v="399"/>
    <x v="0"/>
    <x v="2"/>
    <x v="3"/>
    <s v="Referral"/>
    <x v="6"/>
    <s v="Bilal Khan"/>
    <n v="199453"/>
    <n v="49588"/>
    <n v="95"/>
    <n v="8"/>
    <n v="25"/>
    <n v="2"/>
    <n v="26"/>
    <n v="82"/>
    <x v="0"/>
    <x v="0"/>
  </r>
  <r>
    <s v="EMP00587"/>
    <x v="176"/>
    <x v="1"/>
    <n v="60"/>
    <x v="0"/>
    <x v="0"/>
    <x v="399"/>
    <x v="0"/>
    <x v="1"/>
    <x v="1"/>
    <s v="Campus"/>
    <x v="2"/>
    <s v="Bilal Khan"/>
    <n v="201567"/>
    <n v="14045"/>
    <n v="97"/>
    <n v="7"/>
    <n v="23"/>
    <n v="1"/>
    <n v="7"/>
    <n v="88"/>
    <x v="0"/>
    <x v="0"/>
  </r>
  <r>
    <s v="EMP00884"/>
    <x v="38"/>
    <x v="1"/>
    <n v="50"/>
    <x v="2"/>
    <x v="5"/>
    <x v="399"/>
    <x v="0"/>
    <x v="0"/>
    <x v="2"/>
    <s v="Linkedin"/>
    <x v="0"/>
    <s v="Fatima Noor"/>
    <n v="246078"/>
    <n v="28127"/>
    <n v="99.6"/>
    <n v="5"/>
    <n v="12"/>
    <n v="3"/>
    <n v="21"/>
    <n v="73"/>
    <x v="0"/>
    <x v="0"/>
  </r>
  <r>
    <s v="EMP01207"/>
    <x v="94"/>
    <x v="0"/>
    <n v="37"/>
    <x v="4"/>
    <x v="3"/>
    <x v="399"/>
    <x v="0"/>
    <x v="2"/>
    <x v="2"/>
    <s v="Website"/>
    <x v="6"/>
    <s v="Sara Ali"/>
    <n v="175153"/>
    <n v="5704"/>
    <n v="93.3"/>
    <n v="8"/>
    <n v="0"/>
    <n v="5"/>
    <n v="5"/>
    <n v="78"/>
    <x v="0"/>
    <x v="0"/>
  </r>
  <r>
    <s v="EMP00796"/>
    <x v="159"/>
    <x v="0"/>
    <n v="27"/>
    <x v="0"/>
    <x v="6"/>
    <x v="400"/>
    <x v="0"/>
    <x v="1"/>
    <x v="2"/>
    <s v="Linkedin"/>
    <x v="2"/>
    <s v="Ahmed Raza"/>
    <n v="35437"/>
    <n v="32646"/>
    <n v="87.1"/>
    <n v="5"/>
    <n v="10"/>
    <n v="3"/>
    <n v="7"/>
    <n v="89"/>
    <x v="0"/>
    <x v="0"/>
  </r>
  <r>
    <s v="EMP01867"/>
    <x v="147"/>
    <x v="1"/>
    <n v="29"/>
    <x v="8"/>
    <x v="7"/>
    <x v="400"/>
    <x v="0"/>
    <x v="1"/>
    <x v="1"/>
    <s v="Referral"/>
    <x v="3"/>
    <s v="Usman Tariq"/>
    <n v="116289"/>
    <n v="41007"/>
    <n v="83.9"/>
    <n v="4"/>
    <n v="28"/>
    <n v="4"/>
    <n v="32"/>
    <n v="84"/>
    <x v="1"/>
    <x v="0"/>
  </r>
  <r>
    <s v="EMP00499"/>
    <x v="106"/>
    <x v="0"/>
    <n v="34"/>
    <x v="3"/>
    <x v="7"/>
    <x v="401"/>
    <x v="0"/>
    <x v="1"/>
    <x v="0"/>
    <s v="Linkedin"/>
    <x v="1"/>
    <s v="Sara Ali"/>
    <n v="238550"/>
    <n v="45893"/>
    <n v="86.9"/>
    <n v="10"/>
    <n v="24"/>
    <n v="4"/>
    <n v="27"/>
    <n v="96"/>
    <x v="0"/>
    <x v="0"/>
  </r>
  <r>
    <s v="EMP00717"/>
    <x v="150"/>
    <x v="1"/>
    <n v="32"/>
    <x v="8"/>
    <x v="1"/>
    <x v="401"/>
    <x v="0"/>
    <x v="0"/>
    <x v="2"/>
    <s v="Linkedin"/>
    <x v="6"/>
    <s v="Ahmed Raza"/>
    <n v="124866"/>
    <n v="13910"/>
    <n v="83.8"/>
    <n v="6"/>
    <n v="8"/>
    <n v="5"/>
    <n v="30"/>
    <n v="77"/>
    <x v="0"/>
    <x v="0"/>
  </r>
  <r>
    <s v="EMP01144"/>
    <x v="161"/>
    <x v="0"/>
    <n v="42"/>
    <x v="8"/>
    <x v="3"/>
    <x v="401"/>
    <x v="0"/>
    <x v="1"/>
    <x v="2"/>
    <s v="Linkedin"/>
    <x v="7"/>
    <s v="Ahmed Raza"/>
    <n v="200263"/>
    <n v="38837"/>
    <n v="84.9"/>
    <n v="2"/>
    <n v="6"/>
    <n v="3"/>
    <n v="17"/>
    <n v="82"/>
    <x v="0"/>
    <x v="0"/>
  </r>
  <r>
    <s v="EMP01930"/>
    <x v="76"/>
    <x v="1"/>
    <n v="39"/>
    <x v="6"/>
    <x v="4"/>
    <x v="401"/>
    <x v="1"/>
    <x v="1"/>
    <x v="2"/>
    <s v="Agency"/>
    <x v="3"/>
    <s v="Ahmed Raza"/>
    <n v="136675"/>
    <n v="21019"/>
    <n v="96.1"/>
    <n v="7"/>
    <n v="7"/>
    <n v="1"/>
    <n v="3"/>
    <n v="76"/>
    <x v="0"/>
    <x v="2"/>
  </r>
  <r>
    <s v="EMP01958"/>
    <x v="118"/>
    <x v="0"/>
    <n v="55"/>
    <x v="0"/>
    <x v="0"/>
    <x v="401"/>
    <x v="0"/>
    <x v="2"/>
    <x v="3"/>
    <s v="Linkedin"/>
    <x v="0"/>
    <s v="Sara Ali"/>
    <n v="157443"/>
    <n v="37397"/>
    <n v="85.8"/>
    <n v="8"/>
    <n v="19"/>
    <n v="5"/>
    <n v="5"/>
    <n v="96"/>
    <x v="0"/>
    <x v="0"/>
  </r>
  <r>
    <s v="EMP00294"/>
    <x v="57"/>
    <x v="0"/>
    <n v="23"/>
    <x v="0"/>
    <x v="0"/>
    <x v="402"/>
    <x v="1"/>
    <x v="0"/>
    <x v="0"/>
    <s v="Agency"/>
    <x v="3"/>
    <s v="Bilal Khan"/>
    <n v="168274"/>
    <n v="44272"/>
    <n v="88.1"/>
    <n v="10"/>
    <n v="23"/>
    <n v="1"/>
    <n v="26"/>
    <n v="93"/>
    <x v="0"/>
    <x v="5"/>
  </r>
  <r>
    <s v="EMP01133"/>
    <x v="99"/>
    <x v="0"/>
    <n v="35"/>
    <x v="4"/>
    <x v="7"/>
    <x v="402"/>
    <x v="0"/>
    <x v="2"/>
    <x v="3"/>
    <s v="Agency"/>
    <x v="0"/>
    <s v="Usman Tariq"/>
    <n v="234119"/>
    <n v="7824"/>
    <n v="87.1"/>
    <n v="10"/>
    <n v="13"/>
    <n v="2"/>
    <n v="19"/>
    <n v="90"/>
    <x v="0"/>
    <x v="0"/>
  </r>
  <r>
    <s v="EMP01457"/>
    <x v="78"/>
    <x v="0"/>
    <n v="25"/>
    <x v="6"/>
    <x v="3"/>
    <x v="402"/>
    <x v="0"/>
    <x v="2"/>
    <x v="1"/>
    <s v="Campus"/>
    <x v="6"/>
    <s v="Usman Tariq"/>
    <n v="197768"/>
    <n v="27366"/>
    <n v="81.599999999999994"/>
    <n v="10"/>
    <n v="29"/>
    <n v="5"/>
    <n v="20"/>
    <n v="68"/>
    <x v="0"/>
    <x v="0"/>
  </r>
  <r>
    <s v="EMP01734"/>
    <x v="40"/>
    <x v="0"/>
    <n v="41"/>
    <x v="0"/>
    <x v="3"/>
    <x v="402"/>
    <x v="0"/>
    <x v="0"/>
    <x v="3"/>
    <s v="Campus"/>
    <x v="4"/>
    <s v="Bilal Khan"/>
    <n v="86938"/>
    <n v="25244"/>
    <n v="99"/>
    <n v="5"/>
    <n v="23"/>
    <n v="4"/>
    <n v="33"/>
    <n v="90"/>
    <x v="0"/>
    <x v="0"/>
  </r>
  <r>
    <s v="EMP00337"/>
    <x v="142"/>
    <x v="0"/>
    <n v="55"/>
    <x v="3"/>
    <x v="1"/>
    <x v="403"/>
    <x v="1"/>
    <x v="2"/>
    <x v="4"/>
    <s v="Agency"/>
    <x v="4"/>
    <s v="Fatima Noor"/>
    <n v="133085"/>
    <n v="31675"/>
    <n v="88.9"/>
    <n v="3"/>
    <n v="5"/>
    <n v="4"/>
    <n v="10"/>
    <n v="98"/>
    <x v="0"/>
    <x v="2"/>
  </r>
  <r>
    <s v="EMP00394"/>
    <x v="89"/>
    <x v="1"/>
    <n v="24"/>
    <x v="4"/>
    <x v="4"/>
    <x v="403"/>
    <x v="0"/>
    <x v="2"/>
    <x v="4"/>
    <s v="Website"/>
    <x v="6"/>
    <s v="Usman Tariq"/>
    <n v="52016"/>
    <n v="12146"/>
    <n v="88.3"/>
    <n v="8"/>
    <n v="12"/>
    <n v="5"/>
    <n v="23"/>
    <n v="62"/>
    <x v="1"/>
    <x v="0"/>
  </r>
  <r>
    <s v="EMP00463"/>
    <x v="55"/>
    <x v="0"/>
    <n v="48"/>
    <x v="1"/>
    <x v="3"/>
    <x v="403"/>
    <x v="0"/>
    <x v="0"/>
    <x v="3"/>
    <s v="Agency"/>
    <x v="1"/>
    <s v="Usman Tariq"/>
    <n v="222465"/>
    <n v="39605"/>
    <n v="97.9"/>
    <n v="1"/>
    <n v="11"/>
    <n v="2"/>
    <n v="31"/>
    <n v="75"/>
    <x v="0"/>
    <x v="0"/>
  </r>
  <r>
    <s v="EMP01976"/>
    <x v="192"/>
    <x v="1"/>
    <n v="41"/>
    <x v="1"/>
    <x v="0"/>
    <x v="403"/>
    <x v="0"/>
    <x v="0"/>
    <x v="4"/>
    <s v="Referral"/>
    <x v="7"/>
    <s v="Usman Tariq"/>
    <n v="191737"/>
    <n v="26619"/>
    <n v="99.3"/>
    <n v="3"/>
    <n v="16"/>
    <n v="4"/>
    <n v="21"/>
    <n v="60"/>
    <x v="0"/>
    <x v="0"/>
  </r>
  <r>
    <s v="EMP00622"/>
    <x v="122"/>
    <x v="0"/>
    <n v="40"/>
    <x v="7"/>
    <x v="4"/>
    <x v="404"/>
    <x v="0"/>
    <x v="1"/>
    <x v="1"/>
    <s v="Campus"/>
    <x v="4"/>
    <s v="Usman Tariq"/>
    <n v="156533"/>
    <n v="11784"/>
    <n v="97.9"/>
    <n v="5"/>
    <n v="22"/>
    <n v="3"/>
    <n v="27"/>
    <n v="99"/>
    <x v="1"/>
    <x v="0"/>
  </r>
  <r>
    <s v="EMP01730"/>
    <x v="158"/>
    <x v="0"/>
    <n v="29"/>
    <x v="6"/>
    <x v="3"/>
    <x v="404"/>
    <x v="0"/>
    <x v="0"/>
    <x v="0"/>
    <s v="Website"/>
    <x v="5"/>
    <s v="Ahmed Raza"/>
    <n v="79146"/>
    <n v="17337"/>
    <n v="89.7"/>
    <n v="6"/>
    <n v="21"/>
    <n v="2"/>
    <n v="19"/>
    <n v="99"/>
    <x v="0"/>
    <x v="0"/>
  </r>
  <r>
    <s v="EMP00411"/>
    <x v="22"/>
    <x v="1"/>
    <n v="43"/>
    <x v="1"/>
    <x v="1"/>
    <x v="405"/>
    <x v="0"/>
    <x v="0"/>
    <x v="4"/>
    <s v="Website"/>
    <x v="6"/>
    <s v="Ahmed Raza"/>
    <n v="162317"/>
    <n v="38580"/>
    <n v="93.3"/>
    <n v="1"/>
    <n v="8"/>
    <n v="2"/>
    <n v="31"/>
    <n v="97"/>
    <x v="0"/>
    <x v="0"/>
  </r>
  <r>
    <s v="EMP00478"/>
    <x v="56"/>
    <x v="0"/>
    <n v="30"/>
    <x v="5"/>
    <x v="1"/>
    <x v="405"/>
    <x v="0"/>
    <x v="2"/>
    <x v="3"/>
    <s v="Campus"/>
    <x v="4"/>
    <s v="Sara Ali"/>
    <n v="114291"/>
    <n v="40098"/>
    <n v="85.2"/>
    <n v="0"/>
    <n v="13"/>
    <n v="5"/>
    <n v="32"/>
    <n v="67"/>
    <x v="0"/>
    <x v="0"/>
  </r>
  <r>
    <s v="EMP01329"/>
    <x v="59"/>
    <x v="1"/>
    <n v="30"/>
    <x v="0"/>
    <x v="2"/>
    <x v="405"/>
    <x v="0"/>
    <x v="2"/>
    <x v="0"/>
    <s v="Linkedin"/>
    <x v="2"/>
    <s v="Ahmed Raza"/>
    <n v="61786"/>
    <n v="31303"/>
    <n v="89.8"/>
    <n v="10"/>
    <n v="16"/>
    <n v="4"/>
    <n v="24"/>
    <n v="72"/>
    <x v="0"/>
    <x v="0"/>
  </r>
  <r>
    <s v="EMP00076"/>
    <x v="21"/>
    <x v="1"/>
    <n v="43"/>
    <x v="1"/>
    <x v="6"/>
    <x v="406"/>
    <x v="0"/>
    <x v="1"/>
    <x v="2"/>
    <s v="Website"/>
    <x v="1"/>
    <s v="Ahmed Raza"/>
    <n v="96374"/>
    <n v="25435"/>
    <n v="96.8"/>
    <n v="3"/>
    <n v="9"/>
    <n v="3"/>
    <n v="16"/>
    <n v="95"/>
    <x v="1"/>
    <x v="0"/>
  </r>
  <r>
    <s v="EMP00522"/>
    <x v="15"/>
    <x v="1"/>
    <n v="39"/>
    <x v="0"/>
    <x v="6"/>
    <x v="406"/>
    <x v="1"/>
    <x v="2"/>
    <x v="2"/>
    <s v="Agency"/>
    <x v="4"/>
    <s v="Usman Tariq"/>
    <n v="59426"/>
    <n v="44071"/>
    <n v="88"/>
    <n v="9"/>
    <n v="19"/>
    <n v="4"/>
    <n v="2"/>
    <n v="100"/>
    <x v="0"/>
    <x v="2"/>
  </r>
  <r>
    <s v="EMP00800"/>
    <x v="86"/>
    <x v="0"/>
    <n v="28"/>
    <x v="2"/>
    <x v="5"/>
    <x v="406"/>
    <x v="0"/>
    <x v="0"/>
    <x v="2"/>
    <s v="Agency"/>
    <x v="0"/>
    <s v="Usman Tariq"/>
    <n v="192701"/>
    <n v="41101"/>
    <n v="99.7"/>
    <n v="1"/>
    <n v="28"/>
    <n v="2"/>
    <n v="29"/>
    <n v="91"/>
    <x v="0"/>
    <x v="0"/>
  </r>
  <r>
    <s v="EMP01746"/>
    <x v="175"/>
    <x v="0"/>
    <n v="42"/>
    <x v="6"/>
    <x v="1"/>
    <x v="406"/>
    <x v="0"/>
    <x v="1"/>
    <x v="0"/>
    <s v="Linkedin"/>
    <x v="1"/>
    <s v="Fatima Noor"/>
    <n v="63291"/>
    <n v="7005"/>
    <n v="96.2"/>
    <n v="0"/>
    <n v="3"/>
    <n v="5"/>
    <n v="37"/>
    <n v="79"/>
    <x v="0"/>
    <x v="0"/>
  </r>
  <r>
    <s v="EMP00153"/>
    <x v="26"/>
    <x v="0"/>
    <n v="56"/>
    <x v="8"/>
    <x v="3"/>
    <x v="407"/>
    <x v="1"/>
    <x v="0"/>
    <x v="3"/>
    <s v="Linkedin"/>
    <x v="2"/>
    <s v="Sara Ali"/>
    <n v="212952"/>
    <n v="30659"/>
    <n v="91.6"/>
    <n v="7"/>
    <n v="15"/>
    <n v="4"/>
    <n v="24"/>
    <n v="81"/>
    <x v="0"/>
    <x v="2"/>
  </r>
  <r>
    <s v="EMP00368"/>
    <x v="104"/>
    <x v="0"/>
    <n v="41"/>
    <x v="2"/>
    <x v="6"/>
    <x v="407"/>
    <x v="0"/>
    <x v="2"/>
    <x v="0"/>
    <s v="Referral"/>
    <x v="1"/>
    <s v="Bilal Khan"/>
    <n v="235960"/>
    <n v="17494"/>
    <n v="98"/>
    <n v="8"/>
    <n v="2"/>
    <n v="2"/>
    <n v="18"/>
    <n v="98"/>
    <x v="1"/>
    <x v="0"/>
  </r>
  <r>
    <s v="EMP00058"/>
    <x v="48"/>
    <x v="1"/>
    <n v="29"/>
    <x v="7"/>
    <x v="2"/>
    <x v="408"/>
    <x v="0"/>
    <x v="2"/>
    <x v="1"/>
    <s v="Website"/>
    <x v="2"/>
    <s v="Ahmed Raza"/>
    <n v="211361"/>
    <n v="44627"/>
    <n v="89"/>
    <n v="4"/>
    <n v="23"/>
    <n v="3"/>
    <n v="38"/>
    <n v="71"/>
    <x v="0"/>
    <x v="0"/>
  </r>
  <r>
    <s v="EMP00084"/>
    <x v="111"/>
    <x v="1"/>
    <n v="54"/>
    <x v="5"/>
    <x v="7"/>
    <x v="408"/>
    <x v="0"/>
    <x v="2"/>
    <x v="0"/>
    <s v="Campus"/>
    <x v="3"/>
    <s v="Fatima Noor"/>
    <n v="101123"/>
    <n v="39074"/>
    <n v="88.7"/>
    <n v="6"/>
    <n v="25"/>
    <n v="4"/>
    <n v="17"/>
    <n v="75"/>
    <x v="0"/>
    <x v="0"/>
  </r>
  <r>
    <s v="EMP00286"/>
    <x v="101"/>
    <x v="1"/>
    <n v="46"/>
    <x v="0"/>
    <x v="3"/>
    <x v="408"/>
    <x v="1"/>
    <x v="1"/>
    <x v="2"/>
    <s v="Referral"/>
    <x v="6"/>
    <s v="Fatima Noor"/>
    <n v="128848"/>
    <n v="43308"/>
    <n v="91.9"/>
    <n v="7"/>
    <n v="23"/>
    <n v="2"/>
    <n v="28"/>
    <n v="60"/>
    <x v="1"/>
    <x v="4"/>
  </r>
  <r>
    <s v="EMP00461"/>
    <x v="82"/>
    <x v="0"/>
    <n v="55"/>
    <x v="3"/>
    <x v="7"/>
    <x v="408"/>
    <x v="0"/>
    <x v="1"/>
    <x v="2"/>
    <s v="Agency"/>
    <x v="0"/>
    <s v="Bilal Khan"/>
    <n v="224645"/>
    <n v="30639"/>
    <n v="88.6"/>
    <n v="5"/>
    <n v="17"/>
    <n v="5"/>
    <n v="16"/>
    <n v="73"/>
    <x v="1"/>
    <x v="0"/>
  </r>
  <r>
    <s v="EMP01049"/>
    <x v="75"/>
    <x v="0"/>
    <n v="50"/>
    <x v="6"/>
    <x v="0"/>
    <x v="408"/>
    <x v="0"/>
    <x v="1"/>
    <x v="2"/>
    <s v="Linkedin"/>
    <x v="3"/>
    <s v="Fatima Noor"/>
    <n v="78035"/>
    <n v="36867"/>
    <n v="92.3"/>
    <n v="7"/>
    <n v="21"/>
    <n v="1"/>
    <n v="33"/>
    <n v="62"/>
    <x v="1"/>
    <x v="0"/>
  </r>
  <r>
    <s v="EMP00077"/>
    <x v="71"/>
    <x v="1"/>
    <n v="32"/>
    <x v="5"/>
    <x v="3"/>
    <x v="409"/>
    <x v="0"/>
    <x v="1"/>
    <x v="0"/>
    <s v="Referral"/>
    <x v="2"/>
    <s v="Usman Tariq"/>
    <n v="160133"/>
    <n v="13035"/>
    <n v="80.400000000000006"/>
    <n v="7"/>
    <n v="24"/>
    <n v="4"/>
    <n v="14"/>
    <n v="96"/>
    <x v="0"/>
    <x v="0"/>
  </r>
  <r>
    <s v="EMP00739"/>
    <x v="57"/>
    <x v="1"/>
    <n v="51"/>
    <x v="6"/>
    <x v="4"/>
    <x v="409"/>
    <x v="1"/>
    <x v="1"/>
    <x v="1"/>
    <s v="Agency"/>
    <x v="6"/>
    <s v="Bilal Khan"/>
    <n v="181964"/>
    <n v="5665"/>
    <n v="99.6"/>
    <n v="9"/>
    <n v="24"/>
    <n v="5"/>
    <n v="3"/>
    <n v="63"/>
    <x v="0"/>
    <x v="2"/>
  </r>
  <r>
    <s v="EMP00758"/>
    <x v="112"/>
    <x v="1"/>
    <n v="55"/>
    <x v="1"/>
    <x v="3"/>
    <x v="409"/>
    <x v="0"/>
    <x v="1"/>
    <x v="3"/>
    <s v="Linkedin"/>
    <x v="0"/>
    <s v="Fatima Noor"/>
    <n v="201294"/>
    <n v="33389"/>
    <n v="99.7"/>
    <n v="3"/>
    <n v="25"/>
    <n v="4"/>
    <n v="9"/>
    <n v="62"/>
    <x v="0"/>
    <x v="0"/>
  </r>
  <r>
    <s v="EMP01847"/>
    <x v="41"/>
    <x v="0"/>
    <n v="39"/>
    <x v="1"/>
    <x v="1"/>
    <x v="409"/>
    <x v="0"/>
    <x v="1"/>
    <x v="2"/>
    <s v="Campus"/>
    <x v="4"/>
    <s v="Usman Tariq"/>
    <n v="135809"/>
    <n v="34957"/>
    <n v="99.9"/>
    <n v="5"/>
    <n v="20"/>
    <n v="1"/>
    <n v="13"/>
    <n v="91"/>
    <x v="0"/>
    <x v="0"/>
  </r>
  <r>
    <s v="EMP01311"/>
    <x v="130"/>
    <x v="0"/>
    <n v="60"/>
    <x v="3"/>
    <x v="3"/>
    <x v="410"/>
    <x v="0"/>
    <x v="0"/>
    <x v="3"/>
    <s v="Website"/>
    <x v="3"/>
    <s v="Fatima Noor"/>
    <n v="161773"/>
    <n v="20120"/>
    <n v="87.2"/>
    <n v="3"/>
    <n v="1"/>
    <n v="4"/>
    <n v="19"/>
    <n v="84"/>
    <x v="1"/>
    <x v="0"/>
  </r>
  <r>
    <s v="EMP01719"/>
    <x v="186"/>
    <x v="0"/>
    <n v="33"/>
    <x v="4"/>
    <x v="5"/>
    <x v="411"/>
    <x v="0"/>
    <x v="1"/>
    <x v="4"/>
    <s v="Agency"/>
    <x v="3"/>
    <s v="Fatima Noor"/>
    <n v="137172"/>
    <n v="10836"/>
    <n v="83.5"/>
    <n v="10"/>
    <n v="26"/>
    <n v="3"/>
    <n v="37"/>
    <n v="94"/>
    <x v="0"/>
    <x v="0"/>
  </r>
  <r>
    <s v="EMP01740"/>
    <x v="182"/>
    <x v="0"/>
    <n v="46"/>
    <x v="3"/>
    <x v="3"/>
    <x v="411"/>
    <x v="0"/>
    <x v="0"/>
    <x v="1"/>
    <s v="Agency"/>
    <x v="0"/>
    <s v="Usman Tariq"/>
    <n v="99510"/>
    <n v="12148"/>
    <n v="99.5"/>
    <n v="10"/>
    <n v="3"/>
    <n v="2"/>
    <n v="37"/>
    <n v="98"/>
    <x v="1"/>
    <x v="0"/>
  </r>
  <r>
    <s v="EMP01845"/>
    <x v="142"/>
    <x v="0"/>
    <n v="39"/>
    <x v="8"/>
    <x v="1"/>
    <x v="412"/>
    <x v="0"/>
    <x v="2"/>
    <x v="4"/>
    <s v="Campus"/>
    <x v="4"/>
    <s v="Bilal Khan"/>
    <n v="225875"/>
    <n v="39589"/>
    <n v="84.4"/>
    <n v="10"/>
    <n v="2"/>
    <n v="4"/>
    <n v="32"/>
    <n v="75"/>
    <x v="0"/>
    <x v="0"/>
  </r>
  <r>
    <s v="EMP00451"/>
    <x v="165"/>
    <x v="0"/>
    <n v="43"/>
    <x v="6"/>
    <x v="5"/>
    <x v="413"/>
    <x v="1"/>
    <x v="2"/>
    <x v="1"/>
    <s v="Campus"/>
    <x v="6"/>
    <s v="Sara Ali"/>
    <n v="249435"/>
    <n v="11223"/>
    <n v="85.1"/>
    <n v="6"/>
    <n v="19"/>
    <n v="1"/>
    <n v="25"/>
    <n v="89"/>
    <x v="0"/>
    <x v="1"/>
  </r>
  <r>
    <s v="EMP00894"/>
    <x v="194"/>
    <x v="0"/>
    <n v="53"/>
    <x v="0"/>
    <x v="6"/>
    <x v="413"/>
    <x v="0"/>
    <x v="0"/>
    <x v="1"/>
    <s v="Linkedin"/>
    <x v="4"/>
    <s v="Fatima Noor"/>
    <n v="174241"/>
    <n v="39502"/>
    <n v="86.4"/>
    <n v="0"/>
    <n v="7"/>
    <n v="2"/>
    <n v="21"/>
    <n v="80"/>
    <x v="0"/>
    <x v="0"/>
  </r>
  <r>
    <s v="EMP01658"/>
    <x v="28"/>
    <x v="1"/>
    <n v="58"/>
    <x v="7"/>
    <x v="3"/>
    <x v="413"/>
    <x v="0"/>
    <x v="0"/>
    <x v="2"/>
    <s v="Referral"/>
    <x v="7"/>
    <s v="Ahmed Raza"/>
    <n v="114731"/>
    <n v="19101"/>
    <n v="81.8"/>
    <n v="9"/>
    <n v="19"/>
    <n v="3"/>
    <n v="24"/>
    <n v="90"/>
    <x v="0"/>
    <x v="0"/>
  </r>
  <r>
    <s v="EMP01844"/>
    <x v="162"/>
    <x v="0"/>
    <n v="37"/>
    <x v="6"/>
    <x v="6"/>
    <x v="413"/>
    <x v="0"/>
    <x v="2"/>
    <x v="4"/>
    <s v="Campus"/>
    <x v="5"/>
    <s v="Bilal Khan"/>
    <n v="202456"/>
    <n v="41897"/>
    <n v="94.1"/>
    <n v="4"/>
    <n v="6"/>
    <n v="5"/>
    <n v="0"/>
    <n v="98"/>
    <x v="1"/>
    <x v="0"/>
  </r>
  <r>
    <s v="EMP01985"/>
    <x v="116"/>
    <x v="1"/>
    <n v="56"/>
    <x v="4"/>
    <x v="1"/>
    <x v="413"/>
    <x v="0"/>
    <x v="0"/>
    <x v="3"/>
    <s v="Campus"/>
    <x v="5"/>
    <s v="Sara Ali"/>
    <n v="55839"/>
    <n v="15551"/>
    <n v="94"/>
    <n v="6"/>
    <n v="1"/>
    <n v="2"/>
    <n v="36"/>
    <n v="68"/>
    <x v="0"/>
    <x v="0"/>
  </r>
  <r>
    <s v="EMP00773"/>
    <x v="155"/>
    <x v="1"/>
    <n v="21"/>
    <x v="4"/>
    <x v="3"/>
    <x v="414"/>
    <x v="0"/>
    <x v="2"/>
    <x v="2"/>
    <s v="Agency"/>
    <x v="6"/>
    <s v="Ahmed Raza"/>
    <n v="133184"/>
    <n v="35615"/>
    <n v="80.599999999999994"/>
    <n v="4"/>
    <n v="12"/>
    <n v="3"/>
    <n v="37"/>
    <n v="79"/>
    <x v="0"/>
    <x v="0"/>
  </r>
  <r>
    <s v="EMP01105"/>
    <x v="7"/>
    <x v="0"/>
    <n v="54"/>
    <x v="4"/>
    <x v="5"/>
    <x v="414"/>
    <x v="0"/>
    <x v="1"/>
    <x v="3"/>
    <s v="Linkedin"/>
    <x v="0"/>
    <s v="Sara Ali"/>
    <n v="70102"/>
    <n v="8469"/>
    <n v="97.7"/>
    <n v="7"/>
    <n v="5"/>
    <n v="1"/>
    <n v="2"/>
    <n v="90"/>
    <x v="0"/>
    <x v="0"/>
  </r>
  <r>
    <s v="EMP01363"/>
    <x v="51"/>
    <x v="0"/>
    <n v="27"/>
    <x v="2"/>
    <x v="7"/>
    <x v="414"/>
    <x v="0"/>
    <x v="0"/>
    <x v="4"/>
    <s v="Linkedin"/>
    <x v="5"/>
    <s v="Usman Tariq"/>
    <n v="203021"/>
    <n v="14256"/>
    <n v="88.9"/>
    <n v="5"/>
    <n v="0"/>
    <n v="3"/>
    <n v="4"/>
    <n v="93"/>
    <x v="0"/>
    <x v="0"/>
  </r>
  <r>
    <s v="EMP01933"/>
    <x v="18"/>
    <x v="0"/>
    <n v="40"/>
    <x v="1"/>
    <x v="2"/>
    <x v="414"/>
    <x v="0"/>
    <x v="0"/>
    <x v="2"/>
    <s v="Campus"/>
    <x v="0"/>
    <s v="Ahmed Raza"/>
    <n v="197383"/>
    <n v="34361"/>
    <n v="86.1"/>
    <n v="4"/>
    <n v="29"/>
    <n v="3"/>
    <n v="39"/>
    <n v="69"/>
    <x v="0"/>
    <x v="0"/>
  </r>
  <r>
    <s v="EMP00913"/>
    <x v="68"/>
    <x v="0"/>
    <n v="48"/>
    <x v="6"/>
    <x v="0"/>
    <x v="415"/>
    <x v="0"/>
    <x v="2"/>
    <x v="2"/>
    <s v="Campus"/>
    <x v="0"/>
    <s v="Usman Tariq"/>
    <n v="119253"/>
    <n v="14433"/>
    <n v="97.9"/>
    <n v="10"/>
    <n v="17"/>
    <n v="2"/>
    <n v="3"/>
    <n v="78"/>
    <x v="0"/>
    <x v="0"/>
  </r>
  <r>
    <s v="EMP01926"/>
    <x v="94"/>
    <x v="0"/>
    <n v="54"/>
    <x v="0"/>
    <x v="3"/>
    <x v="416"/>
    <x v="0"/>
    <x v="2"/>
    <x v="4"/>
    <s v="Linkedin"/>
    <x v="0"/>
    <s v="Fatima Noor"/>
    <n v="152508"/>
    <n v="34929"/>
    <n v="87.6"/>
    <n v="5"/>
    <n v="22"/>
    <n v="4"/>
    <n v="27"/>
    <n v="69"/>
    <x v="1"/>
    <x v="0"/>
  </r>
  <r>
    <s v="EMP00719"/>
    <x v="73"/>
    <x v="1"/>
    <n v="32"/>
    <x v="4"/>
    <x v="7"/>
    <x v="417"/>
    <x v="0"/>
    <x v="2"/>
    <x v="2"/>
    <s v="Linkedin"/>
    <x v="4"/>
    <s v="Ahmed Raza"/>
    <n v="146705"/>
    <n v="40658"/>
    <n v="94"/>
    <n v="0"/>
    <n v="15"/>
    <n v="5"/>
    <n v="32"/>
    <n v="60"/>
    <x v="0"/>
    <x v="0"/>
  </r>
  <r>
    <s v="EMP00868"/>
    <x v="154"/>
    <x v="0"/>
    <n v="45"/>
    <x v="6"/>
    <x v="7"/>
    <x v="417"/>
    <x v="0"/>
    <x v="2"/>
    <x v="4"/>
    <s v="Referral"/>
    <x v="3"/>
    <s v="Ahmed Raza"/>
    <n v="107534"/>
    <n v="43431"/>
    <n v="95.3"/>
    <n v="1"/>
    <n v="4"/>
    <n v="5"/>
    <n v="29"/>
    <n v="68"/>
    <x v="0"/>
    <x v="0"/>
  </r>
  <r>
    <s v="EMP01772"/>
    <x v="159"/>
    <x v="1"/>
    <n v="28"/>
    <x v="0"/>
    <x v="4"/>
    <x v="417"/>
    <x v="0"/>
    <x v="2"/>
    <x v="3"/>
    <s v="Referral"/>
    <x v="5"/>
    <s v="Usman Tariq"/>
    <n v="152504"/>
    <n v="28558"/>
    <n v="92.6"/>
    <n v="4"/>
    <n v="10"/>
    <n v="2"/>
    <n v="3"/>
    <n v="61"/>
    <x v="0"/>
    <x v="0"/>
  </r>
  <r>
    <s v="EMP00107"/>
    <x v="8"/>
    <x v="0"/>
    <n v="58"/>
    <x v="7"/>
    <x v="3"/>
    <x v="418"/>
    <x v="0"/>
    <x v="0"/>
    <x v="0"/>
    <s v="Referral"/>
    <x v="3"/>
    <s v="Sara Ali"/>
    <n v="106917"/>
    <n v="28730"/>
    <n v="82.1"/>
    <n v="8"/>
    <n v="18"/>
    <n v="4"/>
    <n v="20"/>
    <n v="80"/>
    <x v="0"/>
    <x v="0"/>
  </r>
  <r>
    <s v="EMP00998"/>
    <x v="61"/>
    <x v="0"/>
    <n v="45"/>
    <x v="0"/>
    <x v="3"/>
    <x v="418"/>
    <x v="0"/>
    <x v="1"/>
    <x v="2"/>
    <s v="Referral"/>
    <x v="4"/>
    <s v="Ahmed Raza"/>
    <n v="219981"/>
    <n v="29786"/>
    <n v="96.2"/>
    <n v="7"/>
    <n v="10"/>
    <n v="5"/>
    <n v="33"/>
    <n v="83"/>
    <x v="0"/>
    <x v="0"/>
  </r>
  <r>
    <s v="EMP00267"/>
    <x v="35"/>
    <x v="1"/>
    <n v="21"/>
    <x v="3"/>
    <x v="4"/>
    <x v="419"/>
    <x v="1"/>
    <x v="1"/>
    <x v="3"/>
    <s v="Campus"/>
    <x v="7"/>
    <s v="Sara Ali"/>
    <n v="52995"/>
    <n v="19504"/>
    <n v="90.7"/>
    <n v="10"/>
    <n v="7"/>
    <n v="1"/>
    <n v="34"/>
    <n v="80"/>
    <x v="0"/>
    <x v="4"/>
  </r>
  <r>
    <s v="EMP00608"/>
    <x v="88"/>
    <x v="1"/>
    <n v="34"/>
    <x v="0"/>
    <x v="5"/>
    <x v="419"/>
    <x v="0"/>
    <x v="0"/>
    <x v="1"/>
    <s v="Campus"/>
    <x v="0"/>
    <s v="Ahmed Raza"/>
    <n v="102867"/>
    <n v="25677"/>
    <n v="89.9"/>
    <n v="2"/>
    <n v="15"/>
    <n v="3"/>
    <n v="19"/>
    <n v="68"/>
    <x v="1"/>
    <x v="0"/>
  </r>
  <r>
    <s v="EMP00764"/>
    <x v="125"/>
    <x v="0"/>
    <n v="27"/>
    <x v="1"/>
    <x v="7"/>
    <x v="419"/>
    <x v="0"/>
    <x v="2"/>
    <x v="1"/>
    <s v="Agency"/>
    <x v="3"/>
    <s v="Sara Ali"/>
    <n v="173314"/>
    <n v="26857"/>
    <n v="81.7"/>
    <n v="5"/>
    <n v="29"/>
    <n v="4"/>
    <n v="2"/>
    <n v="98"/>
    <x v="0"/>
    <x v="0"/>
  </r>
  <r>
    <s v="EMP00946"/>
    <x v="169"/>
    <x v="1"/>
    <n v="40"/>
    <x v="8"/>
    <x v="0"/>
    <x v="419"/>
    <x v="1"/>
    <x v="0"/>
    <x v="3"/>
    <s v="Linkedin"/>
    <x v="4"/>
    <s v="Fatima Noor"/>
    <n v="76878"/>
    <n v="7140"/>
    <n v="99.1"/>
    <n v="5"/>
    <n v="5"/>
    <n v="5"/>
    <n v="11"/>
    <n v="86"/>
    <x v="0"/>
    <x v="1"/>
  </r>
  <r>
    <s v="EMP01055"/>
    <x v="18"/>
    <x v="0"/>
    <n v="56"/>
    <x v="4"/>
    <x v="5"/>
    <x v="419"/>
    <x v="0"/>
    <x v="1"/>
    <x v="4"/>
    <s v="Campus"/>
    <x v="0"/>
    <s v="Bilal Khan"/>
    <n v="120115"/>
    <n v="5227"/>
    <n v="91.8"/>
    <n v="0"/>
    <n v="28"/>
    <n v="4"/>
    <n v="38"/>
    <n v="74"/>
    <x v="0"/>
    <x v="0"/>
  </r>
  <r>
    <s v="EMP00030"/>
    <x v="196"/>
    <x v="1"/>
    <n v="53"/>
    <x v="1"/>
    <x v="6"/>
    <x v="420"/>
    <x v="0"/>
    <x v="1"/>
    <x v="2"/>
    <s v="Agency"/>
    <x v="6"/>
    <s v="Ahmed Raza"/>
    <n v="209320"/>
    <n v="27855"/>
    <n v="92.9"/>
    <n v="2"/>
    <n v="11"/>
    <n v="5"/>
    <n v="0"/>
    <n v="99"/>
    <x v="0"/>
    <x v="0"/>
  </r>
  <r>
    <s v="EMP00248"/>
    <x v="84"/>
    <x v="1"/>
    <n v="25"/>
    <x v="7"/>
    <x v="0"/>
    <x v="420"/>
    <x v="0"/>
    <x v="0"/>
    <x v="0"/>
    <s v="Campus"/>
    <x v="5"/>
    <s v="Ahmed Raza"/>
    <n v="181327"/>
    <n v="20949"/>
    <n v="80.099999999999994"/>
    <n v="0"/>
    <n v="6"/>
    <n v="2"/>
    <n v="21"/>
    <n v="70"/>
    <x v="0"/>
    <x v="0"/>
  </r>
  <r>
    <s v="EMP01276"/>
    <x v="54"/>
    <x v="0"/>
    <n v="58"/>
    <x v="6"/>
    <x v="5"/>
    <x v="420"/>
    <x v="0"/>
    <x v="2"/>
    <x v="0"/>
    <s v="Agency"/>
    <x v="1"/>
    <s v="Ahmed Raza"/>
    <n v="65156"/>
    <n v="13670"/>
    <n v="83.3"/>
    <n v="8"/>
    <n v="18"/>
    <n v="3"/>
    <n v="7"/>
    <n v="78"/>
    <x v="0"/>
    <x v="0"/>
  </r>
  <r>
    <s v="EMP00210"/>
    <x v="41"/>
    <x v="1"/>
    <n v="44"/>
    <x v="0"/>
    <x v="4"/>
    <x v="421"/>
    <x v="0"/>
    <x v="1"/>
    <x v="4"/>
    <s v="Website"/>
    <x v="2"/>
    <s v="Fatima Noor"/>
    <n v="237950"/>
    <n v="33243"/>
    <n v="88.1"/>
    <n v="0"/>
    <n v="0"/>
    <n v="2"/>
    <n v="17"/>
    <n v="91"/>
    <x v="0"/>
    <x v="0"/>
  </r>
  <r>
    <s v="EMP00544"/>
    <x v="186"/>
    <x v="0"/>
    <n v="44"/>
    <x v="5"/>
    <x v="0"/>
    <x v="421"/>
    <x v="0"/>
    <x v="0"/>
    <x v="2"/>
    <s v="Referral"/>
    <x v="7"/>
    <s v="Usman Tariq"/>
    <n v="93306"/>
    <n v="31353"/>
    <n v="84.5"/>
    <n v="4"/>
    <n v="16"/>
    <n v="1"/>
    <n v="5"/>
    <n v="91"/>
    <x v="0"/>
    <x v="0"/>
  </r>
  <r>
    <s v="EMP01351"/>
    <x v="118"/>
    <x v="0"/>
    <n v="33"/>
    <x v="8"/>
    <x v="2"/>
    <x v="421"/>
    <x v="0"/>
    <x v="2"/>
    <x v="3"/>
    <s v="Agency"/>
    <x v="3"/>
    <s v="Usman Tariq"/>
    <n v="227934"/>
    <n v="22616"/>
    <n v="81.599999999999994"/>
    <n v="10"/>
    <n v="26"/>
    <n v="1"/>
    <n v="33"/>
    <n v="82"/>
    <x v="0"/>
    <x v="0"/>
  </r>
  <r>
    <s v="EMP01782"/>
    <x v="49"/>
    <x v="0"/>
    <n v="57"/>
    <x v="4"/>
    <x v="7"/>
    <x v="421"/>
    <x v="0"/>
    <x v="2"/>
    <x v="1"/>
    <s v="Campus"/>
    <x v="0"/>
    <s v="Usman Tariq"/>
    <n v="179344"/>
    <n v="12415"/>
    <n v="98.4"/>
    <n v="0"/>
    <n v="21"/>
    <n v="1"/>
    <n v="29"/>
    <n v="62"/>
    <x v="1"/>
    <x v="0"/>
  </r>
  <r>
    <s v="EMP01992"/>
    <x v="21"/>
    <x v="1"/>
    <n v="26"/>
    <x v="7"/>
    <x v="1"/>
    <x v="421"/>
    <x v="0"/>
    <x v="0"/>
    <x v="3"/>
    <s v="Campus"/>
    <x v="0"/>
    <s v="Fatima Noor"/>
    <n v="73175"/>
    <n v="35902"/>
    <n v="90.9"/>
    <n v="8"/>
    <n v="18"/>
    <n v="1"/>
    <n v="6"/>
    <n v="96"/>
    <x v="1"/>
    <x v="0"/>
  </r>
  <r>
    <s v="EMP01424"/>
    <x v="189"/>
    <x v="0"/>
    <n v="23"/>
    <x v="3"/>
    <x v="0"/>
    <x v="422"/>
    <x v="1"/>
    <x v="0"/>
    <x v="1"/>
    <s v="Linkedin"/>
    <x v="5"/>
    <s v="Fatima Noor"/>
    <n v="70946"/>
    <n v="10230"/>
    <n v="84.6"/>
    <n v="6"/>
    <n v="16"/>
    <n v="5"/>
    <n v="23"/>
    <n v="63"/>
    <x v="1"/>
    <x v="4"/>
  </r>
  <r>
    <s v="EMP01865"/>
    <x v="190"/>
    <x v="1"/>
    <n v="21"/>
    <x v="3"/>
    <x v="5"/>
    <x v="423"/>
    <x v="0"/>
    <x v="1"/>
    <x v="3"/>
    <s v="Referral"/>
    <x v="0"/>
    <s v="Usman Tariq"/>
    <n v="138496"/>
    <n v="27157"/>
    <n v="87.5"/>
    <n v="10"/>
    <n v="29"/>
    <n v="1"/>
    <n v="15"/>
    <n v="68"/>
    <x v="0"/>
    <x v="0"/>
  </r>
  <r>
    <s v="EMP01665"/>
    <x v="60"/>
    <x v="0"/>
    <n v="45"/>
    <x v="4"/>
    <x v="4"/>
    <x v="424"/>
    <x v="0"/>
    <x v="2"/>
    <x v="0"/>
    <s v="Website"/>
    <x v="6"/>
    <s v="Fatima Noor"/>
    <n v="212062"/>
    <n v="15455"/>
    <n v="96.9"/>
    <n v="7"/>
    <n v="17"/>
    <n v="5"/>
    <n v="18"/>
    <n v="91"/>
    <x v="1"/>
    <x v="0"/>
  </r>
  <r>
    <s v="EMP00161"/>
    <x v="129"/>
    <x v="1"/>
    <n v="60"/>
    <x v="1"/>
    <x v="4"/>
    <x v="425"/>
    <x v="1"/>
    <x v="1"/>
    <x v="2"/>
    <s v="Linkedin"/>
    <x v="7"/>
    <s v="Usman Tariq"/>
    <n v="206598"/>
    <n v="42096"/>
    <n v="87.7"/>
    <n v="2"/>
    <n v="6"/>
    <n v="2"/>
    <n v="18"/>
    <n v="72"/>
    <x v="1"/>
    <x v="2"/>
  </r>
  <r>
    <s v="EMP00247"/>
    <x v="9"/>
    <x v="0"/>
    <n v="51"/>
    <x v="2"/>
    <x v="1"/>
    <x v="425"/>
    <x v="0"/>
    <x v="1"/>
    <x v="1"/>
    <s v="Referral"/>
    <x v="3"/>
    <s v="Ahmed Raza"/>
    <n v="151559"/>
    <n v="20987"/>
    <n v="87.4"/>
    <n v="5"/>
    <n v="17"/>
    <n v="1"/>
    <n v="3"/>
    <n v="73"/>
    <x v="0"/>
    <x v="0"/>
  </r>
  <r>
    <s v="EMP01549"/>
    <x v="148"/>
    <x v="1"/>
    <n v="35"/>
    <x v="1"/>
    <x v="0"/>
    <x v="425"/>
    <x v="1"/>
    <x v="1"/>
    <x v="2"/>
    <s v="Campus"/>
    <x v="1"/>
    <s v="Fatima Noor"/>
    <n v="101148"/>
    <n v="47715"/>
    <n v="85.6"/>
    <n v="10"/>
    <n v="12"/>
    <n v="1"/>
    <n v="35"/>
    <n v="93"/>
    <x v="0"/>
    <x v="2"/>
  </r>
  <r>
    <s v="EMP00684"/>
    <x v="12"/>
    <x v="1"/>
    <n v="49"/>
    <x v="4"/>
    <x v="0"/>
    <x v="426"/>
    <x v="0"/>
    <x v="1"/>
    <x v="4"/>
    <s v="Agency"/>
    <x v="7"/>
    <s v="Usman Tariq"/>
    <n v="201893"/>
    <n v="12039"/>
    <n v="89.8"/>
    <n v="0"/>
    <n v="0"/>
    <n v="3"/>
    <n v="20"/>
    <n v="70"/>
    <x v="0"/>
    <x v="0"/>
  </r>
  <r>
    <s v="EMP00999"/>
    <x v="137"/>
    <x v="0"/>
    <n v="54"/>
    <x v="6"/>
    <x v="4"/>
    <x v="426"/>
    <x v="0"/>
    <x v="0"/>
    <x v="4"/>
    <s v="Agency"/>
    <x v="2"/>
    <s v="Fatima Noor"/>
    <n v="131582"/>
    <n v="43256"/>
    <n v="85.7"/>
    <n v="0"/>
    <n v="17"/>
    <n v="1"/>
    <n v="34"/>
    <n v="88"/>
    <x v="0"/>
    <x v="0"/>
  </r>
  <r>
    <s v="EMP00293"/>
    <x v="6"/>
    <x v="0"/>
    <n v="34"/>
    <x v="8"/>
    <x v="7"/>
    <x v="427"/>
    <x v="0"/>
    <x v="2"/>
    <x v="3"/>
    <s v="Linkedin"/>
    <x v="5"/>
    <s v="Sara Ali"/>
    <n v="89943"/>
    <n v="49910"/>
    <n v="85"/>
    <n v="4"/>
    <n v="28"/>
    <n v="4"/>
    <n v="0"/>
    <n v="77"/>
    <x v="0"/>
    <x v="0"/>
  </r>
  <r>
    <s v="EMP00339"/>
    <x v="83"/>
    <x v="0"/>
    <n v="21"/>
    <x v="5"/>
    <x v="4"/>
    <x v="427"/>
    <x v="0"/>
    <x v="0"/>
    <x v="2"/>
    <s v="Website"/>
    <x v="1"/>
    <s v="Ahmed Raza"/>
    <n v="121544"/>
    <n v="27096"/>
    <n v="94.9"/>
    <n v="8"/>
    <n v="28"/>
    <n v="2"/>
    <n v="37"/>
    <n v="72"/>
    <x v="0"/>
    <x v="0"/>
  </r>
  <r>
    <s v="EMP01934"/>
    <x v="9"/>
    <x v="0"/>
    <n v="46"/>
    <x v="2"/>
    <x v="3"/>
    <x v="427"/>
    <x v="0"/>
    <x v="0"/>
    <x v="2"/>
    <s v="Website"/>
    <x v="0"/>
    <s v="Sara Ali"/>
    <n v="51620"/>
    <n v="19867"/>
    <n v="97.1"/>
    <n v="9"/>
    <n v="16"/>
    <n v="1"/>
    <n v="25"/>
    <n v="90"/>
    <x v="0"/>
    <x v="0"/>
  </r>
  <r>
    <s v="EMP00762"/>
    <x v="6"/>
    <x v="0"/>
    <n v="29"/>
    <x v="8"/>
    <x v="1"/>
    <x v="428"/>
    <x v="0"/>
    <x v="2"/>
    <x v="3"/>
    <s v="Campus"/>
    <x v="7"/>
    <s v="Sara Ali"/>
    <n v="41264"/>
    <n v="37288"/>
    <n v="98.8"/>
    <n v="8"/>
    <n v="9"/>
    <n v="5"/>
    <n v="30"/>
    <n v="97"/>
    <x v="0"/>
    <x v="0"/>
  </r>
  <r>
    <s v="EMP00974"/>
    <x v="196"/>
    <x v="0"/>
    <n v="50"/>
    <x v="5"/>
    <x v="7"/>
    <x v="428"/>
    <x v="0"/>
    <x v="0"/>
    <x v="2"/>
    <s v="Agency"/>
    <x v="6"/>
    <s v="Fatima Noor"/>
    <n v="106325"/>
    <n v="34571"/>
    <n v="85.4"/>
    <n v="6"/>
    <n v="7"/>
    <n v="2"/>
    <n v="24"/>
    <n v="85"/>
    <x v="1"/>
    <x v="0"/>
  </r>
  <r>
    <s v="EMP01067"/>
    <x v="166"/>
    <x v="1"/>
    <n v="30"/>
    <x v="8"/>
    <x v="1"/>
    <x v="429"/>
    <x v="0"/>
    <x v="0"/>
    <x v="3"/>
    <s v="Website"/>
    <x v="6"/>
    <s v="Usman Tariq"/>
    <n v="194106"/>
    <n v="42079"/>
    <n v="93.6"/>
    <n v="7"/>
    <n v="16"/>
    <n v="2"/>
    <n v="4"/>
    <n v="64"/>
    <x v="0"/>
    <x v="0"/>
  </r>
  <r>
    <s v="EMP01249"/>
    <x v="94"/>
    <x v="0"/>
    <n v="59"/>
    <x v="7"/>
    <x v="4"/>
    <x v="429"/>
    <x v="0"/>
    <x v="0"/>
    <x v="1"/>
    <s v="Website"/>
    <x v="3"/>
    <s v="Ahmed Raza"/>
    <n v="207770"/>
    <n v="16488"/>
    <n v="99.3"/>
    <n v="9"/>
    <n v="6"/>
    <n v="1"/>
    <n v="12"/>
    <n v="67"/>
    <x v="0"/>
    <x v="0"/>
  </r>
  <r>
    <s v="EMP01386"/>
    <x v="100"/>
    <x v="0"/>
    <n v="26"/>
    <x v="6"/>
    <x v="2"/>
    <x v="429"/>
    <x v="0"/>
    <x v="1"/>
    <x v="0"/>
    <s v="Website"/>
    <x v="5"/>
    <s v="Bilal Khan"/>
    <n v="164246"/>
    <n v="29586"/>
    <n v="91.7"/>
    <n v="7"/>
    <n v="9"/>
    <n v="1"/>
    <n v="27"/>
    <n v="84"/>
    <x v="0"/>
    <x v="0"/>
  </r>
  <r>
    <s v="EMP01584"/>
    <x v="150"/>
    <x v="0"/>
    <n v="26"/>
    <x v="7"/>
    <x v="5"/>
    <x v="429"/>
    <x v="0"/>
    <x v="2"/>
    <x v="0"/>
    <s v="Agency"/>
    <x v="2"/>
    <s v="Usman Tariq"/>
    <n v="214813"/>
    <n v="13562"/>
    <n v="81.400000000000006"/>
    <n v="7"/>
    <n v="5"/>
    <n v="3"/>
    <n v="23"/>
    <n v="85"/>
    <x v="1"/>
    <x v="0"/>
  </r>
  <r>
    <s v="EMP01267"/>
    <x v="91"/>
    <x v="0"/>
    <n v="22"/>
    <x v="4"/>
    <x v="6"/>
    <x v="430"/>
    <x v="1"/>
    <x v="0"/>
    <x v="0"/>
    <s v="Linkedin"/>
    <x v="1"/>
    <s v="Ahmed Raza"/>
    <n v="235199"/>
    <n v="47407"/>
    <n v="84"/>
    <n v="5"/>
    <n v="6"/>
    <n v="3"/>
    <n v="28"/>
    <n v="78"/>
    <x v="1"/>
    <x v="3"/>
  </r>
  <r>
    <s v="EMP01967"/>
    <x v="23"/>
    <x v="1"/>
    <n v="27"/>
    <x v="3"/>
    <x v="5"/>
    <x v="430"/>
    <x v="0"/>
    <x v="1"/>
    <x v="1"/>
    <s v="Agency"/>
    <x v="2"/>
    <s v="Ahmed Raza"/>
    <n v="137839"/>
    <n v="45119"/>
    <n v="96.9"/>
    <n v="5"/>
    <n v="14"/>
    <n v="5"/>
    <n v="6"/>
    <n v="95"/>
    <x v="0"/>
    <x v="0"/>
  </r>
  <r>
    <s v="EMP01972"/>
    <x v="20"/>
    <x v="0"/>
    <n v="28"/>
    <x v="8"/>
    <x v="7"/>
    <x v="430"/>
    <x v="0"/>
    <x v="2"/>
    <x v="2"/>
    <s v="Campus"/>
    <x v="7"/>
    <s v="Fatima Noor"/>
    <n v="206906"/>
    <n v="36145"/>
    <n v="89.1"/>
    <n v="3"/>
    <n v="9"/>
    <n v="5"/>
    <n v="14"/>
    <n v="91"/>
    <x v="0"/>
    <x v="0"/>
  </r>
  <r>
    <s v="EMP00985"/>
    <x v="184"/>
    <x v="0"/>
    <n v="52"/>
    <x v="2"/>
    <x v="5"/>
    <x v="431"/>
    <x v="0"/>
    <x v="2"/>
    <x v="1"/>
    <s v="Referral"/>
    <x v="3"/>
    <s v="Fatima Noor"/>
    <n v="88946"/>
    <n v="34705"/>
    <n v="89.2"/>
    <n v="7"/>
    <n v="16"/>
    <n v="4"/>
    <n v="25"/>
    <n v="77"/>
    <x v="0"/>
    <x v="0"/>
  </r>
  <r>
    <s v="EMP01686"/>
    <x v="1"/>
    <x v="1"/>
    <n v="50"/>
    <x v="7"/>
    <x v="2"/>
    <x v="431"/>
    <x v="0"/>
    <x v="1"/>
    <x v="3"/>
    <s v="Referral"/>
    <x v="7"/>
    <s v="Fatima Noor"/>
    <n v="56323"/>
    <n v="29077"/>
    <n v="82"/>
    <n v="1"/>
    <n v="23"/>
    <n v="4"/>
    <n v="35"/>
    <n v="93"/>
    <x v="0"/>
    <x v="0"/>
  </r>
  <r>
    <s v="EMP01828"/>
    <x v="154"/>
    <x v="0"/>
    <n v="28"/>
    <x v="1"/>
    <x v="3"/>
    <x v="431"/>
    <x v="0"/>
    <x v="0"/>
    <x v="4"/>
    <s v="Agency"/>
    <x v="3"/>
    <s v="Fatima Noor"/>
    <n v="233526"/>
    <n v="49890"/>
    <n v="97.7"/>
    <n v="0"/>
    <n v="25"/>
    <n v="5"/>
    <n v="40"/>
    <n v="79"/>
    <x v="0"/>
    <x v="0"/>
  </r>
  <r>
    <s v="EMP01840"/>
    <x v="68"/>
    <x v="1"/>
    <n v="59"/>
    <x v="8"/>
    <x v="0"/>
    <x v="431"/>
    <x v="0"/>
    <x v="1"/>
    <x v="0"/>
    <s v="Website"/>
    <x v="7"/>
    <s v="Ahmed Raza"/>
    <n v="212118"/>
    <n v="16019"/>
    <n v="90.6"/>
    <n v="7"/>
    <n v="25"/>
    <n v="4"/>
    <n v="1"/>
    <n v="71"/>
    <x v="0"/>
    <x v="0"/>
  </r>
  <r>
    <s v="EMP00017"/>
    <x v="113"/>
    <x v="1"/>
    <n v="54"/>
    <x v="3"/>
    <x v="3"/>
    <x v="432"/>
    <x v="0"/>
    <x v="0"/>
    <x v="1"/>
    <s v="Agency"/>
    <x v="4"/>
    <s v="Usman Tariq"/>
    <n v="201041"/>
    <n v="41042"/>
    <n v="80"/>
    <n v="1"/>
    <n v="30"/>
    <n v="5"/>
    <n v="11"/>
    <n v="100"/>
    <x v="0"/>
    <x v="0"/>
  </r>
  <r>
    <s v="EMP00165"/>
    <x v="91"/>
    <x v="1"/>
    <n v="51"/>
    <x v="6"/>
    <x v="2"/>
    <x v="432"/>
    <x v="0"/>
    <x v="1"/>
    <x v="3"/>
    <s v="Linkedin"/>
    <x v="4"/>
    <s v="Bilal Khan"/>
    <n v="47837"/>
    <n v="8558"/>
    <n v="98.1"/>
    <n v="7"/>
    <n v="0"/>
    <n v="2"/>
    <n v="32"/>
    <n v="90"/>
    <x v="1"/>
    <x v="0"/>
  </r>
  <r>
    <s v="EMP00195"/>
    <x v="21"/>
    <x v="0"/>
    <n v="51"/>
    <x v="4"/>
    <x v="6"/>
    <x v="432"/>
    <x v="0"/>
    <x v="2"/>
    <x v="4"/>
    <s v="Website"/>
    <x v="5"/>
    <s v="Sara Ali"/>
    <n v="165890"/>
    <n v="18176"/>
    <n v="83.3"/>
    <n v="7"/>
    <n v="11"/>
    <n v="5"/>
    <n v="39"/>
    <n v="83"/>
    <x v="0"/>
    <x v="0"/>
  </r>
  <r>
    <s v="EMP01602"/>
    <x v="178"/>
    <x v="0"/>
    <n v="57"/>
    <x v="0"/>
    <x v="4"/>
    <x v="432"/>
    <x v="0"/>
    <x v="1"/>
    <x v="1"/>
    <s v="Website"/>
    <x v="1"/>
    <s v="Ahmed Raza"/>
    <n v="237460"/>
    <n v="33154"/>
    <n v="84.6"/>
    <n v="2"/>
    <n v="8"/>
    <n v="5"/>
    <n v="27"/>
    <n v="94"/>
    <x v="0"/>
    <x v="0"/>
  </r>
  <r>
    <s v="EMP01805"/>
    <x v="69"/>
    <x v="0"/>
    <n v="49"/>
    <x v="4"/>
    <x v="1"/>
    <x v="432"/>
    <x v="0"/>
    <x v="1"/>
    <x v="4"/>
    <s v="Campus"/>
    <x v="0"/>
    <s v="Sara Ali"/>
    <n v="245801"/>
    <n v="14271"/>
    <n v="80.2"/>
    <n v="4"/>
    <n v="29"/>
    <n v="2"/>
    <n v="16"/>
    <n v="86"/>
    <x v="0"/>
    <x v="0"/>
  </r>
  <r>
    <s v="EMP01138"/>
    <x v="142"/>
    <x v="1"/>
    <n v="30"/>
    <x v="0"/>
    <x v="3"/>
    <x v="433"/>
    <x v="0"/>
    <x v="0"/>
    <x v="2"/>
    <s v="Linkedin"/>
    <x v="1"/>
    <s v="Fatima Noor"/>
    <n v="114818"/>
    <n v="18231"/>
    <n v="95.7"/>
    <n v="8"/>
    <n v="3"/>
    <n v="5"/>
    <n v="16"/>
    <n v="91"/>
    <x v="0"/>
    <x v="0"/>
  </r>
  <r>
    <s v="EMP00042"/>
    <x v="119"/>
    <x v="0"/>
    <n v="48"/>
    <x v="1"/>
    <x v="2"/>
    <x v="434"/>
    <x v="0"/>
    <x v="1"/>
    <x v="0"/>
    <s v="Agency"/>
    <x v="5"/>
    <s v="Usman Tariq"/>
    <n v="190023"/>
    <n v="14821"/>
    <n v="89.1"/>
    <n v="3"/>
    <n v="0"/>
    <n v="5"/>
    <n v="31"/>
    <n v="72"/>
    <x v="0"/>
    <x v="0"/>
  </r>
  <r>
    <s v="EMP00761"/>
    <x v="144"/>
    <x v="0"/>
    <n v="26"/>
    <x v="3"/>
    <x v="1"/>
    <x v="434"/>
    <x v="0"/>
    <x v="2"/>
    <x v="4"/>
    <s v="Referral"/>
    <x v="1"/>
    <s v="Bilal Khan"/>
    <n v="217041"/>
    <n v="39195"/>
    <n v="96.3"/>
    <n v="5"/>
    <n v="11"/>
    <n v="2"/>
    <n v="6"/>
    <n v="86"/>
    <x v="0"/>
    <x v="0"/>
  </r>
  <r>
    <s v="EMP00844"/>
    <x v="185"/>
    <x v="0"/>
    <n v="35"/>
    <x v="5"/>
    <x v="4"/>
    <x v="434"/>
    <x v="0"/>
    <x v="0"/>
    <x v="3"/>
    <s v="Campus"/>
    <x v="4"/>
    <s v="Sara Ali"/>
    <n v="231055"/>
    <n v="37768"/>
    <n v="96.1"/>
    <n v="8"/>
    <n v="26"/>
    <n v="5"/>
    <n v="39"/>
    <n v="78"/>
    <x v="0"/>
    <x v="0"/>
  </r>
  <r>
    <s v="EMP01020"/>
    <x v="117"/>
    <x v="0"/>
    <n v="34"/>
    <x v="8"/>
    <x v="5"/>
    <x v="434"/>
    <x v="0"/>
    <x v="2"/>
    <x v="1"/>
    <s v="Website"/>
    <x v="4"/>
    <s v="Sara Ali"/>
    <n v="160959"/>
    <n v="13156"/>
    <n v="91.7"/>
    <n v="5"/>
    <n v="27"/>
    <n v="5"/>
    <n v="34"/>
    <n v="73"/>
    <x v="0"/>
    <x v="0"/>
  </r>
  <r>
    <s v="EMP00433"/>
    <x v="76"/>
    <x v="1"/>
    <n v="25"/>
    <x v="1"/>
    <x v="7"/>
    <x v="435"/>
    <x v="0"/>
    <x v="0"/>
    <x v="4"/>
    <s v="Campus"/>
    <x v="4"/>
    <s v="Sara Ali"/>
    <n v="47870"/>
    <n v="9961"/>
    <n v="97.1"/>
    <n v="5"/>
    <n v="9"/>
    <n v="4"/>
    <n v="2"/>
    <n v="91"/>
    <x v="0"/>
    <x v="0"/>
  </r>
  <r>
    <s v="EMP00097"/>
    <x v="35"/>
    <x v="0"/>
    <n v="57"/>
    <x v="3"/>
    <x v="4"/>
    <x v="436"/>
    <x v="0"/>
    <x v="2"/>
    <x v="1"/>
    <s v="Referral"/>
    <x v="5"/>
    <s v="Bilal Khan"/>
    <n v="83173"/>
    <n v="6027"/>
    <n v="97.1"/>
    <n v="4"/>
    <n v="14"/>
    <n v="2"/>
    <n v="16"/>
    <n v="61"/>
    <x v="0"/>
    <x v="0"/>
  </r>
  <r>
    <s v="EMP00727"/>
    <x v="161"/>
    <x v="1"/>
    <n v="51"/>
    <x v="6"/>
    <x v="6"/>
    <x v="436"/>
    <x v="0"/>
    <x v="2"/>
    <x v="0"/>
    <s v="Website"/>
    <x v="3"/>
    <s v="Ahmed Raza"/>
    <n v="35662"/>
    <n v="26909"/>
    <n v="85.7"/>
    <n v="2"/>
    <n v="23"/>
    <n v="2"/>
    <n v="3"/>
    <n v="93"/>
    <x v="0"/>
    <x v="0"/>
  </r>
  <r>
    <s v="EMP01882"/>
    <x v="140"/>
    <x v="0"/>
    <n v="26"/>
    <x v="2"/>
    <x v="7"/>
    <x v="436"/>
    <x v="0"/>
    <x v="2"/>
    <x v="4"/>
    <s v="Campus"/>
    <x v="1"/>
    <s v="Usman Tariq"/>
    <n v="243172"/>
    <n v="36060"/>
    <n v="80.099999999999994"/>
    <n v="9"/>
    <n v="8"/>
    <n v="1"/>
    <n v="31"/>
    <n v="72"/>
    <x v="0"/>
    <x v="0"/>
  </r>
  <r>
    <s v="EMP00453"/>
    <x v="124"/>
    <x v="0"/>
    <n v="23"/>
    <x v="7"/>
    <x v="7"/>
    <x v="437"/>
    <x v="0"/>
    <x v="2"/>
    <x v="3"/>
    <s v="Referral"/>
    <x v="1"/>
    <s v="Usman Tariq"/>
    <n v="39978"/>
    <n v="43114"/>
    <n v="88.7"/>
    <n v="6"/>
    <n v="2"/>
    <n v="2"/>
    <n v="2"/>
    <n v="82"/>
    <x v="0"/>
    <x v="0"/>
  </r>
  <r>
    <s v="EMP00664"/>
    <x v="143"/>
    <x v="0"/>
    <n v="54"/>
    <x v="3"/>
    <x v="2"/>
    <x v="437"/>
    <x v="0"/>
    <x v="1"/>
    <x v="2"/>
    <s v="Linkedin"/>
    <x v="0"/>
    <s v="Bilal Khan"/>
    <n v="187740"/>
    <n v="43818"/>
    <n v="94.1"/>
    <n v="2"/>
    <n v="15"/>
    <n v="4"/>
    <n v="39"/>
    <n v="78"/>
    <x v="0"/>
    <x v="0"/>
  </r>
  <r>
    <s v="EMP00788"/>
    <x v="162"/>
    <x v="1"/>
    <n v="27"/>
    <x v="8"/>
    <x v="7"/>
    <x v="437"/>
    <x v="0"/>
    <x v="2"/>
    <x v="4"/>
    <s v="Website"/>
    <x v="3"/>
    <s v="Bilal Khan"/>
    <n v="184612"/>
    <n v="6095"/>
    <n v="92.3"/>
    <n v="7"/>
    <n v="7"/>
    <n v="2"/>
    <n v="39"/>
    <n v="98"/>
    <x v="0"/>
    <x v="0"/>
  </r>
  <r>
    <s v="EMP00853"/>
    <x v="171"/>
    <x v="0"/>
    <n v="32"/>
    <x v="0"/>
    <x v="4"/>
    <x v="437"/>
    <x v="1"/>
    <x v="0"/>
    <x v="4"/>
    <s v="Linkedin"/>
    <x v="4"/>
    <s v="Ahmed Raza"/>
    <n v="128160"/>
    <n v="47353"/>
    <n v="82.6"/>
    <n v="8"/>
    <n v="6"/>
    <n v="4"/>
    <n v="28"/>
    <n v="79"/>
    <x v="0"/>
    <x v="4"/>
  </r>
  <r>
    <s v="EMP01366"/>
    <x v="146"/>
    <x v="0"/>
    <n v="25"/>
    <x v="3"/>
    <x v="1"/>
    <x v="437"/>
    <x v="0"/>
    <x v="2"/>
    <x v="4"/>
    <s v="Website"/>
    <x v="2"/>
    <s v="Sara Ali"/>
    <n v="166440"/>
    <n v="5136"/>
    <n v="90.6"/>
    <n v="1"/>
    <n v="20"/>
    <n v="4"/>
    <n v="12"/>
    <n v="73"/>
    <x v="0"/>
    <x v="0"/>
  </r>
  <r>
    <s v="EMP01534"/>
    <x v="66"/>
    <x v="0"/>
    <n v="24"/>
    <x v="7"/>
    <x v="1"/>
    <x v="437"/>
    <x v="0"/>
    <x v="2"/>
    <x v="2"/>
    <s v="Referral"/>
    <x v="1"/>
    <s v="Fatima Noor"/>
    <n v="84981"/>
    <n v="45243"/>
    <n v="90.8"/>
    <n v="7"/>
    <n v="10"/>
    <n v="3"/>
    <n v="4"/>
    <n v="72"/>
    <x v="0"/>
    <x v="0"/>
  </r>
  <r>
    <s v="EMP00018"/>
    <x v="94"/>
    <x v="1"/>
    <n v="25"/>
    <x v="7"/>
    <x v="1"/>
    <x v="438"/>
    <x v="0"/>
    <x v="2"/>
    <x v="3"/>
    <s v="Linkedin"/>
    <x v="0"/>
    <s v="Ahmed Raza"/>
    <n v="105877"/>
    <n v="29400"/>
    <n v="95"/>
    <n v="10"/>
    <n v="25"/>
    <n v="5"/>
    <n v="8"/>
    <n v="89"/>
    <x v="0"/>
    <x v="0"/>
  </r>
  <r>
    <s v="EMP00429"/>
    <x v="100"/>
    <x v="1"/>
    <n v="25"/>
    <x v="0"/>
    <x v="7"/>
    <x v="438"/>
    <x v="0"/>
    <x v="0"/>
    <x v="1"/>
    <s v="Agency"/>
    <x v="5"/>
    <s v="Sara Ali"/>
    <n v="243309"/>
    <n v="28938"/>
    <n v="95.6"/>
    <n v="1"/>
    <n v="5"/>
    <n v="2"/>
    <n v="6"/>
    <n v="67"/>
    <x v="0"/>
    <x v="0"/>
  </r>
  <r>
    <s v="EMP00810"/>
    <x v="17"/>
    <x v="1"/>
    <n v="23"/>
    <x v="6"/>
    <x v="0"/>
    <x v="438"/>
    <x v="0"/>
    <x v="2"/>
    <x v="0"/>
    <s v="Agency"/>
    <x v="7"/>
    <s v="Sara Ali"/>
    <n v="170134"/>
    <n v="25604"/>
    <n v="80"/>
    <n v="2"/>
    <n v="26"/>
    <n v="5"/>
    <n v="26"/>
    <n v="90"/>
    <x v="1"/>
    <x v="0"/>
  </r>
  <r>
    <s v="EMP01471"/>
    <x v="136"/>
    <x v="1"/>
    <n v="21"/>
    <x v="4"/>
    <x v="0"/>
    <x v="438"/>
    <x v="0"/>
    <x v="2"/>
    <x v="4"/>
    <s v="Campus"/>
    <x v="2"/>
    <s v="Usman Tariq"/>
    <n v="93166"/>
    <n v="6384"/>
    <n v="89.2"/>
    <n v="7"/>
    <n v="18"/>
    <n v="5"/>
    <n v="17"/>
    <n v="70"/>
    <x v="0"/>
    <x v="0"/>
  </r>
  <r>
    <s v="EMP01483"/>
    <x v="158"/>
    <x v="1"/>
    <n v="22"/>
    <x v="1"/>
    <x v="5"/>
    <x v="438"/>
    <x v="1"/>
    <x v="0"/>
    <x v="3"/>
    <s v="Referral"/>
    <x v="3"/>
    <s v="Bilal Khan"/>
    <n v="81367"/>
    <n v="40288"/>
    <n v="99.2"/>
    <n v="9"/>
    <n v="28"/>
    <n v="4"/>
    <n v="6"/>
    <n v="78"/>
    <x v="0"/>
    <x v="1"/>
  </r>
  <r>
    <s v="EMP01390"/>
    <x v="97"/>
    <x v="1"/>
    <n v="43"/>
    <x v="1"/>
    <x v="0"/>
    <x v="439"/>
    <x v="0"/>
    <x v="2"/>
    <x v="0"/>
    <s v="Linkedin"/>
    <x v="1"/>
    <s v="Bilal Khan"/>
    <n v="52710"/>
    <n v="46931"/>
    <n v="96"/>
    <n v="8"/>
    <n v="12"/>
    <n v="5"/>
    <n v="17"/>
    <n v="77"/>
    <x v="0"/>
    <x v="0"/>
  </r>
  <r>
    <s v="EMP00104"/>
    <x v="118"/>
    <x v="0"/>
    <n v="21"/>
    <x v="0"/>
    <x v="0"/>
    <x v="440"/>
    <x v="0"/>
    <x v="2"/>
    <x v="3"/>
    <s v="Website"/>
    <x v="6"/>
    <s v="Ahmed Raza"/>
    <n v="241748"/>
    <n v="24515"/>
    <n v="82"/>
    <n v="8"/>
    <n v="20"/>
    <n v="1"/>
    <n v="34"/>
    <n v="60"/>
    <x v="0"/>
    <x v="0"/>
  </r>
  <r>
    <s v="EMP00402"/>
    <x v="78"/>
    <x v="0"/>
    <n v="48"/>
    <x v="2"/>
    <x v="1"/>
    <x v="440"/>
    <x v="0"/>
    <x v="1"/>
    <x v="0"/>
    <s v="Campus"/>
    <x v="4"/>
    <s v="Bilal Khan"/>
    <n v="210972"/>
    <n v="35604"/>
    <n v="85.5"/>
    <n v="2"/>
    <n v="0"/>
    <n v="5"/>
    <n v="27"/>
    <n v="77"/>
    <x v="0"/>
    <x v="0"/>
  </r>
  <r>
    <s v="EMP01241"/>
    <x v="125"/>
    <x v="1"/>
    <n v="21"/>
    <x v="2"/>
    <x v="1"/>
    <x v="440"/>
    <x v="0"/>
    <x v="0"/>
    <x v="0"/>
    <s v="Referral"/>
    <x v="3"/>
    <s v="Fatima Noor"/>
    <n v="149110"/>
    <n v="43474"/>
    <n v="97.1"/>
    <n v="10"/>
    <n v="11"/>
    <n v="4"/>
    <n v="18"/>
    <n v="85"/>
    <x v="0"/>
    <x v="0"/>
  </r>
  <r>
    <s v="EMP00558"/>
    <x v="161"/>
    <x v="0"/>
    <n v="48"/>
    <x v="2"/>
    <x v="7"/>
    <x v="441"/>
    <x v="0"/>
    <x v="0"/>
    <x v="1"/>
    <s v="Campus"/>
    <x v="7"/>
    <s v="Fatima Noor"/>
    <n v="196445"/>
    <n v="24688"/>
    <n v="88.8"/>
    <n v="3"/>
    <n v="30"/>
    <n v="3"/>
    <n v="28"/>
    <n v="79"/>
    <x v="0"/>
    <x v="0"/>
  </r>
  <r>
    <s v="EMP01023"/>
    <x v="73"/>
    <x v="0"/>
    <n v="48"/>
    <x v="4"/>
    <x v="2"/>
    <x v="441"/>
    <x v="1"/>
    <x v="0"/>
    <x v="1"/>
    <s v="Referral"/>
    <x v="7"/>
    <s v="Fatima Noor"/>
    <n v="63681"/>
    <n v="44274"/>
    <n v="94.7"/>
    <n v="5"/>
    <n v="0"/>
    <n v="1"/>
    <n v="15"/>
    <n v="68"/>
    <x v="0"/>
    <x v="5"/>
  </r>
  <r>
    <s v="EMP01727"/>
    <x v="66"/>
    <x v="0"/>
    <n v="36"/>
    <x v="5"/>
    <x v="6"/>
    <x v="441"/>
    <x v="0"/>
    <x v="0"/>
    <x v="4"/>
    <s v="Campus"/>
    <x v="5"/>
    <s v="Usman Tariq"/>
    <n v="89878"/>
    <n v="11940"/>
    <n v="97.5"/>
    <n v="0"/>
    <n v="10"/>
    <n v="5"/>
    <n v="32"/>
    <n v="80"/>
    <x v="0"/>
    <x v="0"/>
  </r>
  <r>
    <s v="EMP00676"/>
    <x v="183"/>
    <x v="0"/>
    <n v="21"/>
    <x v="8"/>
    <x v="5"/>
    <x v="442"/>
    <x v="0"/>
    <x v="2"/>
    <x v="3"/>
    <s v="Campus"/>
    <x v="0"/>
    <s v="Bilal Khan"/>
    <n v="59924"/>
    <n v="14433"/>
    <n v="88.4"/>
    <n v="4"/>
    <n v="1"/>
    <n v="4"/>
    <n v="23"/>
    <n v="82"/>
    <x v="0"/>
    <x v="0"/>
  </r>
  <r>
    <s v="EMP01029"/>
    <x v="64"/>
    <x v="1"/>
    <n v="57"/>
    <x v="2"/>
    <x v="4"/>
    <x v="443"/>
    <x v="0"/>
    <x v="0"/>
    <x v="0"/>
    <s v="Campus"/>
    <x v="0"/>
    <s v="Bilal Khan"/>
    <n v="190916"/>
    <n v="34523"/>
    <n v="91"/>
    <n v="10"/>
    <n v="22"/>
    <n v="2"/>
    <n v="23"/>
    <n v="94"/>
    <x v="0"/>
    <x v="0"/>
  </r>
  <r>
    <s v="EMP01047"/>
    <x v="1"/>
    <x v="1"/>
    <n v="24"/>
    <x v="2"/>
    <x v="1"/>
    <x v="443"/>
    <x v="0"/>
    <x v="2"/>
    <x v="2"/>
    <s v="Campus"/>
    <x v="7"/>
    <s v="Usman Tariq"/>
    <n v="48999"/>
    <n v="15210"/>
    <n v="98"/>
    <n v="7"/>
    <n v="5"/>
    <n v="2"/>
    <n v="33"/>
    <n v="67"/>
    <x v="0"/>
    <x v="0"/>
  </r>
  <r>
    <s v="EMP01275"/>
    <x v="26"/>
    <x v="1"/>
    <n v="60"/>
    <x v="2"/>
    <x v="5"/>
    <x v="443"/>
    <x v="0"/>
    <x v="1"/>
    <x v="1"/>
    <s v="Linkedin"/>
    <x v="1"/>
    <s v="Bilal Khan"/>
    <n v="36266"/>
    <n v="5837"/>
    <n v="86.9"/>
    <n v="3"/>
    <n v="18"/>
    <n v="2"/>
    <n v="11"/>
    <n v="80"/>
    <x v="0"/>
    <x v="0"/>
  </r>
  <r>
    <s v="EMP00416"/>
    <x v="73"/>
    <x v="1"/>
    <n v="58"/>
    <x v="6"/>
    <x v="2"/>
    <x v="444"/>
    <x v="0"/>
    <x v="0"/>
    <x v="2"/>
    <s v="Agency"/>
    <x v="1"/>
    <s v="Fatima Noor"/>
    <n v="76387"/>
    <n v="16448"/>
    <n v="85.5"/>
    <n v="5"/>
    <n v="1"/>
    <n v="5"/>
    <n v="1"/>
    <n v="95"/>
    <x v="0"/>
    <x v="0"/>
  </r>
  <r>
    <s v="EMP00964"/>
    <x v="32"/>
    <x v="1"/>
    <n v="53"/>
    <x v="5"/>
    <x v="2"/>
    <x v="444"/>
    <x v="0"/>
    <x v="0"/>
    <x v="0"/>
    <s v="Website"/>
    <x v="5"/>
    <s v="Ahmed Raza"/>
    <n v="194428"/>
    <n v="33533"/>
    <n v="80.7"/>
    <n v="10"/>
    <n v="27"/>
    <n v="4"/>
    <n v="21"/>
    <n v="64"/>
    <x v="0"/>
    <x v="0"/>
  </r>
  <r>
    <s v="EMP01279"/>
    <x v="8"/>
    <x v="1"/>
    <n v="52"/>
    <x v="8"/>
    <x v="1"/>
    <x v="444"/>
    <x v="1"/>
    <x v="2"/>
    <x v="1"/>
    <s v="Agency"/>
    <x v="6"/>
    <s v="Sara Ali"/>
    <n v="178630"/>
    <n v="9642"/>
    <n v="89.8"/>
    <n v="9"/>
    <n v="14"/>
    <n v="2"/>
    <n v="14"/>
    <n v="64"/>
    <x v="0"/>
    <x v="3"/>
  </r>
  <r>
    <s v="EMP01957"/>
    <x v="192"/>
    <x v="1"/>
    <n v="40"/>
    <x v="2"/>
    <x v="2"/>
    <x v="444"/>
    <x v="1"/>
    <x v="1"/>
    <x v="2"/>
    <s v="Agency"/>
    <x v="0"/>
    <s v="Usman Tariq"/>
    <n v="68458"/>
    <n v="32646"/>
    <n v="94.7"/>
    <n v="6"/>
    <n v="14"/>
    <n v="3"/>
    <n v="19"/>
    <n v="70"/>
    <x v="1"/>
    <x v="4"/>
  </r>
  <r>
    <s v="EMP00736"/>
    <x v="94"/>
    <x v="1"/>
    <n v="22"/>
    <x v="2"/>
    <x v="0"/>
    <x v="445"/>
    <x v="0"/>
    <x v="0"/>
    <x v="4"/>
    <s v="Campus"/>
    <x v="6"/>
    <s v="Usman Tariq"/>
    <n v="105556"/>
    <n v="20988"/>
    <n v="94.6"/>
    <n v="3"/>
    <n v="14"/>
    <n v="3"/>
    <n v="16"/>
    <n v="72"/>
    <x v="0"/>
    <x v="0"/>
  </r>
  <r>
    <s v="EMP01083"/>
    <x v="49"/>
    <x v="0"/>
    <n v="29"/>
    <x v="4"/>
    <x v="5"/>
    <x v="445"/>
    <x v="1"/>
    <x v="2"/>
    <x v="3"/>
    <s v="Campus"/>
    <x v="7"/>
    <s v="Sara Ali"/>
    <n v="180457"/>
    <n v="13383"/>
    <n v="87.6"/>
    <n v="8"/>
    <n v="21"/>
    <n v="2"/>
    <n v="21"/>
    <n v="68"/>
    <x v="1"/>
    <x v="3"/>
  </r>
  <r>
    <s v="EMP01813"/>
    <x v="49"/>
    <x v="1"/>
    <n v="44"/>
    <x v="2"/>
    <x v="2"/>
    <x v="445"/>
    <x v="0"/>
    <x v="1"/>
    <x v="1"/>
    <s v="Linkedin"/>
    <x v="6"/>
    <s v="Sara Ali"/>
    <n v="79623"/>
    <n v="30855"/>
    <n v="96.7"/>
    <n v="1"/>
    <n v="12"/>
    <n v="3"/>
    <n v="16"/>
    <n v="87"/>
    <x v="0"/>
    <x v="0"/>
  </r>
  <r>
    <s v="EMP00223"/>
    <x v="198"/>
    <x v="0"/>
    <n v="45"/>
    <x v="4"/>
    <x v="1"/>
    <x v="446"/>
    <x v="0"/>
    <x v="0"/>
    <x v="0"/>
    <s v="Linkedin"/>
    <x v="0"/>
    <s v="Ahmed Raza"/>
    <n v="239113"/>
    <n v="5351"/>
    <n v="97.6"/>
    <n v="8"/>
    <n v="12"/>
    <n v="2"/>
    <n v="26"/>
    <n v="95"/>
    <x v="0"/>
    <x v="0"/>
  </r>
  <r>
    <s v="EMP00459"/>
    <x v="78"/>
    <x v="0"/>
    <n v="55"/>
    <x v="2"/>
    <x v="4"/>
    <x v="446"/>
    <x v="0"/>
    <x v="0"/>
    <x v="2"/>
    <s v="Referral"/>
    <x v="3"/>
    <s v="Bilal Khan"/>
    <n v="172543"/>
    <n v="46567"/>
    <n v="94"/>
    <n v="0"/>
    <n v="6"/>
    <n v="3"/>
    <n v="36"/>
    <n v="74"/>
    <x v="1"/>
    <x v="0"/>
  </r>
  <r>
    <s v="EMP01150"/>
    <x v="25"/>
    <x v="0"/>
    <n v="39"/>
    <x v="5"/>
    <x v="3"/>
    <x v="446"/>
    <x v="0"/>
    <x v="0"/>
    <x v="1"/>
    <s v="Campus"/>
    <x v="2"/>
    <s v="Bilal Khan"/>
    <n v="58544"/>
    <n v="48603"/>
    <n v="87.4"/>
    <n v="9"/>
    <n v="3"/>
    <n v="3"/>
    <n v="27"/>
    <n v="73"/>
    <x v="1"/>
    <x v="0"/>
  </r>
  <r>
    <s v="EMP01228"/>
    <x v="125"/>
    <x v="0"/>
    <n v="31"/>
    <x v="1"/>
    <x v="4"/>
    <x v="446"/>
    <x v="0"/>
    <x v="1"/>
    <x v="3"/>
    <s v="Linkedin"/>
    <x v="0"/>
    <s v="Fatima Noor"/>
    <n v="210054"/>
    <n v="24747"/>
    <n v="86.3"/>
    <n v="5"/>
    <n v="11"/>
    <n v="2"/>
    <n v="18"/>
    <n v="64"/>
    <x v="0"/>
    <x v="0"/>
  </r>
  <r>
    <s v="EMP01668"/>
    <x v="80"/>
    <x v="1"/>
    <n v="31"/>
    <x v="2"/>
    <x v="1"/>
    <x v="446"/>
    <x v="0"/>
    <x v="0"/>
    <x v="1"/>
    <s v="Agency"/>
    <x v="6"/>
    <s v="Usman Tariq"/>
    <n v="164244"/>
    <n v="26715"/>
    <n v="80"/>
    <n v="1"/>
    <n v="16"/>
    <n v="4"/>
    <n v="11"/>
    <n v="75"/>
    <x v="0"/>
    <x v="0"/>
  </r>
  <r>
    <s v="EMP00397"/>
    <x v="76"/>
    <x v="0"/>
    <n v="42"/>
    <x v="5"/>
    <x v="2"/>
    <x v="447"/>
    <x v="0"/>
    <x v="2"/>
    <x v="0"/>
    <s v="Linkedin"/>
    <x v="2"/>
    <s v="Fatima Noor"/>
    <n v="76869"/>
    <n v="31321"/>
    <n v="89.4"/>
    <n v="8"/>
    <n v="29"/>
    <n v="5"/>
    <n v="28"/>
    <n v="60"/>
    <x v="0"/>
    <x v="0"/>
  </r>
  <r>
    <s v="EMP00598"/>
    <x v="144"/>
    <x v="0"/>
    <n v="58"/>
    <x v="6"/>
    <x v="3"/>
    <x v="447"/>
    <x v="0"/>
    <x v="2"/>
    <x v="1"/>
    <s v="Referral"/>
    <x v="5"/>
    <s v="Fatima Noor"/>
    <n v="100462"/>
    <n v="28265"/>
    <n v="87.9"/>
    <n v="6"/>
    <n v="3"/>
    <n v="1"/>
    <n v="10"/>
    <n v="100"/>
    <x v="0"/>
    <x v="0"/>
  </r>
  <r>
    <s v="EMP00938"/>
    <x v="1"/>
    <x v="0"/>
    <n v="53"/>
    <x v="7"/>
    <x v="7"/>
    <x v="447"/>
    <x v="0"/>
    <x v="0"/>
    <x v="2"/>
    <s v="Campus"/>
    <x v="1"/>
    <s v="Sara Ali"/>
    <n v="163686"/>
    <n v="17521"/>
    <n v="94.1"/>
    <n v="0"/>
    <n v="21"/>
    <n v="2"/>
    <n v="36"/>
    <n v="71"/>
    <x v="1"/>
    <x v="0"/>
  </r>
  <r>
    <s v="EMP01362"/>
    <x v="176"/>
    <x v="1"/>
    <n v="23"/>
    <x v="2"/>
    <x v="0"/>
    <x v="447"/>
    <x v="0"/>
    <x v="1"/>
    <x v="4"/>
    <s v="Campus"/>
    <x v="4"/>
    <s v="Fatima Noor"/>
    <n v="182171"/>
    <n v="17901"/>
    <n v="84.9"/>
    <n v="3"/>
    <n v="25"/>
    <n v="4"/>
    <n v="25"/>
    <n v="92"/>
    <x v="0"/>
    <x v="0"/>
  </r>
  <r>
    <s v="EMP00184"/>
    <x v="168"/>
    <x v="0"/>
    <n v="44"/>
    <x v="1"/>
    <x v="5"/>
    <x v="448"/>
    <x v="0"/>
    <x v="1"/>
    <x v="2"/>
    <s v="Campus"/>
    <x v="5"/>
    <s v="Usman Tariq"/>
    <n v="140636"/>
    <n v="10947"/>
    <n v="90.9"/>
    <n v="8"/>
    <n v="2"/>
    <n v="1"/>
    <n v="35"/>
    <n v="75"/>
    <x v="1"/>
    <x v="0"/>
  </r>
  <r>
    <s v="EMP00578"/>
    <x v="155"/>
    <x v="1"/>
    <n v="47"/>
    <x v="6"/>
    <x v="4"/>
    <x v="448"/>
    <x v="0"/>
    <x v="1"/>
    <x v="1"/>
    <s v="Website"/>
    <x v="0"/>
    <s v="Sara Ali"/>
    <n v="168417"/>
    <n v="28323"/>
    <n v="87"/>
    <n v="8"/>
    <n v="4"/>
    <n v="5"/>
    <n v="31"/>
    <n v="81"/>
    <x v="0"/>
    <x v="0"/>
  </r>
  <r>
    <s v="EMP00821"/>
    <x v="97"/>
    <x v="1"/>
    <n v="57"/>
    <x v="0"/>
    <x v="6"/>
    <x v="449"/>
    <x v="0"/>
    <x v="1"/>
    <x v="2"/>
    <s v="Linkedin"/>
    <x v="7"/>
    <s v="Bilal Khan"/>
    <n v="113390"/>
    <n v="25253"/>
    <n v="80.400000000000006"/>
    <n v="9"/>
    <n v="28"/>
    <n v="5"/>
    <n v="29"/>
    <n v="92"/>
    <x v="0"/>
    <x v="0"/>
  </r>
  <r>
    <s v="EMP01409"/>
    <x v="178"/>
    <x v="1"/>
    <n v="39"/>
    <x v="4"/>
    <x v="7"/>
    <x v="449"/>
    <x v="0"/>
    <x v="2"/>
    <x v="0"/>
    <s v="Website"/>
    <x v="4"/>
    <s v="Fatima Noor"/>
    <n v="55772"/>
    <n v="24140"/>
    <n v="98.6"/>
    <n v="1"/>
    <n v="17"/>
    <n v="2"/>
    <n v="15"/>
    <n v="94"/>
    <x v="1"/>
    <x v="0"/>
  </r>
  <r>
    <s v="EMP01453"/>
    <x v="154"/>
    <x v="1"/>
    <n v="46"/>
    <x v="0"/>
    <x v="0"/>
    <x v="449"/>
    <x v="0"/>
    <x v="2"/>
    <x v="0"/>
    <s v="Agency"/>
    <x v="7"/>
    <s v="Usman Tariq"/>
    <n v="236556"/>
    <n v="42713"/>
    <n v="90.5"/>
    <n v="10"/>
    <n v="11"/>
    <n v="2"/>
    <n v="9"/>
    <n v="76"/>
    <x v="1"/>
    <x v="0"/>
  </r>
  <r>
    <s v="EMP00327"/>
    <x v="75"/>
    <x v="0"/>
    <n v="29"/>
    <x v="8"/>
    <x v="5"/>
    <x v="450"/>
    <x v="0"/>
    <x v="0"/>
    <x v="1"/>
    <s v="Campus"/>
    <x v="5"/>
    <s v="Usman Tariq"/>
    <n v="93750"/>
    <n v="10838"/>
    <n v="82.7"/>
    <n v="2"/>
    <n v="1"/>
    <n v="2"/>
    <n v="37"/>
    <n v="85"/>
    <x v="0"/>
    <x v="0"/>
  </r>
  <r>
    <s v="EMP01213"/>
    <x v="98"/>
    <x v="0"/>
    <n v="45"/>
    <x v="7"/>
    <x v="4"/>
    <x v="450"/>
    <x v="0"/>
    <x v="1"/>
    <x v="2"/>
    <s v="Website"/>
    <x v="3"/>
    <s v="Usman Tariq"/>
    <n v="236189"/>
    <n v="44390"/>
    <n v="94.1"/>
    <n v="10"/>
    <n v="23"/>
    <n v="1"/>
    <n v="32"/>
    <n v="86"/>
    <x v="0"/>
    <x v="0"/>
  </r>
  <r>
    <s v="EMP01635"/>
    <x v="119"/>
    <x v="1"/>
    <n v="34"/>
    <x v="6"/>
    <x v="7"/>
    <x v="450"/>
    <x v="0"/>
    <x v="1"/>
    <x v="4"/>
    <s v="Linkedin"/>
    <x v="2"/>
    <s v="Sara Ali"/>
    <n v="230680"/>
    <n v="31047"/>
    <n v="88.2"/>
    <n v="4"/>
    <n v="13"/>
    <n v="3"/>
    <n v="35"/>
    <n v="100"/>
    <x v="0"/>
    <x v="0"/>
  </r>
  <r>
    <s v="EMP01491"/>
    <x v="2"/>
    <x v="0"/>
    <n v="58"/>
    <x v="6"/>
    <x v="3"/>
    <x v="451"/>
    <x v="0"/>
    <x v="1"/>
    <x v="2"/>
    <s v="Referral"/>
    <x v="6"/>
    <s v="Sara Ali"/>
    <n v="60064"/>
    <n v="12414"/>
    <n v="87.7"/>
    <n v="7"/>
    <n v="10"/>
    <n v="5"/>
    <n v="32"/>
    <n v="70"/>
    <x v="0"/>
    <x v="0"/>
  </r>
  <r>
    <s v="EMP01725"/>
    <x v="121"/>
    <x v="0"/>
    <n v="52"/>
    <x v="3"/>
    <x v="1"/>
    <x v="451"/>
    <x v="0"/>
    <x v="0"/>
    <x v="2"/>
    <s v="Referral"/>
    <x v="7"/>
    <s v="Bilal Khan"/>
    <n v="143220"/>
    <n v="5191"/>
    <n v="93.5"/>
    <n v="7"/>
    <n v="20"/>
    <n v="5"/>
    <n v="36"/>
    <n v="72"/>
    <x v="0"/>
    <x v="0"/>
  </r>
  <r>
    <s v="EMP01440"/>
    <x v="125"/>
    <x v="0"/>
    <n v="32"/>
    <x v="7"/>
    <x v="1"/>
    <x v="452"/>
    <x v="0"/>
    <x v="1"/>
    <x v="4"/>
    <s v="Campus"/>
    <x v="7"/>
    <s v="Usman Tariq"/>
    <n v="93815"/>
    <n v="13206"/>
    <n v="84.1"/>
    <n v="8"/>
    <n v="3"/>
    <n v="5"/>
    <n v="38"/>
    <n v="65"/>
    <x v="0"/>
    <x v="0"/>
  </r>
  <r>
    <s v="EMP01552"/>
    <x v="137"/>
    <x v="1"/>
    <n v="26"/>
    <x v="8"/>
    <x v="7"/>
    <x v="453"/>
    <x v="0"/>
    <x v="1"/>
    <x v="1"/>
    <s v="Referral"/>
    <x v="6"/>
    <s v="Fatima Noor"/>
    <n v="83960"/>
    <n v="38732"/>
    <n v="96.5"/>
    <n v="4"/>
    <n v="7"/>
    <n v="2"/>
    <n v="27"/>
    <n v="86"/>
    <x v="1"/>
    <x v="0"/>
  </r>
  <r>
    <s v="EMP01778"/>
    <x v="102"/>
    <x v="1"/>
    <n v="54"/>
    <x v="0"/>
    <x v="5"/>
    <x v="453"/>
    <x v="0"/>
    <x v="0"/>
    <x v="0"/>
    <s v="Referral"/>
    <x v="7"/>
    <s v="Fatima Noor"/>
    <n v="135347"/>
    <n v="45271"/>
    <n v="93.2"/>
    <n v="10"/>
    <n v="30"/>
    <n v="1"/>
    <n v="10"/>
    <n v="86"/>
    <x v="0"/>
    <x v="0"/>
  </r>
  <r>
    <s v="EMP01556"/>
    <x v="175"/>
    <x v="0"/>
    <n v="44"/>
    <x v="1"/>
    <x v="3"/>
    <x v="454"/>
    <x v="0"/>
    <x v="2"/>
    <x v="2"/>
    <s v="Website"/>
    <x v="0"/>
    <s v="Usman Tariq"/>
    <n v="75119"/>
    <n v="23792"/>
    <n v="97"/>
    <n v="2"/>
    <n v="7"/>
    <n v="1"/>
    <n v="8"/>
    <n v="72"/>
    <x v="0"/>
    <x v="0"/>
  </r>
  <r>
    <s v="EMP01650"/>
    <x v="155"/>
    <x v="1"/>
    <n v="60"/>
    <x v="5"/>
    <x v="7"/>
    <x v="454"/>
    <x v="0"/>
    <x v="1"/>
    <x v="4"/>
    <s v="Website"/>
    <x v="0"/>
    <s v="Bilal Khan"/>
    <n v="59708"/>
    <n v="42670"/>
    <n v="97.8"/>
    <n v="3"/>
    <n v="19"/>
    <n v="1"/>
    <n v="38"/>
    <n v="100"/>
    <x v="0"/>
    <x v="0"/>
  </r>
  <r>
    <s v="EMP01695"/>
    <x v="66"/>
    <x v="0"/>
    <n v="60"/>
    <x v="5"/>
    <x v="4"/>
    <x v="454"/>
    <x v="0"/>
    <x v="1"/>
    <x v="4"/>
    <s v="Linkedin"/>
    <x v="1"/>
    <s v="Fatima Noor"/>
    <n v="78178"/>
    <n v="29266"/>
    <n v="95.8"/>
    <n v="6"/>
    <n v="1"/>
    <n v="4"/>
    <n v="19"/>
    <n v="61"/>
    <x v="0"/>
    <x v="0"/>
  </r>
  <r>
    <s v="EMP01937"/>
    <x v="125"/>
    <x v="1"/>
    <n v="29"/>
    <x v="2"/>
    <x v="1"/>
    <x v="454"/>
    <x v="1"/>
    <x v="0"/>
    <x v="2"/>
    <s v="Campus"/>
    <x v="3"/>
    <s v="Fatima Noor"/>
    <n v="86621"/>
    <n v="37096"/>
    <n v="86.8"/>
    <n v="9"/>
    <n v="7"/>
    <n v="3"/>
    <n v="25"/>
    <n v="77"/>
    <x v="1"/>
    <x v="2"/>
  </r>
  <r>
    <s v="EMP00110"/>
    <x v="95"/>
    <x v="0"/>
    <n v="39"/>
    <x v="1"/>
    <x v="6"/>
    <x v="455"/>
    <x v="0"/>
    <x v="0"/>
    <x v="3"/>
    <s v="Referral"/>
    <x v="0"/>
    <s v="Usman Tariq"/>
    <n v="78221"/>
    <n v="41857"/>
    <n v="89.3"/>
    <n v="3"/>
    <n v="19"/>
    <n v="5"/>
    <n v="13"/>
    <n v="75"/>
    <x v="0"/>
    <x v="0"/>
  </r>
  <r>
    <s v="EMP00682"/>
    <x v="164"/>
    <x v="0"/>
    <n v="29"/>
    <x v="0"/>
    <x v="2"/>
    <x v="455"/>
    <x v="0"/>
    <x v="0"/>
    <x v="3"/>
    <s v="Referral"/>
    <x v="7"/>
    <s v="Bilal Khan"/>
    <n v="207808"/>
    <n v="25171"/>
    <n v="99.9"/>
    <n v="4"/>
    <n v="11"/>
    <n v="5"/>
    <n v="26"/>
    <n v="94"/>
    <x v="1"/>
    <x v="0"/>
  </r>
  <r>
    <s v="EMP00919"/>
    <x v="174"/>
    <x v="0"/>
    <n v="34"/>
    <x v="2"/>
    <x v="6"/>
    <x v="455"/>
    <x v="0"/>
    <x v="2"/>
    <x v="2"/>
    <s v="Website"/>
    <x v="1"/>
    <s v="Bilal Khan"/>
    <n v="120225"/>
    <n v="18324"/>
    <n v="86.1"/>
    <n v="10"/>
    <n v="3"/>
    <n v="3"/>
    <n v="14"/>
    <n v="95"/>
    <x v="1"/>
    <x v="0"/>
  </r>
  <r>
    <s v="EMP01816"/>
    <x v="192"/>
    <x v="0"/>
    <n v="34"/>
    <x v="2"/>
    <x v="6"/>
    <x v="455"/>
    <x v="0"/>
    <x v="0"/>
    <x v="3"/>
    <s v="Website"/>
    <x v="3"/>
    <s v="Fatima Noor"/>
    <n v="72190"/>
    <n v="43218"/>
    <n v="89.5"/>
    <n v="8"/>
    <n v="6"/>
    <n v="2"/>
    <n v="39"/>
    <n v="88"/>
    <x v="0"/>
    <x v="0"/>
  </r>
  <r>
    <s v="EMP00197"/>
    <x v="132"/>
    <x v="1"/>
    <n v="39"/>
    <x v="6"/>
    <x v="3"/>
    <x v="456"/>
    <x v="0"/>
    <x v="2"/>
    <x v="4"/>
    <s v="Website"/>
    <x v="3"/>
    <s v="Ahmed Raza"/>
    <n v="222484"/>
    <n v="49227"/>
    <n v="95.4"/>
    <n v="9"/>
    <n v="4"/>
    <n v="3"/>
    <n v="1"/>
    <n v="95"/>
    <x v="0"/>
    <x v="0"/>
  </r>
  <r>
    <s v="EMP00232"/>
    <x v="17"/>
    <x v="0"/>
    <n v="40"/>
    <x v="5"/>
    <x v="5"/>
    <x v="456"/>
    <x v="0"/>
    <x v="1"/>
    <x v="1"/>
    <s v="Website"/>
    <x v="1"/>
    <s v="Sara Ali"/>
    <n v="183896"/>
    <n v="45286"/>
    <n v="92.1"/>
    <n v="7"/>
    <n v="25"/>
    <n v="1"/>
    <n v="1"/>
    <n v="63"/>
    <x v="0"/>
    <x v="0"/>
  </r>
  <r>
    <s v="EMP01781"/>
    <x v="180"/>
    <x v="0"/>
    <n v="48"/>
    <x v="3"/>
    <x v="3"/>
    <x v="456"/>
    <x v="0"/>
    <x v="2"/>
    <x v="4"/>
    <s v="Referral"/>
    <x v="6"/>
    <s v="Bilal Khan"/>
    <n v="189802"/>
    <n v="45722"/>
    <n v="90.9"/>
    <n v="4"/>
    <n v="24"/>
    <n v="3"/>
    <n v="37"/>
    <n v="85"/>
    <x v="0"/>
    <x v="0"/>
  </r>
  <r>
    <s v="EMP00686"/>
    <x v="172"/>
    <x v="0"/>
    <n v="29"/>
    <x v="5"/>
    <x v="4"/>
    <x v="457"/>
    <x v="0"/>
    <x v="1"/>
    <x v="4"/>
    <s v="Campus"/>
    <x v="5"/>
    <s v="Ahmed Raza"/>
    <n v="185286"/>
    <n v="29440"/>
    <n v="89.8"/>
    <n v="1"/>
    <n v="24"/>
    <n v="5"/>
    <n v="20"/>
    <n v="87"/>
    <x v="0"/>
    <x v="0"/>
  </r>
  <r>
    <s v="EMP01013"/>
    <x v="30"/>
    <x v="1"/>
    <n v="34"/>
    <x v="3"/>
    <x v="3"/>
    <x v="457"/>
    <x v="0"/>
    <x v="1"/>
    <x v="0"/>
    <s v="Campus"/>
    <x v="1"/>
    <s v="Sara Ali"/>
    <n v="92165"/>
    <n v="14357"/>
    <n v="98.5"/>
    <n v="0"/>
    <n v="30"/>
    <n v="5"/>
    <n v="17"/>
    <n v="68"/>
    <x v="0"/>
    <x v="0"/>
  </r>
  <r>
    <s v="EMP01015"/>
    <x v="52"/>
    <x v="1"/>
    <n v="29"/>
    <x v="2"/>
    <x v="2"/>
    <x v="457"/>
    <x v="1"/>
    <x v="1"/>
    <x v="0"/>
    <s v="Campus"/>
    <x v="5"/>
    <s v="Bilal Khan"/>
    <n v="51219"/>
    <n v="43416"/>
    <n v="96.4"/>
    <n v="3"/>
    <n v="5"/>
    <n v="1"/>
    <n v="10"/>
    <n v="94"/>
    <x v="0"/>
    <x v="4"/>
  </r>
  <r>
    <s v="EMP01693"/>
    <x v="118"/>
    <x v="0"/>
    <n v="43"/>
    <x v="7"/>
    <x v="0"/>
    <x v="457"/>
    <x v="0"/>
    <x v="0"/>
    <x v="0"/>
    <s v="Linkedin"/>
    <x v="4"/>
    <s v="Ahmed Raza"/>
    <n v="234379"/>
    <n v="11913"/>
    <n v="97.6"/>
    <n v="1"/>
    <n v="28"/>
    <n v="3"/>
    <n v="23"/>
    <n v="69"/>
    <x v="0"/>
    <x v="0"/>
  </r>
  <r>
    <s v="EMP01900"/>
    <x v="26"/>
    <x v="1"/>
    <n v="26"/>
    <x v="3"/>
    <x v="7"/>
    <x v="457"/>
    <x v="0"/>
    <x v="0"/>
    <x v="0"/>
    <s v="Website"/>
    <x v="0"/>
    <s v="Fatima Noor"/>
    <n v="93830"/>
    <n v="37630"/>
    <n v="87.5"/>
    <n v="7"/>
    <n v="19"/>
    <n v="5"/>
    <n v="7"/>
    <n v="66"/>
    <x v="0"/>
    <x v="0"/>
  </r>
  <r>
    <s v="EMP01909"/>
    <x v="131"/>
    <x v="1"/>
    <n v="56"/>
    <x v="7"/>
    <x v="2"/>
    <x v="457"/>
    <x v="0"/>
    <x v="2"/>
    <x v="0"/>
    <s v="Linkedin"/>
    <x v="4"/>
    <s v="Ahmed Raza"/>
    <n v="67552"/>
    <n v="34767"/>
    <n v="81.599999999999994"/>
    <n v="1"/>
    <n v="28"/>
    <n v="5"/>
    <n v="19"/>
    <n v="64"/>
    <x v="0"/>
    <x v="0"/>
  </r>
  <r>
    <s v="EMP00404"/>
    <x v="47"/>
    <x v="1"/>
    <n v="56"/>
    <x v="7"/>
    <x v="6"/>
    <x v="458"/>
    <x v="0"/>
    <x v="2"/>
    <x v="2"/>
    <s v="Campus"/>
    <x v="2"/>
    <s v="Ahmed Raza"/>
    <n v="185957"/>
    <n v="24670"/>
    <n v="99.9"/>
    <n v="2"/>
    <n v="20"/>
    <n v="5"/>
    <n v="0"/>
    <n v="77"/>
    <x v="1"/>
    <x v="0"/>
  </r>
  <r>
    <s v="EMP01103"/>
    <x v="176"/>
    <x v="0"/>
    <n v="30"/>
    <x v="7"/>
    <x v="0"/>
    <x v="458"/>
    <x v="0"/>
    <x v="0"/>
    <x v="2"/>
    <s v="Agency"/>
    <x v="4"/>
    <s v="Usman Tariq"/>
    <n v="166740"/>
    <n v="34431"/>
    <n v="85.3"/>
    <n v="1"/>
    <n v="27"/>
    <n v="1"/>
    <n v="38"/>
    <n v="97"/>
    <x v="0"/>
    <x v="0"/>
  </r>
  <r>
    <s v="EMP00419"/>
    <x v="66"/>
    <x v="0"/>
    <n v="25"/>
    <x v="0"/>
    <x v="6"/>
    <x v="459"/>
    <x v="1"/>
    <x v="2"/>
    <x v="1"/>
    <s v="Campus"/>
    <x v="6"/>
    <s v="Sara Ali"/>
    <n v="94312"/>
    <n v="8184"/>
    <n v="82.1"/>
    <n v="7"/>
    <n v="13"/>
    <n v="2"/>
    <n v="19"/>
    <n v="100"/>
    <x v="0"/>
    <x v="4"/>
  </r>
  <r>
    <s v="EMP01702"/>
    <x v="198"/>
    <x v="1"/>
    <n v="29"/>
    <x v="8"/>
    <x v="7"/>
    <x v="459"/>
    <x v="0"/>
    <x v="0"/>
    <x v="1"/>
    <s v="Referral"/>
    <x v="6"/>
    <s v="Fatima Noor"/>
    <n v="194648"/>
    <n v="22802"/>
    <n v="94.1"/>
    <n v="1"/>
    <n v="24"/>
    <n v="3"/>
    <n v="31"/>
    <n v="89"/>
    <x v="0"/>
    <x v="0"/>
  </r>
  <r>
    <s v="EMP01347"/>
    <x v="175"/>
    <x v="1"/>
    <n v="31"/>
    <x v="0"/>
    <x v="6"/>
    <x v="460"/>
    <x v="0"/>
    <x v="1"/>
    <x v="1"/>
    <s v="Agency"/>
    <x v="0"/>
    <s v="Usman Tariq"/>
    <n v="237259"/>
    <n v="33714"/>
    <n v="82.3"/>
    <n v="4"/>
    <n v="17"/>
    <n v="3"/>
    <n v="28"/>
    <n v="86"/>
    <x v="1"/>
    <x v="0"/>
  </r>
  <r>
    <s v="EMP01987"/>
    <x v="92"/>
    <x v="1"/>
    <n v="43"/>
    <x v="4"/>
    <x v="5"/>
    <x v="460"/>
    <x v="0"/>
    <x v="2"/>
    <x v="2"/>
    <s v="Linkedin"/>
    <x v="3"/>
    <s v="Bilal Khan"/>
    <n v="70478"/>
    <n v="28631"/>
    <n v="85.2"/>
    <n v="5"/>
    <n v="23"/>
    <n v="4"/>
    <n v="29"/>
    <n v="74"/>
    <x v="0"/>
    <x v="0"/>
  </r>
  <r>
    <s v="EMP00199"/>
    <x v="114"/>
    <x v="0"/>
    <n v="23"/>
    <x v="8"/>
    <x v="4"/>
    <x v="461"/>
    <x v="0"/>
    <x v="0"/>
    <x v="1"/>
    <s v="Referral"/>
    <x v="5"/>
    <s v="Sara Ali"/>
    <n v="179460"/>
    <n v="34620"/>
    <n v="87.3"/>
    <n v="3"/>
    <n v="10"/>
    <n v="4"/>
    <n v="23"/>
    <n v="97"/>
    <x v="0"/>
    <x v="0"/>
  </r>
  <r>
    <s v="EMP00249"/>
    <x v="103"/>
    <x v="0"/>
    <n v="46"/>
    <x v="8"/>
    <x v="3"/>
    <x v="461"/>
    <x v="0"/>
    <x v="0"/>
    <x v="2"/>
    <s v="Linkedin"/>
    <x v="1"/>
    <s v="Usman Tariq"/>
    <n v="206612"/>
    <n v="40675"/>
    <n v="90.5"/>
    <n v="9"/>
    <n v="30"/>
    <n v="5"/>
    <n v="11"/>
    <n v="70"/>
    <x v="0"/>
    <x v="0"/>
  </r>
  <r>
    <s v="EMP00528"/>
    <x v="21"/>
    <x v="1"/>
    <n v="31"/>
    <x v="1"/>
    <x v="3"/>
    <x v="461"/>
    <x v="0"/>
    <x v="0"/>
    <x v="1"/>
    <s v="Linkedin"/>
    <x v="4"/>
    <s v="Usman Tariq"/>
    <n v="109813"/>
    <n v="44770"/>
    <n v="95"/>
    <n v="0"/>
    <n v="1"/>
    <n v="4"/>
    <n v="30"/>
    <n v="97"/>
    <x v="1"/>
    <x v="0"/>
  </r>
  <r>
    <s v="EMP00303"/>
    <x v="36"/>
    <x v="1"/>
    <n v="25"/>
    <x v="2"/>
    <x v="4"/>
    <x v="462"/>
    <x v="0"/>
    <x v="1"/>
    <x v="4"/>
    <s v="Agency"/>
    <x v="7"/>
    <s v="Sara Ali"/>
    <n v="197858"/>
    <n v="44019"/>
    <n v="81.3"/>
    <n v="5"/>
    <n v="8"/>
    <n v="3"/>
    <n v="29"/>
    <n v="65"/>
    <x v="0"/>
    <x v="0"/>
  </r>
  <r>
    <s v="EMP00671"/>
    <x v="137"/>
    <x v="1"/>
    <n v="59"/>
    <x v="2"/>
    <x v="6"/>
    <x v="462"/>
    <x v="0"/>
    <x v="0"/>
    <x v="1"/>
    <s v="Campus"/>
    <x v="1"/>
    <s v="Sara Ali"/>
    <n v="211198"/>
    <n v="41207"/>
    <n v="96.9"/>
    <n v="0"/>
    <n v="7"/>
    <n v="1"/>
    <n v="30"/>
    <n v="100"/>
    <x v="0"/>
    <x v="0"/>
  </r>
  <r>
    <s v="EMP01315"/>
    <x v="129"/>
    <x v="1"/>
    <n v="43"/>
    <x v="8"/>
    <x v="7"/>
    <x v="462"/>
    <x v="0"/>
    <x v="2"/>
    <x v="0"/>
    <s v="Linkedin"/>
    <x v="2"/>
    <s v="Sara Ali"/>
    <n v="98933"/>
    <n v="45120"/>
    <n v="87"/>
    <n v="8"/>
    <n v="28"/>
    <n v="1"/>
    <n v="15"/>
    <n v="90"/>
    <x v="0"/>
    <x v="0"/>
  </r>
  <r>
    <s v="EMP00624"/>
    <x v="52"/>
    <x v="0"/>
    <n v="27"/>
    <x v="8"/>
    <x v="4"/>
    <x v="463"/>
    <x v="0"/>
    <x v="0"/>
    <x v="4"/>
    <s v="Linkedin"/>
    <x v="3"/>
    <s v="Bilal Khan"/>
    <n v="103778"/>
    <n v="22095"/>
    <n v="87.2"/>
    <n v="8"/>
    <n v="26"/>
    <n v="1"/>
    <n v="22"/>
    <n v="67"/>
    <x v="0"/>
    <x v="0"/>
  </r>
  <r>
    <s v="EMP00936"/>
    <x v="56"/>
    <x v="1"/>
    <n v="21"/>
    <x v="6"/>
    <x v="6"/>
    <x v="464"/>
    <x v="0"/>
    <x v="0"/>
    <x v="2"/>
    <s v="Agency"/>
    <x v="4"/>
    <s v="Bilal Khan"/>
    <n v="76623"/>
    <n v="10728"/>
    <n v="81.3"/>
    <n v="2"/>
    <n v="19"/>
    <n v="4"/>
    <n v="31"/>
    <n v="95"/>
    <x v="1"/>
    <x v="0"/>
  </r>
  <r>
    <s v="EMP00968"/>
    <x v="32"/>
    <x v="1"/>
    <n v="53"/>
    <x v="7"/>
    <x v="5"/>
    <x v="464"/>
    <x v="0"/>
    <x v="0"/>
    <x v="1"/>
    <s v="Website"/>
    <x v="1"/>
    <s v="Sara Ali"/>
    <n v="156057"/>
    <n v="36562"/>
    <n v="98.7"/>
    <n v="5"/>
    <n v="29"/>
    <n v="5"/>
    <n v="15"/>
    <n v="95"/>
    <x v="0"/>
    <x v="0"/>
  </r>
  <r>
    <s v="EMP01932"/>
    <x v="42"/>
    <x v="1"/>
    <n v="22"/>
    <x v="0"/>
    <x v="7"/>
    <x v="464"/>
    <x v="0"/>
    <x v="0"/>
    <x v="0"/>
    <s v="Referral"/>
    <x v="1"/>
    <s v="Usman Tariq"/>
    <n v="124077"/>
    <n v="22604"/>
    <n v="80.2"/>
    <n v="4"/>
    <n v="20"/>
    <n v="4"/>
    <n v="21"/>
    <n v="85"/>
    <x v="0"/>
    <x v="0"/>
  </r>
  <r>
    <s v="EMP00090"/>
    <x v="120"/>
    <x v="0"/>
    <n v="44"/>
    <x v="2"/>
    <x v="3"/>
    <x v="465"/>
    <x v="0"/>
    <x v="1"/>
    <x v="2"/>
    <s v="Website"/>
    <x v="5"/>
    <s v="Sara Ali"/>
    <n v="196373"/>
    <n v="14258"/>
    <n v="86.6"/>
    <n v="5"/>
    <n v="28"/>
    <n v="2"/>
    <n v="5"/>
    <n v="94"/>
    <x v="0"/>
    <x v="0"/>
  </r>
  <r>
    <s v="EMP00398"/>
    <x v="14"/>
    <x v="1"/>
    <n v="52"/>
    <x v="8"/>
    <x v="4"/>
    <x v="465"/>
    <x v="1"/>
    <x v="0"/>
    <x v="3"/>
    <s v="Agency"/>
    <x v="4"/>
    <s v="Ahmed Raza"/>
    <n v="122917"/>
    <n v="17174"/>
    <n v="89.5"/>
    <n v="0"/>
    <n v="7"/>
    <n v="1"/>
    <n v="25"/>
    <n v="90"/>
    <x v="0"/>
    <x v="3"/>
  </r>
  <r>
    <s v="EMP01544"/>
    <x v="60"/>
    <x v="0"/>
    <n v="33"/>
    <x v="8"/>
    <x v="7"/>
    <x v="465"/>
    <x v="0"/>
    <x v="1"/>
    <x v="1"/>
    <s v="Campus"/>
    <x v="3"/>
    <s v="Ahmed Raza"/>
    <n v="228762"/>
    <n v="6352"/>
    <n v="97.9"/>
    <n v="7"/>
    <n v="13"/>
    <n v="2"/>
    <n v="40"/>
    <n v="69"/>
    <x v="0"/>
    <x v="0"/>
  </r>
  <r>
    <s v="EMP01771"/>
    <x v="158"/>
    <x v="0"/>
    <n v="23"/>
    <x v="6"/>
    <x v="7"/>
    <x v="465"/>
    <x v="0"/>
    <x v="0"/>
    <x v="2"/>
    <s v="Website"/>
    <x v="7"/>
    <s v="Bilal Khan"/>
    <n v="124506"/>
    <n v="48775"/>
    <n v="96.2"/>
    <n v="8"/>
    <n v="21"/>
    <n v="4"/>
    <n v="21"/>
    <n v="81"/>
    <x v="0"/>
    <x v="0"/>
  </r>
  <r>
    <s v="EMP01858"/>
    <x v="182"/>
    <x v="0"/>
    <n v="22"/>
    <x v="4"/>
    <x v="0"/>
    <x v="465"/>
    <x v="0"/>
    <x v="1"/>
    <x v="2"/>
    <s v="Website"/>
    <x v="5"/>
    <s v="Bilal Khan"/>
    <n v="43770"/>
    <n v="8520"/>
    <n v="88"/>
    <n v="4"/>
    <n v="22"/>
    <n v="5"/>
    <n v="22"/>
    <n v="84"/>
    <x v="0"/>
    <x v="0"/>
  </r>
  <r>
    <s v="EMP00495"/>
    <x v="85"/>
    <x v="0"/>
    <n v="23"/>
    <x v="3"/>
    <x v="1"/>
    <x v="466"/>
    <x v="0"/>
    <x v="2"/>
    <x v="1"/>
    <s v="Website"/>
    <x v="3"/>
    <s v="Usman Tariq"/>
    <n v="234021"/>
    <n v="13311"/>
    <n v="98.8"/>
    <n v="7"/>
    <n v="20"/>
    <n v="1"/>
    <n v="28"/>
    <n v="88"/>
    <x v="0"/>
    <x v="0"/>
  </r>
  <r>
    <s v="EMP00748"/>
    <x v="129"/>
    <x v="1"/>
    <n v="28"/>
    <x v="2"/>
    <x v="0"/>
    <x v="466"/>
    <x v="0"/>
    <x v="0"/>
    <x v="2"/>
    <s v="Agency"/>
    <x v="7"/>
    <s v="Usman Tariq"/>
    <n v="243331"/>
    <n v="24135"/>
    <n v="98.7"/>
    <n v="7"/>
    <n v="14"/>
    <n v="2"/>
    <n v="30"/>
    <n v="86"/>
    <x v="0"/>
    <x v="0"/>
  </r>
  <r>
    <s v="EMP00599"/>
    <x v="120"/>
    <x v="0"/>
    <n v="29"/>
    <x v="8"/>
    <x v="4"/>
    <x v="467"/>
    <x v="0"/>
    <x v="0"/>
    <x v="0"/>
    <s v="Campus"/>
    <x v="3"/>
    <s v="Fatima Noor"/>
    <n v="231236"/>
    <n v="37199"/>
    <n v="99.6"/>
    <n v="0"/>
    <n v="0"/>
    <n v="1"/>
    <n v="22"/>
    <n v="65"/>
    <x v="0"/>
    <x v="0"/>
  </r>
  <r>
    <s v="EMP01348"/>
    <x v="156"/>
    <x v="1"/>
    <n v="58"/>
    <x v="6"/>
    <x v="5"/>
    <x v="467"/>
    <x v="1"/>
    <x v="1"/>
    <x v="2"/>
    <s v="Agency"/>
    <x v="6"/>
    <s v="Bilal Khan"/>
    <n v="102954"/>
    <n v="30207"/>
    <n v="83.4"/>
    <n v="3"/>
    <n v="25"/>
    <n v="3"/>
    <n v="30"/>
    <n v="96"/>
    <x v="0"/>
    <x v="1"/>
  </r>
  <r>
    <s v="EMP01966"/>
    <x v="144"/>
    <x v="0"/>
    <n v="36"/>
    <x v="5"/>
    <x v="0"/>
    <x v="468"/>
    <x v="0"/>
    <x v="2"/>
    <x v="2"/>
    <s v="Website"/>
    <x v="6"/>
    <s v="Bilal Khan"/>
    <n v="121406"/>
    <n v="33339"/>
    <n v="95.2"/>
    <n v="9"/>
    <n v="16"/>
    <n v="3"/>
    <n v="23"/>
    <n v="80"/>
    <x v="0"/>
    <x v="0"/>
  </r>
  <r>
    <s v="EMP00032"/>
    <x v="184"/>
    <x v="1"/>
    <n v="54"/>
    <x v="1"/>
    <x v="4"/>
    <x v="469"/>
    <x v="0"/>
    <x v="1"/>
    <x v="1"/>
    <s v="Linkedin"/>
    <x v="6"/>
    <s v="Usman Tariq"/>
    <n v="151995"/>
    <n v="21703"/>
    <n v="90.6"/>
    <n v="3"/>
    <n v="0"/>
    <n v="2"/>
    <n v="6"/>
    <n v="96"/>
    <x v="0"/>
    <x v="0"/>
  </r>
  <r>
    <s v="EMP00074"/>
    <x v="49"/>
    <x v="1"/>
    <n v="33"/>
    <x v="1"/>
    <x v="0"/>
    <x v="469"/>
    <x v="0"/>
    <x v="2"/>
    <x v="1"/>
    <s v="Linkedin"/>
    <x v="3"/>
    <s v="Sara Ali"/>
    <n v="83229"/>
    <n v="5103"/>
    <n v="88.2"/>
    <n v="5"/>
    <n v="30"/>
    <n v="2"/>
    <n v="35"/>
    <n v="89"/>
    <x v="0"/>
    <x v="0"/>
  </r>
  <r>
    <s v="EMP00189"/>
    <x v="114"/>
    <x v="0"/>
    <n v="48"/>
    <x v="1"/>
    <x v="4"/>
    <x v="469"/>
    <x v="0"/>
    <x v="2"/>
    <x v="1"/>
    <s v="Website"/>
    <x v="2"/>
    <s v="Bilal Khan"/>
    <n v="147154"/>
    <n v="39649"/>
    <n v="80.8"/>
    <n v="6"/>
    <n v="8"/>
    <n v="1"/>
    <n v="16"/>
    <n v="70"/>
    <x v="0"/>
    <x v="0"/>
  </r>
  <r>
    <s v="EMP00636"/>
    <x v="86"/>
    <x v="0"/>
    <n v="48"/>
    <x v="3"/>
    <x v="0"/>
    <x v="469"/>
    <x v="0"/>
    <x v="0"/>
    <x v="4"/>
    <s v="Agency"/>
    <x v="1"/>
    <s v="Bilal Khan"/>
    <n v="232993"/>
    <n v="31800"/>
    <n v="95.4"/>
    <n v="0"/>
    <n v="19"/>
    <n v="2"/>
    <n v="31"/>
    <n v="100"/>
    <x v="0"/>
    <x v="0"/>
  </r>
  <r>
    <s v="EMP01606"/>
    <x v="183"/>
    <x v="0"/>
    <n v="36"/>
    <x v="5"/>
    <x v="4"/>
    <x v="469"/>
    <x v="0"/>
    <x v="0"/>
    <x v="4"/>
    <s v="Linkedin"/>
    <x v="6"/>
    <s v="Bilal Khan"/>
    <n v="148136"/>
    <n v="36071"/>
    <n v="97.2"/>
    <n v="5"/>
    <n v="23"/>
    <n v="3"/>
    <n v="9"/>
    <n v="81"/>
    <x v="0"/>
    <x v="0"/>
  </r>
  <r>
    <s v="EMP01321"/>
    <x v="173"/>
    <x v="0"/>
    <n v="28"/>
    <x v="1"/>
    <x v="1"/>
    <x v="470"/>
    <x v="0"/>
    <x v="1"/>
    <x v="4"/>
    <s v="Referral"/>
    <x v="7"/>
    <s v="Usman Tariq"/>
    <n v="167548"/>
    <n v="40187"/>
    <n v="81.7"/>
    <n v="7"/>
    <n v="5"/>
    <n v="1"/>
    <n v="13"/>
    <n v="71"/>
    <x v="0"/>
    <x v="0"/>
  </r>
  <r>
    <s v="EMP01888"/>
    <x v="67"/>
    <x v="1"/>
    <n v="48"/>
    <x v="3"/>
    <x v="5"/>
    <x v="470"/>
    <x v="0"/>
    <x v="2"/>
    <x v="0"/>
    <s v="Agency"/>
    <x v="0"/>
    <s v="Bilal Khan"/>
    <n v="63235"/>
    <n v="16079"/>
    <n v="82"/>
    <n v="2"/>
    <n v="16"/>
    <n v="5"/>
    <n v="9"/>
    <n v="83"/>
    <x v="0"/>
    <x v="0"/>
  </r>
  <r>
    <s v="EMP00234"/>
    <x v="62"/>
    <x v="0"/>
    <n v="29"/>
    <x v="4"/>
    <x v="3"/>
    <x v="471"/>
    <x v="0"/>
    <x v="1"/>
    <x v="3"/>
    <s v="Campus"/>
    <x v="0"/>
    <s v="Bilal Khan"/>
    <n v="241318"/>
    <n v="45482"/>
    <n v="84.5"/>
    <n v="3"/>
    <n v="19"/>
    <n v="1"/>
    <n v="35"/>
    <n v="90"/>
    <x v="0"/>
    <x v="0"/>
  </r>
  <r>
    <s v="EMP00408"/>
    <x v="176"/>
    <x v="0"/>
    <n v="54"/>
    <x v="2"/>
    <x v="7"/>
    <x v="471"/>
    <x v="0"/>
    <x v="0"/>
    <x v="0"/>
    <s v="Agency"/>
    <x v="6"/>
    <s v="Fatima Noor"/>
    <n v="223665"/>
    <n v="22122"/>
    <n v="99.6"/>
    <n v="10"/>
    <n v="30"/>
    <n v="5"/>
    <n v="23"/>
    <n v="73"/>
    <x v="0"/>
    <x v="0"/>
  </r>
  <r>
    <s v="EMP01626"/>
    <x v="45"/>
    <x v="1"/>
    <n v="30"/>
    <x v="4"/>
    <x v="6"/>
    <x v="471"/>
    <x v="0"/>
    <x v="0"/>
    <x v="4"/>
    <s v="Website"/>
    <x v="2"/>
    <s v="Bilal Khan"/>
    <n v="163261"/>
    <n v="38978"/>
    <n v="93.2"/>
    <n v="10"/>
    <n v="8"/>
    <n v="2"/>
    <n v="1"/>
    <n v="98"/>
    <x v="0"/>
    <x v="0"/>
  </r>
  <r>
    <s v="EMP01885"/>
    <x v="115"/>
    <x v="0"/>
    <n v="29"/>
    <x v="7"/>
    <x v="2"/>
    <x v="471"/>
    <x v="0"/>
    <x v="2"/>
    <x v="1"/>
    <s v="Campus"/>
    <x v="2"/>
    <s v="Sara Ali"/>
    <n v="228468"/>
    <n v="15234"/>
    <n v="86.8"/>
    <n v="7"/>
    <n v="8"/>
    <n v="1"/>
    <n v="31"/>
    <n v="66"/>
    <x v="0"/>
    <x v="0"/>
  </r>
  <r>
    <s v="EMP00250"/>
    <x v="161"/>
    <x v="0"/>
    <n v="21"/>
    <x v="0"/>
    <x v="0"/>
    <x v="472"/>
    <x v="0"/>
    <x v="2"/>
    <x v="4"/>
    <s v="Website"/>
    <x v="5"/>
    <s v="Usman Tariq"/>
    <n v="37750"/>
    <n v="45342"/>
    <n v="92.3"/>
    <n v="2"/>
    <n v="3"/>
    <n v="1"/>
    <n v="7"/>
    <n v="69"/>
    <x v="0"/>
    <x v="0"/>
  </r>
  <r>
    <s v="EMP00581"/>
    <x v="115"/>
    <x v="1"/>
    <n v="35"/>
    <x v="3"/>
    <x v="2"/>
    <x v="472"/>
    <x v="0"/>
    <x v="2"/>
    <x v="1"/>
    <s v="Referral"/>
    <x v="1"/>
    <s v="Sara Ali"/>
    <n v="98116"/>
    <n v="30750"/>
    <n v="93.5"/>
    <n v="3"/>
    <n v="11"/>
    <n v="1"/>
    <n v="31"/>
    <n v="92"/>
    <x v="1"/>
    <x v="0"/>
  </r>
  <r>
    <s v="EMP01341"/>
    <x v="85"/>
    <x v="0"/>
    <n v="48"/>
    <x v="1"/>
    <x v="0"/>
    <x v="472"/>
    <x v="0"/>
    <x v="1"/>
    <x v="1"/>
    <s v="Campus"/>
    <x v="5"/>
    <s v="Usman Tariq"/>
    <n v="182777"/>
    <n v="14604"/>
    <n v="94.9"/>
    <n v="4"/>
    <n v="28"/>
    <n v="3"/>
    <n v="37"/>
    <n v="95"/>
    <x v="0"/>
    <x v="0"/>
  </r>
  <r>
    <s v="EMP01358"/>
    <x v="173"/>
    <x v="0"/>
    <n v="44"/>
    <x v="4"/>
    <x v="7"/>
    <x v="472"/>
    <x v="0"/>
    <x v="2"/>
    <x v="2"/>
    <s v="Website"/>
    <x v="5"/>
    <s v="Ahmed Raza"/>
    <n v="38149"/>
    <n v="9391"/>
    <n v="85.4"/>
    <n v="0"/>
    <n v="19"/>
    <n v="3"/>
    <n v="22"/>
    <n v="80"/>
    <x v="0"/>
    <x v="0"/>
  </r>
  <r>
    <s v="EMP01513"/>
    <x v="137"/>
    <x v="0"/>
    <n v="25"/>
    <x v="7"/>
    <x v="2"/>
    <x v="472"/>
    <x v="0"/>
    <x v="1"/>
    <x v="1"/>
    <s v="Campus"/>
    <x v="5"/>
    <s v="Fatima Noor"/>
    <n v="193963"/>
    <n v="30894"/>
    <n v="90.2"/>
    <n v="5"/>
    <n v="13"/>
    <n v="2"/>
    <n v="32"/>
    <n v="73"/>
    <x v="0"/>
    <x v="0"/>
  </r>
  <r>
    <s v="EMP01060"/>
    <x v="155"/>
    <x v="1"/>
    <n v="42"/>
    <x v="6"/>
    <x v="1"/>
    <x v="473"/>
    <x v="0"/>
    <x v="2"/>
    <x v="1"/>
    <s v="Campus"/>
    <x v="1"/>
    <s v="Ahmed Raza"/>
    <n v="222342"/>
    <n v="46000"/>
    <n v="83.7"/>
    <n v="0"/>
    <n v="8"/>
    <n v="4"/>
    <n v="25"/>
    <n v="61"/>
    <x v="1"/>
    <x v="0"/>
  </r>
  <r>
    <s v="EMP01834"/>
    <x v="144"/>
    <x v="1"/>
    <n v="33"/>
    <x v="5"/>
    <x v="2"/>
    <x v="473"/>
    <x v="0"/>
    <x v="2"/>
    <x v="3"/>
    <s v="Campus"/>
    <x v="5"/>
    <s v="Usman Tariq"/>
    <n v="118144"/>
    <n v="16145"/>
    <n v="85.1"/>
    <n v="0"/>
    <n v="17"/>
    <n v="2"/>
    <n v="17"/>
    <n v="97"/>
    <x v="0"/>
    <x v="0"/>
  </r>
  <r>
    <s v="EMP01929"/>
    <x v="143"/>
    <x v="0"/>
    <n v="53"/>
    <x v="5"/>
    <x v="6"/>
    <x v="473"/>
    <x v="0"/>
    <x v="2"/>
    <x v="1"/>
    <s v="Campus"/>
    <x v="7"/>
    <s v="Fatima Noor"/>
    <n v="152982"/>
    <n v="47965"/>
    <n v="96.9"/>
    <n v="6"/>
    <n v="21"/>
    <n v="5"/>
    <n v="34"/>
    <n v="93"/>
    <x v="0"/>
    <x v="0"/>
  </r>
  <r>
    <s v="EMP00224"/>
    <x v="88"/>
    <x v="1"/>
    <n v="44"/>
    <x v="7"/>
    <x v="3"/>
    <x v="474"/>
    <x v="0"/>
    <x v="0"/>
    <x v="2"/>
    <s v="Agency"/>
    <x v="5"/>
    <s v="Usman Tariq"/>
    <n v="87641"/>
    <n v="24141"/>
    <n v="91.8"/>
    <n v="0"/>
    <n v="16"/>
    <n v="4"/>
    <n v="27"/>
    <n v="61"/>
    <x v="0"/>
    <x v="0"/>
  </r>
  <r>
    <s v="EMP00421"/>
    <x v="6"/>
    <x v="0"/>
    <n v="35"/>
    <x v="1"/>
    <x v="7"/>
    <x v="474"/>
    <x v="0"/>
    <x v="0"/>
    <x v="3"/>
    <s v="Agency"/>
    <x v="2"/>
    <s v="Fatima Noor"/>
    <n v="85173"/>
    <n v="34266"/>
    <n v="96.7"/>
    <n v="10"/>
    <n v="18"/>
    <n v="3"/>
    <n v="30"/>
    <n v="77"/>
    <x v="0"/>
    <x v="0"/>
  </r>
  <r>
    <s v="EMP01004"/>
    <x v="35"/>
    <x v="0"/>
    <n v="46"/>
    <x v="2"/>
    <x v="7"/>
    <x v="474"/>
    <x v="0"/>
    <x v="1"/>
    <x v="1"/>
    <s v="Campus"/>
    <x v="2"/>
    <s v="Fatima Noor"/>
    <n v="88968"/>
    <n v="37718"/>
    <n v="92.9"/>
    <n v="4"/>
    <n v="19"/>
    <n v="4"/>
    <n v="13"/>
    <n v="87"/>
    <x v="0"/>
    <x v="0"/>
  </r>
  <r>
    <s v="EMP01136"/>
    <x v="52"/>
    <x v="1"/>
    <n v="35"/>
    <x v="3"/>
    <x v="0"/>
    <x v="474"/>
    <x v="0"/>
    <x v="0"/>
    <x v="1"/>
    <s v="Website"/>
    <x v="0"/>
    <s v="Fatima Noor"/>
    <n v="119294"/>
    <n v="18436"/>
    <n v="81.099999999999994"/>
    <n v="2"/>
    <n v="3"/>
    <n v="5"/>
    <n v="20"/>
    <n v="91"/>
    <x v="0"/>
    <x v="0"/>
  </r>
  <r>
    <s v="EMP00834"/>
    <x v="158"/>
    <x v="1"/>
    <n v="33"/>
    <x v="7"/>
    <x v="5"/>
    <x v="475"/>
    <x v="1"/>
    <x v="0"/>
    <x v="4"/>
    <s v="Linkedin"/>
    <x v="3"/>
    <s v="Ahmed Raza"/>
    <n v="118983"/>
    <n v="7086"/>
    <n v="80.099999999999994"/>
    <n v="8"/>
    <n v="9"/>
    <n v="1"/>
    <n v="14"/>
    <n v="89"/>
    <x v="0"/>
    <x v="1"/>
  </r>
  <r>
    <s v="EMP00867"/>
    <x v="198"/>
    <x v="1"/>
    <n v="28"/>
    <x v="2"/>
    <x v="5"/>
    <x v="475"/>
    <x v="0"/>
    <x v="2"/>
    <x v="0"/>
    <s v="Website"/>
    <x v="7"/>
    <s v="Bilal Khan"/>
    <n v="172081"/>
    <n v="42806"/>
    <n v="87.1"/>
    <n v="3"/>
    <n v="29"/>
    <n v="4"/>
    <n v="24"/>
    <n v="86"/>
    <x v="0"/>
    <x v="0"/>
  </r>
  <r>
    <s v="EMP00047"/>
    <x v="36"/>
    <x v="0"/>
    <n v="45"/>
    <x v="6"/>
    <x v="2"/>
    <x v="476"/>
    <x v="0"/>
    <x v="1"/>
    <x v="1"/>
    <s v="Agency"/>
    <x v="4"/>
    <s v="Bilal Khan"/>
    <n v="89672"/>
    <n v="36829"/>
    <n v="86.8"/>
    <n v="2"/>
    <n v="16"/>
    <n v="5"/>
    <n v="11"/>
    <n v="64"/>
    <x v="0"/>
    <x v="0"/>
  </r>
  <r>
    <s v="EMP00325"/>
    <x v="7"/>
    <x v="0"/>
    <n v="30"/>
    <x v="6"/>
    <x v="4"/>
    <x v="476"/>
    <x v="0"/>
    <x v="0"/>
    <x v="4"/>
    <s v="Linkedin"/>
    <x v="1"/>
    <s v="Ahmed Raza"/>
    <n v="244954"/>
    <n v="13569"/>
    <n v="99.7"/>
    <n v="4"/>
    <n v="17"/>
    <n v="3"/>
    <n v="15"/>
    <n v="86"/>
    <x v="1"/>
    <x v="0"/>
  </r>
  <r>
    <s v="EMP01864"/>
    <x v="12"/>
    <x v="0"/>
    <n v="27"/>
    <x v="0"/>
    <x v="2"/>
    <x v="476"/>
    <x v="0"/>
    <x v="1"/>
    <x v="2"/>
    <s v="Campus"/>
    <x v="6"/>
    <s v="Ahmed Raza"/>
    <n v="189941"/>
    <n v="15395"/>
    <n v="83.1"/>
    <n v="8"/>
    <n v="4"/>
    <n v="2"/>
    <n v="22"/>
    <n v="78"/>
    <x v="0"/>
    <x v="0"/>
  </r>
  <r>
    <s v="EMP00148"/>
    <x v="56"/>
    <x v="0"/>
    <n v="45"/>
    <x v="2"/>
    <x v="2"/>
    <x v="477"/>
    <x v="0"/>
    <x v="1"/>
    <x v="0"/>
    <s v="Campus"/>
    <x v="6"/>
    <s v="Sara Ali"/>
    <n v="74398"/>
    <n v="44335"/>
    <n v="97.7"/>
    <n v="3"/>
    <n v="18"/>
    <n v="1"/>
    <n v="14"/>
    <n v="70"/>
    <x v="1"/>
    <x v="0"/>
  </r>
  <r>
    <s v="EMP00434"/>
    <x v="193"/>
    <x v="0"/>
    <n v="28"/>
    <x v="6"/>
    <x v="6"/>
    <x v="477"/>
    <x v="0"/>
    <x v="2"/>
    <x v="1"/>
    <s v="Agency"/>
    <x v="5"/>
    <s v="Usman Tariq"/>
    <n v="187728"/>
    <n v="42640"/>
    <n v="95.4"/>
    <n v="1"/>
    <n v="14"/>
    <n v="4"/>
    <n v="7"/>
    <n v="86"/>
    <x v="0"/>
    <x v="0"/>
  </r>
  <r>
    <s v="EMP01554"/>
    <x v="108"/>
    <x v="0"/>
    <n v="50"/>
    <x v="8"/>
    <x v="2"/>
    <x v="477"/>
    <x v="0"/>
    <x v="2"/>
    <x v="2"/>
    <s v="Linkedin"/>
    <x v="1"/>
    <s v="Fatima Noor"/>
    <n v="109293"/>
    <n v="18747"/>
    <n v="95.3"/>
    <n v="7"/>
    <n v="9"/>
    <n v="2"/>
    <n v="40"/>
    <n v="74"/>
    <x v="0"/>
    <x v="0"/>
  </r>
  <r>
    <s v="EMP01610"/>
    <x v="151"/>
    <x v="0"/>
    <n v="55"/>
    <x v="1"/>
    <x v="3"/>
    <x v="477"/>
    <x v="1"/>
    <x v="1"/>
    <x v="4"/>
    <s v="Campus"/>
    <x v="2"/>
    <s v="Sara Ali"/>
    <n v="219304"/>
    <n v="39728"/>
    <n v="85.4"/>
    <n v="6"/>
    <n v="29"/>
    <n v="1"/>
    <n v="20"/>
    <n v="82"/>
    <x v="0"/>
    <x v="5"/>
  </r>
  <r>
    <s v="EMP00163"/>
    <x v="87"/>
    <x v="0"/>
    <n v="31"/>
    <x v="0"/>
    <x v="5"/>
    <x v="478"/>
    <x v="0"/>
    <x v="2"/>
    <x v="1"/>
    <s v="Agency"/>
    <x v="7"/>
    <s v="Ahmed Raza"/>
    <n v="61028"/>
    <n v="16312"/>
    <n v="87.9"/>
    <n v="6"/>
    <n v="3"/>
    <n v="3"/>
    <n v="7"/>
    <n v="81"/>
    <x v="1"/>
    <x v="0"/>
  </r>
  <r>
    <s v="EMP00355"/>
    <x v="24"/>
    <x v="0"/>
    <n v="43"/>
    <x v="8"/>
    <x v="5"/>
    <x v="478"/>
    <x v="1"/>
    <x v="1"/>
    <x v="1"/>
    <s v="Agency"/>
    <x v="4"/>
    <s v="Usman Tariq"/>
    <n v="64091"/>
    <n v="25942"/>
    <n v="92.8"/>
    <n v="0"/>
    <n v="17"/>
    <n v="2"/>
    <n v="19"/>
    <n v="61"/>
    <x v="0"/>
    <x v="5"/>
  </r>
  <r>
    <s v="EMP01533"/>
    <x v="12"/>
    <x v="1"/>
    <n v="45"/>
    <x v="7"/>
    <x v="5"/>
    <x v="478"/>
    <x v="0"/>
    <x v="0"/>
    <x v="2"/>
    <s v="Linkedin"/>
    <x v="4"/>
    <s v="Bilal Khan"/>
    <n v="94045"/>
    <n v="23161"/>
    <n v="89.1"/>
    <n v="1"/>
    <n v="17"/>
    <n v="5"/>
    <n v="12"/>
    <n v="74"/>
    <x v="0"/>
    <x v="0"/>
  </r>
  <r>
    <s v="EMP01711"/>
    <x v="71"/>
    <x v="1"/>
    <n v="22"/>
    <x v="8"/>
    <x v="6"/>
    <x v="478"/>
    <x v="0"/>
    <x v="2"/>
    <x v="3"/>
    <s v="Website"/>
    <x v="1"/>
    <s v="Sara Ali"/>
    <n v="79748"/>
    <n v="31107"/>
    <n v="95.1"/>
    <n v="6"/>
    <n v="28"/>
    <n v="3"/>
    <n v="1"/>
    <n v="64"/>
    <x v="0"/>
    <x v="0"/>
  </r>
  <r>
    <s v="EMP01025"/>
    <x v="98"/>
    <x v="1"/>
    <n v="43"/>
    <x v="4"/>
    <x v="1"/>
    <x v="479"/>
    <x v="0"/>
    <x v="0"/>
    <x v="0"/>
    <s v="Agency"/>
    <x v="6"/>
    <s v="Fatima Noor"/>
    <n v="94889"/>
    <n v="16181"/>
    <n v="94.9"/>
    <n v="2"/>
    <n v="9"/>
    <n v="2"/>
    <n v="34"/>
    <n v="86"/>
    <x v="0"/>
    <x v="0"/>
  </r>
  <r>
    <s v="EMP01737"/>
    <x v="107"/>
    <x v="1"/>
    <n v="39"/>
    <x v="1"/>
    <x v="6"/>
    <x v="479"/>
    <x v="0"/>
    <x v="1"/>
    <x v="2"/>
    <s v="Agency"/>
    <x v="4"/>
    <s v="Bilal Khan"/>
    <n v="234092"/>
    <n v="48209"/>
    <n v="99.6"/>
    <n v="4"/>
    <n v="20"/>
    <n v="5"/>
    <n v="9"/>
    <n v="69"/>
    <x v="0"/>
    <x v="0"/>
  </r>
  <r>
    <s v="EMP00619"/>
    <x v="80"/>
    <x v="0"/>
    <n v="58"/>
    <x v="8"/>
    <x v="2"/>
    <x v="480"/>
    <x v="0"/>
    <x v="1"/>
    <x v="2"/>
    <s v="Agency"/>
    <x v="5"/>
    <s v="Sara Ali"/>
    <n v="237495"/>
    <n v="16006"/>
    <n v="84.9"/>
    <n v="2"/>
    <n v="18"/>
    <n v="3"/>
    <n v="26"/>
    <n v="72"/>
    <x v="0"/>
    <x v="0"/>
  </r>
  <r>
    <s v="EMP01490"/>
    <x v="169"/>
    <x v="0"/>
    <n v="52"/>
    <x v="0"/>
    <x v="6"/>
    <x v="480"/>
    <x v="0"/>
    <x v="2"/>
    <x v="3"/>
    <s v="Referral"/>
    <x v="1"/>
    <s v="Usman Tariq"/>
    <n v="124197"/>
    <n v="31519"/>
    <n v="82.9"/>
    <n v="5"/>
    <n v="26"/>
    <n v="1"/>
    <n v="16"/>
    <n v="74"/>
    <x v="0"/>
    <x v="0"/>
  </r>
  <r>
    <s v="EMP00965"/>
    <x v="66"/>
    <x v="1"/>
    <n v="44"/>
    <x v="7"/>
    <x v="7"/>
    <x v="481"/>
    <x v="0"/>
    <x v="0"/>
    <x v="0"/>
    <s v="Linkedin"/>
    <x v="5"/>
    <s v="Sara Ali"/>
    <n v="73336"/>
    <n v="7112"/>
    <n v="82.1"/>
    <n v="2"/>
    <n v="12"/>
    <n v="3"/>
    <n v="28"/>
    <n v="89"/>
    <x v="0"/>
    <x v="0"/>
  </r>
  <r>
    <s v="EMP01102"/>
    <x v="60"/>
    <x v="0"/>
    <n v="21"/>
    <x v="7"/>
    <x v="6"/>
    <x v="481"/>
    <x v="0"/>
    <x v="2"/>
    <x v="0"/>
    <s v="Linkedin"/>
    <x v="2"/>
    <s v="Sara Ali"/>
    <n v="96453"/>
    <n v="30940"/>
    <n v="84.8"/>
    <n v="2"/>
    <n v="14"/>
    <n v="2"/>
    <n v="22"/>
    <n v="86"/>
    <x v="0"/>
    <x v="0"/>
  </r>
  <r>
    <s v="EMP01685"/>
    <x v="147"/>
    <x v="0"/>
    <n v="58"/>
    <x v="7"/>
    <x v="0"/>
    <x v="481"/>
    <x v="0"/>
    <x v="0"/>
    <x v="1"/>
    <s v="Referral"/>
    <x v="0"/>
    <s v="Usman Tariq"/>
    <n v="229150"/>
    <n v="38696"/>
    <n v="92.3"/>
    <n v="8"/>
    <n v="19"/>
    <n v="4"/>
    <n v="15"/>
    <n v="80"/>
    <x v="1"/>
    <x v="0"/>
  </r>
  <r>
    <s v="EMP01825"/>
    <x v="142"/>
    <x v="0"/>
    <n v="30"/>
    <x v="0"/>
    <x v="6"/>
    <x v="481"/>
    <x v="0"/>
    <x v="0"/>
    <x v="1"/>
    <s v="Website"/>
    <x v="3"/>
    <s v="Sara Ali"/>
    <n v="246997"/>
    <n v="8556"/>
    <n v="94.9"/>
    <n v="2"/>
    <n v="25"/>
    <n v="4"/>
    <n v="26"/>
    <n v="87"/>
    <x v="0"/>
    <x v="0"/>
  </r>
  <r>
    <s v="EMP01891"/>
    <x v="48"/>
    <x v="0"/>
    <n v="57"/>
    <x v="3"/>
    <x v="2"/>
    <x v="481"/>
    <x v="0"/>
    <x v="0"/>
    <x v="4"/>
    <s v="Linkedin"/>
    <x v="0"/>
    <s v="Bilal Khan"/>
    <n v="222612"/>
    <n v="34285"/>
    <n v="90"/>
    <n v="6"/>
    <n v="7"/>
    <n v="4"/>
    <n v="4"/>
    <n v="87"/>
    <x v="0"/>
    <x v="0"/>
  </r>
  <r>
    <s v="EMP00121"/>
    <x v="185"/>
    <x v="1"/>
    <n v="29"/>
    <x v="2"/>
    <x v="2"/>
    <x v="482"/>
    <x v="0"/>
    <x v="1"/>
    <x v="3"/>
    <s v="Agency"/>
    <x v="7"/>
    <s v="Fatima Noor"/>
    <n v="63047"/>
    <n v="29503"/>
    <n v="86.2"/>
    <n v="6"/>
    <n v="24"/>
    <n v="4"/>
    <n v="33"/>
    <n v="64"/>
    <x v="0"/>
    <x v="0"/>
  </r>
  <r>
    <s v="EMP00706"/>
    <x v="97"/>
    <x v="0"/>
    <n v="60"/>
    <x v="7"/>
    <x v="5"/>
    <x v="482"/>
    <x v="0"/>
    <x v="1"/>
    <x v="0"/>
    <s v="Campus"/>
    <x v="3"/>
    <s v="Usman Tariq"/>
    <n v="40088"/>
    <n v="13167"/>
    <n v="86.3"/>
    <n v="4"/>
    <n v="23"/>
    <n v="2"/>
    <n v="18"/>
    <n v="89"/>
    <x v="0"/>
    <x v="0"/>
  </r>
  <r>
    <s v="EMP00954"/>
    <x v="32"/>
    <x v="1"/>
    <n v="55"/>
    <x v="0"/>
    <x v="5"/>
    <x v="482"/>
    <x v="0"/>
    <x v="1"/>
    <x v="0"/>
    <s v="Website"/>
    <x v="3"/>
    <s v="Bilal Khan"/>
    <n v="112367"/>
    <n v="22883"/>
    <n v="91"/>
    <n v="9"/>
    <n v="16"/>
    <n v="3"/>
    <n v="40"/>
    <n v="66"/>
    <x v="1"/>
    <x v="0"/>
  </r>
  <r>
    <s v="EMP01122"/>
    <x v="85"/>
    <x v="1"/>
    <n v="47"/>
    <x v="4"/>
    <x v="3"/>
    <x v="482"/>
    <x v="0"/>
    <x v="2"/>
    <x v="3"/>
    <s v="Referral"/>
    <x v="1"/>
    <s v="Fatima Noor"/>
    <n v="150491"/>
    <n v="7275"/>
    <n v="94.4"/>
    <n v="8"/>
    <n v="28"/>
    <n v="3"/>
    <n v="31"/>
    <n v="70"/>
    <x v="0"/>
    <x v="0"/>
  </r>
  <r>
    <s v="EMP01445"/>
    <x v="103"/>
    <x v="0"/>
    <n v="28"/>
    <x v="5"/>
    <x v="1"/>
    <x v="482"/>
    <x v="0"/>
    <x v="0"/>
    <x v="0"/>
    <s v="Website"/>
    <x v="2"/>
    <s v="Ahmed Raza"/>
    <n v="242536"/>
    <n v="16171"/>
    <n v="95.7"/>
    <n v="1"/>
    <n v="19"/>
    <n v="2"/>
    <n v="1"/>
    <n v="79"/>
    <x v="0"/>
    <x v="0"/>
  </r>
  <r>
    <s v="EMP01892"/>
    <x v="150"/>
    <x v="1"/>
    <n v="25"/>
    <x v="2"/>
    <x v="4"/>
    <x v="482"/>
    <x v="0"/>
    <x v="1"/>
    <x v="1"/>
    <s v="Website"/>
    <x v="7"/>
    <s v="Bilal Khan"/>
    <n v="54796"/>
    <n v="10428"/>
    <n v="91"/>
    <n v="5"/>
    <n v="16"/>
    <n v="5"/>
    <n v="36"/>
    <n v="79"/>
    <x v="0"/>
    <x v="0"/>
  </r>
  <r>
    <s v="EMP01391"/>
    <x v="81"/>
    <x v="0"/>
    <n v="28"/>
    <x v="8"/>
    <x v="7"/>
    <x v="483"/>
    <x v="0"/>
    <x v="1"/>
    <x v="2"/>
    <s v="Referral"/>
    <x v="4"/>
    <s v="Ahmed Raza"/>
    <n v="139392"/>
    <n v="40551"/>
    <n v="88.8"/>
    <n v="5"/>
    <n v="21"/>
    <n v="2"/>
    <n v="35"/>
    <n v="100"/>
    <x v="0"/>
    <x v="0"/>
  </r>
  <r>
    <s v="EMP00185"/>
    <x v="87"/>
    <x v="0"/>
    <n v="23"/>
    <x v="0"/>
    <x v="0"/>
    <x v="484"/>
    <x v="0"/>
    <x v="0"/>
    <x v="2"/>
    <s v="Website"/>
    <x v="3"/>
    <s v="Sara Ali"/>
    <n v="82904"/>
    <n v="16684"/>
    <n v="98"/>
    <n v="4"/>
    <n v="22"/>
    <n v="1"/>
    <n v="24"/>
    <n v="94"/>
    <x v="0"/>
    <x v="0"/>
  </r>
  <r>
    <s v="EMP00915"/>
    <x v="81"/>
    <x v="0"/>
    <n v="41"/>
    <x v="1"/>
    <x v="6"/>
    <x v="485"/>
    <x v="0"/>
    <x v="0"/>
    <x v="0"/>
    <s v="Agency"/>
    <x v="0"/>
    <s v="Usman Tariq"/>
    <n v="118854"/>
    <n v="22341"/>
    <n v="100"/>
    <n v="7"/>
    <n v="17"/>
    <n v="2"/>
    <n v="27"/>
    <n v="60"/>
    <x v="0"/>
    <x v="0"/>
  </r>
  <r>
    <s v="EMP01473"/>
    <x v="189"/>
    <x v="0"/>
    <n v="23"/>
    <x v="0"/>
    <x v="3"/>
    <x v="485"/>
    <x v="0"/>
    <x v="0"/>
    <x v="3"/>
    <s v="Linkedin"/>
    <x v="4"/>
    <s v="Fatima Noor"/>
    <n v="214936"/>
    <n v="32299"/>
    <n v="98.4"/>
    <n v="9"/>
    <n v="5"/>
    <n v="2"/>
    <n v="15"/>
    <n v="75"/>
    <x v="0"/>
    <x v="0"/>
  </r>
  <r>
    <s v="EMP01622"/>
    <x v="164"/>
    <x v="1"/>
    <n v="41"/>
    <x v="5"/>
    <x v="4"/>
    <x v="485"/>
    <x v="0"/>
    <x v="2"/>
    <x v="3"/>
    <s v="Website"/>
    <x v="5"/>
    <s v="Usman Tariq"/>
    <n v="189055"/>
    <n v="6893"/>
    <n v="93.6"/>
    <n v="1"/>
    <n v="15"/>
    <n v="5"/>
    <n v="26"/>
    <n v="68"/>
    <x v="0"/>
    <x v="0"/>
  </r>
  <r>
    <s v="EMP01294"/>
    <x v="128"/>
    <x v="1"/>
    <n v="52"/>
    <x v="1"/>
    <x v="4"/>
    <x v="486"/>
    <x v="0"/>
    <x v="0"/>
    <x v="1"/>
    <s v="Linkedin"/>
    <x v="4"/>
    <s v="Fatima Noor"/>
    <n v="156119"/>
    <n v="48474"/>
    <n v="99.4"/>
    <n v="5"/>
    <n v="22"/>
    <n v="4"/>
    <n v="40"/>
    <n v="79"/>
    <x v="0"/>
    <x v="0"/>
  </r>
  <r>
    <s v="EMP00095"/>
    <x v="101"/>
    <x v="1"/>
    <n v="27"/>
    <x v="1"/>
    <x v="3"/>
    <x v="487"/>
    <x v="0"/>
    <x v="2"/>
    <x v="3"/>
    <s v="Campus"/>
    <x v="0"/>
    <s v="Sara Ali"/>
    <n v="77738"/>
    <n v="26512"/>
    <n v="95"/>
    <n v="6"/>
    <n v="7"/>
    <n v="4"/>
    <n v="36"/>
    <n v="78"/>
    <x v="1"/>
    <x v="0"/>
  </r>
  <r>
    <s v="EMP00918"/>
    <x v="44"/>
    <x v="1"/>
    <n v="44"/>
    <x v="0"/>
    <x v="1"/>
    <x v="487"/>
    <x v="0"/>
    <x v="1"/>
    <x v="1"/>
    <s v="Referral"/>
    <x v="0"/>
    <s v="Sara Ali"/>
    <n v="236117"/>
    <n v="47675"/>
    <n v="81"/>
    <n v="8"/>
    <n v="17"/>
    <n v="2"/>
    <n v="17"/>
    <n v="97"/>
    <x v="0"/>
    <x v="0"/>
  </r>
  <r>
    <s v="EMP01853"/>
    <x v="133"/>
    <x v="1"/>
    <n v="40"/>
    <x v="3"/>
    <x v="4"/>
    <x v="487"/>
    <x v="0"/>
    <x v="0"/>
    <x v="3"/>
    <s v="Website"/>
    <x v="7"/>
    <s v="Usman Tariq"/>
    <n v="71201"/>
    <n v="32120"/>
    <n v="87.4"/>
    <n v="7"/>
    <n v="17"/>
    <n v="3"/>
    <n v="34"/>
    <n v="87"/>
    <x v="0"/>
    <x v="0"/>
  </r>
  <r>
    <s v="EMP01941"/>
    <x v="14"/>
    <x v="0"/>
    <n v="44"/>
    <x v="7"/>
    <x v="0"/>
    <x v="487"/>
    <x v="0"/>
    <x v="0"/>
    <x v="1"/>
    <s v="Agency"/>
    <x v="2"/>
    <s v="Fatima Noor"/>
    <n v="221972"/>
    <n v="49528"/>
    <n v="89.4"/>
    <n v="5"/>
    <n v="15"/>
    <n v="2"/>
    <n v="24"/>
    <n v="75"/>
    <x v="1"/>
    <x v="0"/>
  </r>
  <r>
    <s v="EMP01526"/>
    <x v="57"/>
    <x v="1"/>
    <n v="34"/>
    <x v="0"/>
    <x v="1"/>
    <x v="488"/>
    <x v="0"/>
    <x v="0"/>
    <x v="2"/>
    <s v="Agency"/>
    <x v="1"/>
    <s v="Sara Ali"/>
    <n v="223846"/>
    <n v="31064"/>
    <n v="94.7"/>
    <n v="1"/>
    <n v="14"/>
    <n v="4"/>
    <n v="14"/>
    <n v="67"/>
    <x v="0"/>
    <x v="0"/>
  </r>
  <r>
    <s v="EMP00014"/>
    <x v="56"/>
    <x v="1"/>
    <n v="32"/>
    <x v="0"/>
    <x v="5"/>
    <x v="489"/>
    <x v="0"/>
    <x v="0"/>
    <x v="3"/>
    <s v="Agency"/>
    <x v="6"/>
    <s v="Usman Tariq"/>
    <n v="202776"/>
    <n v="35084"/>
    <n v="94.4"/>
    <n v="7"/>
    <n v="15"/>
    <n v="2"/>
    <n v="33"/>
    <n v="61"/>
    <x v="0"/>
    <x v="0"/>
  </r>
  <r>
    <s v="EMP01591"/>
    <x v="117"/>
    <x v="0"/>
    <n v="50"/>
    <x v="5"/>
    <x v="7"/>
    <x v="489"/>
    <x v="1"/>
    <x v="1"/>
    <x v="4"/>
    <s v="Linkedin"/>
    <x v="0"/>
    <s v="Bilal Khan"/>
    <n v="150328"/>
    <n v="35853"/>
    <n v="94.5"/>
    <n v="10"/>
    <n v="0"/>
    <n v="2"/>
    <n v="23"/>
    <n v="71"/>
    <x v="0"/>
    <x v="5"/>
  </r>
  <r>
    <s v="EMP00342"/>
    <x v="69"/>
    <x v="0"/>
    <n v="37"/>
    <x v="5"/>
    <x v="1"/>
    <x v="490"/>
    <x v="0"/>
    <x v="2"/>
    <x v="1"/>
    <s v="Website"/>
    <x v="0"/>
    <s v="Fatima Noor"/>
    <n v="177344"/>
    <n v="13409"/>
    <n v="84.7"/>
    <n v="10"/>
    <n v="8"/>
    <n v="4"/>
    <n v="13"/>
    <n v="79"/>
    <x v="0"/>
    <x v="0"/>
  </r>
  <r>
    <s v="EMP00529"/>
    <x v="44"/>
    <x v="0"/>
    <n v="44"/>
    <x v="7"/>
    <x v="2"/>
    <x v="490"/>
    <x v="0"/>
    <x v="0"/>
    <x v="3"/>
    <s v="Linkedin"/>
    <x v="6"/>
    <s v="Usman Tariq"/>
    <n v="74946"/>
    <n v="8165"/>
    <n v="93.6"/>
    <n v="9"/>
    <n v="4"/>
    <n v="2"/>
    <n v="13"/>
    <n v="70"/>
    <x v="0"/>
    <x v="0"/>
  </r>
  <r>
    <s v="EMP00723"/>
    <x v="29"/>
    <x v="0"/>
    <n v="24"/>
    <x v="7"/>
    <x v="6"/>
    <x v="491"/>
    <x v="0"/>
    <x v="2"/>
    <x v="0"/>
    <s v="Website"/>
    <x v="2"/>
    <s v="Ahmed Raza"/>
    <n v="49762"/>
    <n v="44190"/>
    <n v="84.2"/>
    <n v="4"/>
    <n v="5"/>
    <n v="3"/>
    <n v="1"/>
    <n v="62"/>
    <x v="0"/>
    <x v="0"/>
  </r>
  <r>
    <s v="EMP01432"/>
    <x v="175"/>
    <x v="1"/>
    <n v="58"/>
    <x v="5"/>
    <x v="0"/>
    <x v="491"/>
    <x v="0"/>
    <x v="2"/>
    <x v="2"/>
    <s v="Website"/>
    <x v="7"/>
    <s v="Fatima Noor"/>
    <n v="91434"/>
    <n v="20463"/>
    <n v="93.4"/>
    <n v="9"/>
    <n v="18"/>
    <n v="2"/>
    <n v="34"/>
    <n v="85"/>
    <x v="0"/>
    <x v="0"/>
  </r>
  <r>
    <s v="EMP01046"/>
    <x v="123"/>
    <x v="1"/>
    <n v="31"/>
    <x v="8"/>
    <x v="1"/>
    <x v="492"/>
    <x v="0"/>
    <x v="2"/>
    <x v="3"/>
    <s v="Website"/>
    <x v="3"/>
    <s v="Bilal Khan"/>
    <n v="75336"/>
    <n v="9346"/>
    <n v="98.4"/>
    <n v="8"/>
    <n v="17"/>
    <n v="5"/>
    <n v="16"/>
    <n v="81"/>
    <x v="0"/>
    <x v="0"/>
  </r>
  <r>
    <s v="EMP01691"/>
    <x v="172"/>
    <x v="0"/>
    <n v="21"/>
    <x v="1"/>
    <x v="5"/>
    <x v="492"/>
    <x v="0"/>
    <x v="0"/>
    <x v="0"/>
    <s v="Referral"/>
    <x v="7"/>
    <s v="Ahmed Raza"/>
    <n v="35261"/>
    <n v="28984"/>
    <n v="98.5"/>
    <n v="5"/>
    <n v="28"/>
    <n v="5"/>
    <n v="32"/>
    <n v="91"/>
    <x v="0"/>
    <x v="0"/>
  </r>
  <r>
    <s v="EMP00092"/>
    <x v="108"/>
    <x v="1"/>
    <n v="39"/>
    <x v="0"/>
    <x v="0"/>
    <x v="493"/>
    <x v="0"/>
    <x v="1"/>
    <x v="3"/>
    <s v="Linkedin"/>
    <x v="1"/>
    <s v="Sara Ali"/>
    <n v="136087"/>
    <n v="8087"/>
    <n v="95.7"/>
    <n v="3"/>
    <n v="1"/>
    <n v="4"/>
    <n v="21"/>
    <n v="69"/>
    <x v="0"/>
    <x v="0"/>
  </r>
  <r>
    <s v="EMP00387"/>
    <x v="44"/>
    <x v="1"/>
    <n v="35"/>
    <x v="0"/>
    <x v="3"/>
    <x v="493"/>
    <x v="0"/>
    <x v="1"/>
    <x v="4"/>
    <s v="Agency"/>
    <x v="5"/>
    <s v="Ahmed Raza"/>
    <n v="96782"/>
    <n v="36982"/>
    <n v="90.9"/>
    <n v="8"/>
    <n v="19"/>
    <n v="1"/>
    <n v="6"/>
    <n v="74"/>
    <x v="0"/>
    <x v="0"/>
  </r>
  <r>
    <s v="EMP01071"/>
    <x v="58"/>
    <x v="1"/>
    <n v="57"/>
    <x v="0"/>
    <x v="4"/>
    <x v="493"/>
    <x v="0"/>
    <x v="2"/>
    <x v="0"/>
    <s v="Linkedin"/>
    <x v="2"/>
    <s v="Sara Ali"/>
    <n v="35240"/>
    <n v="20403"/>
    <n v="96.2"/>
    <n v="4"/>
    <n v="7"/>
    <n v="2"/>
    <n v="2"/>
    <n v="72"/>
    <x v="0"/>
    <x v="0"/>
  </r>
  <r>
    <s v="EMP01739"/>
    <x v="147"/>
    <x v="1"/>
    <n v="53"/>
    <x v="3"/>
    <x v="5"/>
    <x v="493"/>
    <x v="0"/>
    <x v="2"/>
    <x v="1"/>
    <s v="Campus"/>
    <x v="2"/>
    <s v="Fatima Noor"/>
    <n v="80480"/>
    <n v="39644"/>
    <n v="81.2"/>
    <n v="3"/>
    <n v="27"/>
    <n v="4"/>
    <n v="20"/>
    <n v="99"/>
    <x v="0"/>
    <x v="0"/>
  </r>
  <r>
    <s v="EMP00099"/>
    <x v="90"/>
    <x v="1"/>
    <n v="51"/>
    <x v="7"/>
    <x v="6"/>
    <x v="494"/>
    <x v="0"/>
    <x v="0"/>
    <x v="1"/>
    <s v="Agency"/>
    <x v="0"/>
    <s v="Sara Ali"/>
    <n v="73063"/>
    <n v="48168"/>
    <n v="99.4"/>
    <n v="9"/>
    <n v="21"/>
    <n v="3"/>
    <n v="4"/>
    <n v="68"/>
    <x v="0"/>
    <x v="0"/>
  </r>
  <r>
    <s v="EMP00733"/>
    <x v="147"/>
    <x v="0"/>
    <n v="25"/>
    <x v="1"/>
    <x v="6"/>
    <x v="495"/>
    <x v="0"/>
    <x v="1"/>
    <x v="4"/>
    <s v="Website"/>
    <x v="6"/>
    <s v="Bilal Khan"/>
    <n v="228518"/>
    <n v="8928"/>
    <n v="91.6"/>
    <n v="9"/>
    <n v="24"/>
    <n v="1"/>
    <n v="14"/>
    <n v="75"/>
    <x v="0"/>
    <x v="0"/>
  </r>
  <r>
    <s v="EMP01218"/>
    <x v="83"/>
    <x v="1"/>
    <n v="40"/>
    <x v="7"/>
    <x v="5"/>
    <x v="495"/>
    <x v="0"/>
    <x v="0"/>
    <x v="4"/>
    <s v="Linkedin"/>
    <x v="6"/>
    <s v="Bilal Khan"/>
    <n v="211678"/>
    <n v="45766"/>
    <n v="94.4"/>
    <n v="3"/>
    <n v="28"/>
    <n v="2"/>
    <n v="27"/>
    <n v="83"/>
    <x v="0"/>
    <x v="0"/>
  </r>
  <r>
    <s v="EMP00648"/>
    <x v="157"/>
    <x v="0"/>
    <n v="59"/>
    <x v="1"/>
    <x v="3"/>
    <x v="496"/>
    <x v="0"/>
    <x v="1"/>
    <x v="0"/>
    <s v="Referral"/>
    <x v="1"/>
    <s v="Ahmed Raza"/>
    <n v="164357"/>
    <n v="26189"/>
    <n v="96.6"/>
    <n v="5"/>
    <n v="3"/>
    <n v="2"/>
    <n v="8"/>
    <n v="61"/>
    <x v="0"/>
    <x v="0"/>
  </r>
  <r>
    <s v="EMP01666"/>
    <x v="0"/>
    <x v="1"/>
    <n v="24"/>
    <x v="2"/>
    <x v="0"/>
    <x v="496"/>
    <x v="1"/>
    <x v="2"/>
    <x v="0"/>
    <s v="Website"/>
    <x v="1"/>
    <s v="Ahmed Raza"/>
    <n v="53130"/>
    <n v="38445"/>
    <n v="89.5"/>
    <n v="4"/>
    <n v="26"/>
    <n v="2"/>
    <n v="34"/>
    <n v="90"/>
    <x v="1"/>
    <x v="2"/>
  </r>
  <r>
    <s v="EMP01572"/>
    <x v="143"/>
    <x v="0"/>
    <n v="31"/>
    <x v="3"/>
    <x v="2"/>
    <x v="497"/>
    <x v="0"/>
    <x v="1"/>
    <x v="0"/>
    <s v="Linkedin"/>
    <x v="2"/>
    <s v="Bilal Khan"/>
    <n v="244881"/>
    <n v="41627"/>
    <n v="91.8"/>
    <n v="0"/>
    <n v="26"/>
    <n v="3"/>
    <n v="7"/>
    <n v="95"/>
    <x v="0"/>
    <x v="0"/>
  </r>
  <r>
    <s v="EMP00942"/>
    <x v="159"/>
    <x v="1"/>
    <n v="42"/>
    <x v="3"/>
    <x v="2"/>
    <x v="498"/>
    <x v="0"/>
    <x v="0"/>
    <x v="2"/>
    <s v="Campus"/>
    <x v="1"/>
    <s v="Ahmed Raza"/>
    <n v="52687"/>
    <n v="22550"/>
    <n v="99.9"/>
    <n v="6"/>
    <n v="28"/>
    <n v="2"/>
    <n v="30"/>
    <n v="64"/>
    <x v="0"/>
    <x v="0"/>
  </r>
  <r>
    <s v="EMP00970"/>
    <x v="184"/>
    <x v="1"/>
    <n v="58"/>
    <x v="2"/>
    <x v="0"/>
    <x v="498"/>
    <x v="0"/>
    <x v="1"/>
    <x v="1"/>
    <s v="Agency"/>
    <x v="0"/>
    <s v="Ahmed Raza"/>
    <n v="79325"/>
    <n v="45592"/>
    <n v="86.8"/>
    <n v="4"/>
    <n v="11"/>
    <n v="2"/>
    <n v="40"/>
    <n v="79"/>
    <x v="0"/>
    <x v="0"/>
  </r>
  <r>
    <s v="EMP00396"/>
    <x v="138"/>
    <x v="0"/>
    <n v="49"/>
    <x v="0"/>
    <x v="6"/>
    <x v="499"/>
    <x v="0"/>
    <x v="2"/>
    <x v="0"/>
    <s v="Campus"/>
    <x v="7"/>
    <s v="Ahmed Raza"/>
    <n v="106035"/>
    <n v="10132"/>
    <n v="86.9"/>
    <n v="4"/>
    <n v="28"/>
    <n v="4"/>
    <n v="15"/>
    <n v="100"/>
    <x v="0"/>
    <x v="0"/>
  </r>
  <r>
    <s v="EMP01566"/>
    <x v="119"/>
    <x v="1"/>
    <n v="21"/>
    <x v="3"/>
    <x v="6"/>
    <x v="499"/>
    <x v="1"/>
    <x v="1"/>
    <x v="2"/>
    <s v="Website"/>
    <x v="6"/>
    <s v="Sara Ali"/>
    <n v="182467"/>
    <n v="24708"/>
    <n v="84.3"/>
    <n v="9"/>
    <n v="4"/>
    <n v="4"/>
    <n v="22"/>
    <n v="100"/>
    <x v="0"/>
    <x v="1"/>
  </r>
  <r>
    <s v="EMP00475"/>
    <x v="136"/>
    <x v="0"/>
    <n v="36"/>
    <x v="3"/>
    <x v="5"/>
    <x v="500"/>
    <x v="0"/>
    <x v="0"/>
    <x v="1"/>
    <s v="Agency"/>
    <x v="3"/>
    <s v="Ahmed Raza"/>
    <n v="35418"/>
    <n v="42167"/>
    <n v="94.5"/>
    <n v="3"/>
    <n v="19"/>
    <n v="4"/>
    <n v="4"/>
    <n v="67"/>
    <x v="0"/>
    <x v="0"/>
  </r>
  <r>
    <s v="EMP01488"/>
    <x v="75"/>
    <x v="1"/>
    <n v="53"/>
    <x v="4"/>
    <x v="1"/>
    <x v="500"/>
    <x v="0"/>
    <x v="1"/>
    <x v="3"/>
    <s v="Website"/>
    <x v="7"/>
    <s v="Bilal Khan"/>
    <n v="115895"/>
    <n v="24951"/>
    <n v="85.6"/>
    <n v="0"/>
    <n v="15"/>
    <n v="2"/>
    <n v="11"/>
    <n v="66"/>
    <x v="0"/>
    <x v="0"/>
  </r>
  <r>
    <s v="EMP00665"/>
    <x v="132"/>
    <x v="0"/>
    <n v="28"/>
    <x v="0"/>
    <x v="3"/>
    <x v="501"/>
    <x v="0"/>
    <x v="1"/>
    <x v="2"/>
    <s v="Campus"/>
    <x v="2"/>
    <s v="Ahmed Raza"/>
    <n v="199193"/>
    <n v="21869"/>
    <n v="92.2"/>
    <n v="8"/>
    <n v="25"/>
    <n v="1"/>
    <n v="25"/>
    <n v="95"/>
    <x v="1"/>
    <x v="0"/>
  </r>
  <r>
    <s v="EMP01120"/>
    <x v="85"/>
    <x v="0"/>
    <n v="49"/>
    <x v="8"/>
    <x v="4"/>
    <x v="501"/>
    <x v="0"/>
    <x v="2"/>
    <x v="1"/>
    <s v="Referral"/>
    <x v="6"/>
    <s v="Bilal Khan"/>
    <n v="110461"/>
    <n v="49258"/>
    <n v="92.3"/>
    <n v="8"/>
    <n v="16"/>
    <n v="1"/>
    <n v="0"/>
    <n v="86"/>
    <x v="1"/>
    <x v="0"/>
  </r>
  <r>
    <s v="EMP00031"/>
    <x v="100"/>
    <x v="1"/>
    <n v="47"/>
    <x v="0"/>
    <x v="4"/>
    <x v="502"/>
    <x v="0"/>
    <x v="0"/>
    <x v="1"/>
    <s v="Website"/>
    <x v="4"/>
    <s v="Usman Tariq"/>
    <n v="248678"/>
    <n v="42128"/>
    <n v="90"/>
    <n v="8"/>
    <n v="27"/>
    <n v="1"/>
    <n v="15"/>
    <n v="66"/>
    <x v="0"/>
    <x v="0"/>
  </r>
  <r>
    <s v="EMP00289"/>
    <x v="25"/>
    <x v="0"/>
    <n v="44"/>
    <x v="2"/>
    <x v="5"/>
    <x v="502"/>
    <x v="0"/>
    <x v="1"/>
    <x v="3"/>
    <s v="Referral"/>
    <x v="7"/>
    <s v="Usman Tariq"/>
    <n v="94812"/>
    <n v="20472"/>
    <n v="80.2"/>
    <n v="1"/>
    <n v="28"/>
    <n v="1"/>
    <n v="35"/>
    <n v="88"/>
    <x v="0"/>
    <x v="0"/>
  </r>
  <r>
    <s v="EMP01647"/>
    <x v="42"/>
    <x v="0"/>
    <n v="48"/>
    <x v="1"/>
    <x v="2"/>
    <x v="502"/>
    <x v="0"/>
    <x v="2"/>
    <x v="4"/>
    <s v="Referral"/>
    <x v="0"/>
    <s v="Ahmed Raza"/>
    <n v="158397"/>
    <n v="11290"/>
    <n v="80.2"/>
    <n v="10"/>
    <n v="1"/>
    <n v="5"/>
    <n v="10"/>
    <n v="90"/>
    <x v="0"/>
    <x v="0"/>
  </r>
  <r>
    <s v="EMP00366"/>
    <x v="58"/>
    <x v="0"/>
    <n v="30"/>
    <x v="8"/>
    <x v="6"/>
    <x v="503"/>
    <x v="0"/>
    <x v="0"/>
    <x v="0"/>
    <s v="Linkedin"/>
    <x v="4"/>
    <s v="Sara Ali"/>
    <n v="157356"/>
    <n v="8613"/>
    <n v="85"/>
    <n v="0"/>
    <n v="16"/>
    <n v="4"/>
    <n v="16"/>
    <n v="97"/>
    <x v="0"/>
    <x v="0"/>
  </r>
  <r>
    <s v="EMP01458"/>
    <x v="193"/>
    <x v="1"/>
    <n v="53"/>
    <x v="7"/>
    <x v="6"/>
    <x v="503"/>
    <x v="0"/>
    <x v="2"/>
    <x v="3"/>
    <s v="Website"/>
    <x v="2"/>
    <s v="Usman Tariq"/>
    <n v="48840"/>
    <n v="15313"/>
    <n v="88"/>
    <n v="10"/>
    <n v="26"/>
    <n v="3"/>
    <n v="13"/>
    <n v="68"/>
    <x v="0"/>
    <x v="0"/>
  </r>
  <r>
    <s v="EMP00462"/>
    <x v="5"/>
    <x v="1"/>
    <n v="58"/>
    <x v="4"/>
    <x v="4"/>
    <x v="504"/>
    <x v="0"/>
    <x v="2"/>
    <x v="3"/>
    <s v="Agency"/>
    <x v="0"/>
    <s v="Usman Tariq"/>
    <n v="125202"/>
    <n v="48880"/>
    <n v="87.1"/>
    <n v="10"/>
    <n v="20"/>
    <n v="2"/>
    <n v="32"/>
    <n v="90"/>
    <x v="0"/>
    <x v="0"/>
  </r>
  <r>
    <s v="EMP01381"/>
    <x v="95"/>
    <x v="0"/>
    <n v="41"/>
    <x v="0"/>
    <x v="6"/>
    <x v="504"/>
    <x v="0"/>
    <x v="2"/>
    <x v="1"/>
    <s v="Referral"/>
    <x v="4"/>
    <s v="Sara Ali"/>
    <n v="132330"/>
    <n v="9411"/>
    <n v="82.8"/>
    <n v="4"/>
    <n v="29"/>
    <n v="1"/>
    <n v="13"/>
    <n v="79"/>
    <x v="0"/>
    <x v="0"/>
  </r>
  <r>
    <s v="EMP01512"/>
    <x v="67"/>
    <x v="0"/>
    <n v="54"/>
    <x v="6"/>
    <x v="5"/>
    <x v="504"/>
    <x v="0"/>
    <x v="1"/>
    <x v="3"/>
    <s v="Agency"/>
    <x v="5"/>
    <s v="Ahmed Raza"/>
    <n v="216231"/>
    <n v="23119"/>
    <n v="90.1"/>
    <n v="7"/>
    <n v="26"/>
    <n v="2"/>
    <n v="17"/>
    <n v="94"/>
    <x v="0"/>
    <x v="0"/>
  </r>
  <r>
    <s v="EMP00382"/>
    <x v="148"/>
    <x v="1"/>
    <n v="37"/>
    <x v="3"/>
    <x v="7"/>
    <x v="505"/>
    <x v="0"/>
    <x v="0"/>
    <x v="3"/>
    <s v="Campus"/>
    <x v="4"/>
    <s v="Usman Tariq"/>
    <n v="42319"/>
    <n v="41158"/>
    <n v="92"/>
    <n v="2"/>
    <n v="13"/>
    <n v="2"/>
    <n v="10"/>
    <n v="89"/>
    <x v="1"/>
    <x v="0"/>
  </r>
  <r>
    <s v="EMP00483"/>
    <x v="81"/>
    <x v="0"/>
    <n v="57"/>
    <x v="2"/>
    <x v="6"/>
    <x v="505"/>
    <x v="0"/>
    <x v="0"/>
    <x v="3"/>
    <s v="Agency"/>
    <x v="0"/>
    <s v="Fatima Noor"/>
    <n v="73229"/>
    <n v="11794"/>
    <n v="90"/>
    <n v="2"/>
    <n v="15"/>
    <n v="5"/>
    <n v="15"/>
    <n v="87"/>
    <x v="0"/>
    <x v="0"/>
  </r>
  <r>
    <s v="EMP00510"/>
    <x v="124"/>
    <x v="0"/>
    <n v="40"/>
    <x v="1"/>
    <x v="5"/>
    <x v="505"/>
    <x v="0"/>
    <x v="2"/>
    <x v="1"/>
    <s v="Referral"/>
    <x v="2"/>
    <s v="Usman Tariq"/>
    <n v="57123"/>
    <n v="6927"/>
    <n v="92.2"/>
    <n v="1"/>
    <n v="20"/>
    <n v="1"/>
    <n v="5"/>
    <n v="72"/>
    <x v="0"/>
    <x v="0"/>
  </r>
  <r>
    <s v="EMP00731"/>
    <x v="168"/>
    <x v="0"/>
    <n v="26"/>
    <x v="7"/>
    <x v="7"/>
    <x v="505"/>
    <x v="0"/>
    <x v="0"/>
    <x v="3"/>
    <s v="Referral"/>
    <x v="0"/>
    <s v="Sara Ali"/>
    <n v="225454"/>
    <n v="30207"/>
    <n v="85.7"/>
    <n v="3"/>
    <n v="24"/>
    <n v="4"/>
    <n v="19"/>
    <n v="77"/>
    <x v="0"/>
    <x v="0"/>
  </r>
  <r>
    <s v="EMP00240"/>
    <x v="102"/>
    <x v="1"/>
    <n v="33"/>
    <x v="8"/>
    <x v="6"/>
    <x v="506"/>
    <x v="0"/>
    <x v="2"/>
    <x v="0"/>
    <s v="Referral"/>
    <x v="6"/>
    <s v="Usman Tariq"/>
    <n v="56941"/>
    <n v="39276"/>
    <n v="97.4"/>
    <n v="4"/>
    <n v="9"/>
    <n v="2"/>
    <n v="18"/>
    <n v="63"/>
    <x v="0"/>
    <x v="0"/>
  </r>
  <r>
    <s v="EMP00375"/>
    <x v="133"/>
    <x v="0"/>
    <n v="33"/>
    <x v="3"/>
    <x v="2"/>
    <x v="506"/>
    <x v="0"/>
    <x v="1"/>
    <x v="1"/>
    <s v="Referral"/>
    <x v="7"/>
    <s v="Usman Tariq"/>
    <n v="135724"/>
    <n v="36620"/>
    <n v="90.5"/>
    <n v="6"/>
    <n v="7"/>
    <n v="5"/>
    <n v="35"/>
    <n v="62"/>
    <x v="0"/>
    <x v="0"/>
  </r>
  <r>
    <s v="EMP01839"/>
    <x v="119"/>
    <x v="0"/>
    <n v="27"/>
    <x v="5"/>
    <x v="5"/>
    <x v="506"/>
    <x v="0"/>
    <x v="2"/>
    <x v="0"/>
    <s v="Agency"/>
    <x v="4"/>
    <s v="Bilal Khan"/>
    <n v="36192"/>
    <n v="24171"/>
    <n v="82.4"/>
    <n v="7"/>
    <n v="5"/>
    <n v="5"/>
    <n v="19"/>
    <n v="73"/>
    <x v="0"/>
    <x v="0"/>
  </r>
  <r>
    <s v="EMP01982"/>
    <x v="24"/>
    <x v="1"/>
    <n v="35"/>
    <x v="8"/>
    <x v="6"/>
    <x v="506"/>
    <x v="0"/>
    <x v="2"/>
    <x v="3"/>
    <s v="Campus"/>
    <x v="6"/>
    <s v="Sara Ali"/>
    <n v="139177"/>
    <n v="25831"/>
    <n v="82.5"/>
    <n v="2"/>
    <n v="25"/>
    <n v="1"/>
    <n v="35"/>
    <n v="76"/>
    <x v="0"/>
    <x v="0"/>
  </r>
  <r>
    <s v="EMP00760"/>
    <x v="85"/>
    <x v="1"/>
    <n v="41"/>
    <x v="1"/>
    <x v="6"/>
    <x v="507"/>
    <x v="0"/>
    <x v="1"/>
    <x v="1"/>
    <s v="Campus"/>
    <x v="7"/>
    <s v="Sara Ali"/>
    <n v="116517"/>
    <n v="22936"/>
    <n v="83.1"/>
    <n v="2"/>
    <n v="12"/>
    <n v="2"/>
    <n v="17"/>
    <n v="89"/>
    <x v="0"/>
    <x v="0"/>
  </r>
  <r>
    <s v="EMP01255"/>
    <x v="95"/>
    <x v="0"/>
    <n v="57"/>
    <x v="8"/>
    <x v="5"/>
    <x v="508"/>
    <x v="0"/>
    <x v="0"/>
    <x v="4"/>
    <s v="Referral"/>
    <x v="7"/>
    <s v="Usman Tariq"/>
    <n v="45123"/>
    <n v="35014"/>
    <n v="92.4"/>
    <n v="9"/>
    <n v="22"/>
    <n v="4"/>
    <n v="34"/>
    <n v="75"/>
    <x v="0"/>
    <x v="0"/>
  </r>
  <r>
    <s v="EMP01271"/>
    <x v="107"/>
    <x v="0"/>
    <n v="23"/>
    <x v="7"/>
    <x v="6"/>
    <x v="508"/>
    <x v="0"/>
    <x v="2"/>
    <x v="2"/>
    <s v="Website"/>
    <x v="5"/>
    <s v="Ahmed Raza"/>
    <n v="209827"/>
    <n v="26774"/>
    <n v="86.5"/>
    <n v="9"/>
    <n v="13"/>
    <n v="5"/>
    <n v="23"/>
    <n v="91"/>
    <x v="0"/>
    <x v="0"/>
  </r>
  <r>
    <s v="EMP01857"/>
    <x v="138"/>
    <x v="1"/>
    <n v="40"/>
    <x v="8"/>
    <x v="1"/>
    <x v="509"/>
    <x v="1"/>
    <x v="2"/>
    <x v="2"/>
    <s v="Campus"/>
    <x v="3"/>
    <s v="Usman Tariq"/>
    <n v="118309"/>
    <n v="20976"/>
    <n v="84.6"/>
    <n v="3"/>
    <n v="2"/>
    <n v="2"/>
    <n v="27"/>
    <n v="78"/>
    <x v="1"/>
    <x v="1"/>
  </r>
  <r>
    <s v="EMP00537"/>
    <x v="16"/>
    <x v="1"/>
    <n v="35"/>
    <x v="3"/>
    <x v="7"/>
    <x v="510"/>
    <x v="0"/>
    <x v="0"/>
    <x v="2"/>
    <s v="Referral"/>
    <x v="0"/>
    <s v="Bilal Khan"/>
    <n v="239233"/>
    <n v="48101"/>
    <n v="82.8"/>
    <n v="2"/>
    <n v="13"/>
    <n v="4"/>
    <n v="8"/>
    <n v="74"/>
    <x v="0"/>
    <x v="0"/>
  </r>
  <r>
    <s v="EMP01158"/>
    <x v="53"/>
    <x v="1"/>
    <n v="48"/>
    <x v="0"/>
    <x v="6"/>
    <x v="510"/>
    <x v="0"/>
    <x v="1"/>
    <x v="3"/>
    <s v="Linkedin"/>
    <x v="5"/>
    <s v="Usman Tariq"/>
    <n v="140825"/>
    <n v="43866"/>
    <n v="87.2"/>
    <n v="2"/>
    <n v="21"/>
    <n v="4"/>
    <n v="12"/>
    <n v="83"/>
    <x v="0"/>
    <x v="0"/>
  </r>
  <r>
    <s v="EMP01062"/>
    <x v="29"/>
    <x v="1"/>
    <n v="54"/>
    <x v="2"/>
    <x v="4"/>
    <x v="511"/>
    <x v="0"/>
    <x v="0"/>
    <x v="2"/>
    <s v="Website"/>
    <x v="7"/>
    <s v="Bilal Khan"/>
    <n v="100315"/>
    <n v="39680"/>
    <n v="95.2"/>
    <n v="4"/>
    <n v="5"/>
    <n v="5"/>
    <n v="10"/>
    <n v="65"/>
    <x v="0"/>
    <x v="0"/>
  </r>
  <r>
    <s v="EMP01316"/>
    <x v="41"/>
    <x v="0"/>
    <n v="52"/>
    <x v="7"/>
    <x v="4"/>
    <x v="511"/>
    <x v="0"/>
    <x v="1"/>
    <x v="2"/>
    <s v="Campus"/>
    <x v="6"/>
    <s v="Sara Ali"/>
    <n v="182395"/>
    <n v="38058"/>
    <n v="99.4"/>
    <n v="9"/>
    <n v="12"/>
    <n v="3"/>
    <n v="7"/>
    <n v="73"/>
    <x v="0"/>
    <x v="0"/>
  </r>
  <r>
    <s v="EMP01373"/>
    <x v="100"/>
    <x v="0"/>
    <n v="52"/>
    <x v="3"/>
    <x v="1"/>
    <x v="511"/>
    <x v="1"/>
    <x v="1"/>
    <x v="4"/>
    <s v="Campus"/>
    <x v="2"/>
    <s v="Bilal Khan"/>
    <n v="143701"/>
    <n v="8653"/>
    <n v="91.7"/>
    <n v="9"/>
    <n v="4"/>
    <n v="1"/>
    <n v="34"/>
    <n v="92"/>
    <x v="0"/>
    <x v="5"/>
  </r>
  <r>
    <s v="EMP01618"/>
    <x v="22"/>
    <x v="0"/>
    <n v="22"/>
    <x v="7"/>
    <x v="6"/>
    <x v="511"/>
    <x v="0"/>
    <x v="2"/>
    <x v="2"/>
    <s v="Referral"/>
    <x v="6"/>
    <s v="Ahmed Raza"/>
    <n v="179515"/>
    <n v="6674"/>
    <n v="94.7"/>
    <n v="4"/>
    <n v="28"/>
    <n v="4"/>
    <n v="17"/>
    <n v="94"/>
    <x v="0"/>
    <x v="0"/>
  </r>
  <r>
    <s v="EMP01931"/>
    <x v="30"/>
    <x v="0"/>
    <n v="24"/>
    <x v="6"/>
    <x v="1"/>
    <x v="511"/>
    <x v="0"/>
    <x v="1"/>
    <x v="3"/>
    <s v="Linkedin"/>
    <x v="4"/>
    <s v="Ahmed Raza"/>
    <n v="86374"/>
    <n v="9745"/>
    <n v="87.9"/>
    <n v="2"/>
    <n v="28"/>
    <n v="3"/>
    <n v="12"/>
    <n v="75"/>
    <x v="0"/>
    <x v="0"/>
  </r>
  <r>
    <s v="EMP00071"/>
    <x v="164"/>
    <x v="1"/>
    <n v="31"/>
    <x v="7"/>
    <x v="7"/>
    <x v="512"/>
    <x v="0"/>
    <x v="2"/>
    <x v="1"/>
    <s v="Website"/>
    <x v="0"/>
    <s v="Ahmed Raza"/>
    <n v="138695"/>
    <n v="20926"/>
    <n v="95.1"/>
    <n v="8"/>
    <n v="18"/>
    <n v="1"/>
    <n v="9"/>
    <n v="61"/>
    <x v="1"/>
    <x v="0"/>
  </r>
  <r>
    <s v="EMP00681"/>
    <x v="125"/>
    <x v="1"/>
    <n v="50"/>
    <x v="0"/>
    <x v="1"/>
    <x v="512"/>
    <x v="0"/>
    <x v="0"/>
    <x v="0"/>
    <s v="Website"/>
    <x v="4"/>
    <s v="Usman Tariq"/>
    <n v="216765"/>
    <n v="48337"/>
    <n v="96"/>
    <n v="6"/>
    <n v="3"/>
    <n v="2"/>
    <n v="29"/>
    <n v="98"/>
    <x v="0"/>
    <x v="0"/>
  </r>
  <r>
    <s v="EMP00742"/>
    <x v="20"/>
    <x v="0"/>
    <n v="23"/>
    <x v="5"/>
    <x v="0"/>
    <x v="512"/>
    <x v="0"/>
    <x v="2"/>
    <x v="4"/>
    <s v="Campus"/>
    <x v="7"/>
    <s v="Bilal Khan"/>
    <n v="136514"/>
    <n v="38212"/>
    <n v="88.8"/>
    <n v="10"/>
    <n v="24"/>
    <n v="1"/>
    <n v="19"/>
    <n v="85"/>
    <x v="0"/>
    <x v="0"/>
  </r>
  <r>
    <s v="EMP01222"/>
    <x v="58"/>
    <x v="1"/>
    <n v="21"/>
    <x v="7"/>
    <x v="4"/>
    <x v="512"/>
    <x v="0"/>
    <x v="1"/>
    <x v="2"/>
    <s v="Campus"/>
    <x v="6"/>
    <s v="Bilal Khan"/>
    <n v="96821"/>
    <n v="33445"/>
    <n v="96.3"/>
    <n v="4"/>
    <n v="16"/>
    <n v="2"/>
    <n v="14"/>
    <n v="64"/>
    <x v="0"/>
    <x v="0"/>
  </r>
  <r>
    <s v="EMP00243"/>
    <x v="128"/>
    <x v="0"/>
    <n v="59"/>
    <x v="4"/>
    <x v="1"/>
    <x v="513"/>
    <x v="0"/>
    <x v="0"/>
    <x v="3"/>
    <s v="Campus"/>
    <x v="0"/>
    <s v="Usman Tariq"/>
    <n v="120840"/>
    <n v="10939"/>
    <n v="92.7"/>
    <n v="7"/>
    <n v="6"/>
    <n v="2"/>
    <n v="14"/>
    <n v="70"/>
    <x v="0"/>
    <x v="0"/>
  </r>
  <r>
    <s v="EMP01487"/>
    <x v="126"/>
    <x v="0"/>
    <n v="33"/>
    <x v="0"/>
    <x v="4"/>
    <x v="513"/>
    <x v="1"/>
    <x v="1"/>
    <x v="0"/>
    <s v="Agency"/>
    <x v="1"/>
    <s v="Sara Ali"/>
    <n v="243951"/>
    <n v="32785"/>
    <n v="85.8"/>
    <n v="10"/>
    <n v="29"/>
    <n v="5"/>
    <n v="18"/>
    <n v="72"/>
    <x v="0"/>
    <x v="3"/>
  </r>
  <r>
    <s v="EMP01564"/>
    <x v="169"/>
    <x v="1"/>
    <n v="50"/>
    <x v="0"/>
    <x v="2"/>
    <x v="513"/>
    <x v="0"/>
    <x v="2"/>
    <x v="3"/>
    <s v="Website"/>
    <x v="5"/>
    <s v="Sara Ali"/>
    <n v="136327"/>
    <n v="17085"/>
    <n v="82.7"/>
    <n v="1"/>
    <n v="9"/>
    <n v="1"/>
    <n v="26"/>
    <n v="88"/>
    <x v="0"/>
    <x v="0"/>
  </r>
  <r>
    <s v="EMP01715"/>
    <x v="99"/>
    <x v="1"/>
    <n v="59"/>
    <x v="7"/>
    <x v="7"/>
    <x v="513"/>
    <x v="0"/>
    <x v="1"/>
    <x v="4"/>
    <s v="Campus"/>
    <x v="6"/>
    <s v="Bilal Khan"/>
    <n v="109571"/>
    <n v="33156"/>
    <n v="93.5"/>
    <n v="7"/>
    <n v="8"/>
    <n v="1"/>
    <n v="14"/>
    <n v="73"/>
    <x v="0"/>
    <x v="0"/>
  </r>
  <r>
    <s v="EMP01789"/>
    <x v="117"/>
    <x v="0"/>
    <n v="45"/>
    <x v="5"/>
    <x v="3"/>
    <x v="514"/>
    <x v="0"/>
    <x v="2"/>
    <x v="0"/>
    <s v="Linkedin"/>
    <x v="5"/>
    <s v="Ahmed Raza"/>
    <n v="246843"/>
    <n v="42955"/>
    <n v="86"/>
    <n v="10"/>
    <n v="20"/>
    <n v="5"/>
    <n v="18"/>
    <n v="95"/>
    <x v="1"/>
    <x v="0"/>
  </r>
  <r>
    <s v="EMP01422"/>
    <x v="107"/>
    <x v="0"/>
    <n v="37"/>
    <x v="6"/>
    <x v="2"/>
    <x v="515"/>
    <x v="0"/>
    <x v="1"/>
    <x v="0"/>
    <s v="Referral"/>
    <x v="7"/>
    <s v="Usman Tariq"/>
    <n v="47427"/>
    <n v="15996"/>
    <n v="83.7"/>
    <n v="7"/>
    <n v="14"/>
    <n v="5"/>
    <n v="22"/>
    <n v="65"/>
    <x v="0"/>
    <x v="0"/>
  </r>
  <r>
    <s v="EMP01697"/>
    <x v="74"/>
    <x v="1"/>
    <n v="27"/>
    <x v="4"/>
    <x v="7"/>
    <x v="515"/>
    <x v="0"/>
    <x v="1"/>
    <x v="4"/>
    <s v="Website"/>
    <x v="6"/>
    <s v="Usman Tariq"/>
    <n v="232580"/>
    <n v="39057"/>
    <n v="95.8"/>
    <n v="10"/>
    <n v="17"/>
    <n v="3"/>
    <n v="1"/>
    <n v="79"/>
    <x v="0"/>
    <x v="0"/>
  </r>
  <r>
    <s v="EMP00866"/>
    <x v="194"/>
    <x v="0"/>
    <n v="25"/>
    <x v="8"/>
    <x v="5"/>
    <x v="516"/>
    <x v="0"/>
    <x v="1"/>
    <x v="1"/>
    <s v="Referral"/>
    <x v="7"/>
    <s v="Fatima Noor"/>
    <n v="74178"/>
    <n v="12562"/>
    <n v="95.2"/>
    <n v="5"/>
    <n v="18"/>
    <n v="1"/>
    <n v="12"/>
    <n v="67"/>
    <x v="0"/>
    <x v="0"/>
  </r>
  <r>
    <s v="EMP00993"/>
    <x v="184"/>
    <x v="1"/>
    <n v="60"/>
    <x v="6"/>
    <x v="2"/>
    <x v="517"/>
    <x v="0"/>
    <x v="0"/>
    <x v="2"/>
    <s v="Website"/>
    <x v="3"/>
    <s v="Ahmed Raza"/>
    <n v="44586"/>
    <n v="31904"/>
    <n v="93.3"/>
    <n v="3"/>
    <n v="30"/>
    <n v="4"/>
    <n v="40"/>
    <n v="70"/>
    <x v="0"/>
    <x v="0"/>
  </r>
  <r>
    <s v="EMP01877"/>
    <x v="110"/>
    <x v="1"/>
    <n v="40"/>
    <x v="4"/>
    <x v="5"/>
    <x v="517"/>
    <x v="0"/>
    <x v="1"/>
    <x v="1"/>
    <s v="Referral"/>
    <x v="2"/>
    <s v="Fatima Noor"/>
    <n v="101292"/>
    <n v="41367"/>
    <n v="98.9"/>
    <n v="6"/>
    <n v="12"/>
    <n v="2"/>
    <n v="7"/>
    <n v="99"/>
    <x v="0"/>
    <x v="0"/>
  </r>
  <r>
    <s v="EMP00747"/>
    <x v="23"/>
    <x v="0"/>
    <n v="50"/>
    <x v="7"/>
    <x v="1"/>
    <x v="518"/>
    <x v="0"/>
    <x v="1"/>
    <x v="2"/>
    <s v="Website"/>
    <x v="2"/>
    <s v="Fatima Noor"/>
    <n v="220100"/>
    <n v="46437"/>
    <n v="81.7"/>
    <n v="2"/>
    <n v="5"/>
    <n v="4"/>
    <n v="36"/>
    <n v="61"/>
    <x v="0"/>
    <x v="0"/>
  </r>
  <r>
    <s v="EMP00977"/>
    <x v="194"/>
    <x v="0"/>
    <n v="30"/>
    <x v="7"/>
    <x v="4"/>
    <x v="518"/>
    <x v="0"/>
    <x v="1"/>
    <x v="2"/>
    <s v="Website"/>
    <x v="0"/>
    <s v="Sara Ali"/>
    <n v="243948"/>
    <n v="30732"/>
    <n v="95.9"/>
    <n v="6"/>
    <n v="25"/>
    <n v="4"/>
    <n v="0"/>
    <n v="90"/>
    <x v="0"/>
    <x v="0"/>
  </r>
  <r>
    <s v="EMP00125"/>
    <x v="115"/>
    <x v="0"/>
    <n v="48"/>
    <x v="8"/>
    <x v="2"/>
    <x v="519"/>
    <x v="0"/>
    <x v="2"/>
    <x v="1"/>
    <s v="Website"/>
    <x v="6"/>
    <s v="Sara Ali"/>
    <n v="40387"/>
    <n v="43290"/>
    <n v="92.3"/>
    <n v="3"/>
    <n v="19"/>
    <n v="2"/>
    <n v="8"/>
    <n v="95"/>
    <x v="0"/>
    <x v="0"/>
  </r>
  <r>
    <s v="EMP00333"/>
    <x v="83"/>
    <x v="1"/>
    <n v="23"/>
    <x v="2"/>
    <x v="5"/>
    <x v="519"/>
    <x v="0"/>
    <x v="1"/>
    <x v="0"/>
    <s v="Website"/>
    <x v="1"/>
    <s v="Ahmed Raza"/>
    <n v="122704"/>
    <n v="5798"/>
    <n v="97.3"/>
    <n v="6"/>
    <n v="8"/>
    <n v="2"/>
    <n v="1"/>
    <n v="66"/>
    <x v="0"/>
    <x v="0"/>
  </r>
  <r>
    <s v="EMP01821"/>
    <x v="58"/>
    <x v="1"/>
    <n v="26"/>
    <x v="4"/>
    <x v="5"/>
    <x v="519"/>
    <x v="0"/>
    <x v="0"/>
    <x v="1"/>
    <s v="Linkedin"/>
    <x v="2"/>
    <s v="Fatima Noor"/>
    <n v="228181"/>
    <n v="13764"/>
    <n v="84.3"/>
    <n v="2"/>
    <n v="30"/>
    <n v="4"/>
    <n v="3"/>
    <n v="78"/>
    <x v="0"/>
    <x v="0"/>
  </r>
  <r>
    <s v="EMP01986"/>
    <x v="194"/>
    <x v="0"/>
    <n v="55"/>
    <x v="2"/>
    <x v="4"/>
    <x v="519"/>
    <x v="0"/>
    <x v="0"/>
    <x v="3"/>
    <s v="Referral"/>
    <x v="2"/>
    <s v="Usman Tariq"/>
    <n v="48771"/>
    <n v="16466"/>
    <n v="91.1"/>
    <n v="4"/>
    <n v="30"/>
    <n v="3"/>
    <n v="39"/>
    <n v="63"/>
    <x v="0"/>
    <x v="0"/>
  </r>
  <r>
    <s v="EMP00490"/>
    <x v="174"/>
    <x v="1"/>
    <n v="30"/>
    <x v="5"/>
    <x v="4"/>
    <x v="520"/>
    <x v="0"/>
    <x v="1"/>
    <x v="2"/>
    <s v="Campus"/>
    <x v="2"/>
    <s v="Fatima Noor"/>
    <n v="230279"/>
    <n v="38810"/>
    <n v="86.3"/>
    <n v="1"/>
    <n v="4"/>
    <n v="5"/>
    <n v="40"/>
    <n v="64"/>
    <x v="0"/>
    <x v="0"/>
  </r>
  <r>
    <s v="EMP00594"/>
    <x v="189"/>
    <x v="0"/>
    <n v="51"/>
    <x v="4"/>
    <x v="0"/>
    <x v="520"/>
    <x v="0"/>
    <x v="0"/>
    <x v="1"/>
    <s v="Website"/>
    <x v="2"/>
    <s v="Fatima Noor"/>
    <n v="42519"/>
    <n v="26544"/>
    <n v="96.1"/>
    <n v="0"/>
    <n v="26"/>
    <n v="1"/>
    <n v="36"/>
    <n v="83"/>
    <x v="0"/>
    <x v="0"/>
  </r>
  <r>
    <s v="EMP01817"/>
    <x v="164"/>
    <x v="0"/>
    <n v="39"/>
    <x v="0"/>
    <x v="4"/>
    <x v="520"/>
    <x v="0"/>
    <x v="1"/>
    <x v="2"/>
    <s v="Linkedin"/>
    <x v="6"/>
    <s v="Usman Tariq"/>
    <n v="140475"/>
    <n v="39857"/>
    <n v="81.5"/>
    <n v="2"/>
    <n v="18"/>
    <n v="1"/>
    <n v="10"/>
    <n v="100"/>
    <x v="0"/>
    <x v="0"/>
  </r>
  <r>
    <s v="EMP01848"/>
    <x v="109"/>
    <x v="1"/>
    <n v="41"/>
    <x v="6"/>
    <x v="7"/>
    <x v="520"/>
    <x v="0"/>
    <x v="0"/>
    <x v="0"/>
    <s v="Campus"/>
    <x v="2"/>
    <s v="Ahmed Raza"/>
    <n v="53630"/>
    <n v="32271"/>
    <n v="95.5"/>
    <n v="0"/>
    <n v="15"/>
    <n v="1"/>
    <n v="34"/>
    <n v="83"/>
    <x v="0"/>
    <x v="0"/>
  </r>
  <r>
    <s v="EMP01819"/>
    <x v="42"/>
    <x v="0"/>
    <n v="58"/>
    <x v="2"/>
    <x v="7"/>
    <x v="521"/>
    <x v="1"/>
    <x v="1"/>
    <x v="0"/>
    <s v="Linkedin"/>
    <x v="7"/>
    <s v="Fatima Noor"/>
    <n v="84514"/>
    <n v="47515"/>
    <n v="90.1"/>
    <n v="2"/>
    <n v="10"/>
    <n v="5"/>
    <n v="3"/>
    <n v="72"/>
    <x v="1"/>
    <x v="1"/>
  </r>
  <r>
    <s v="EMP01973"/>
    <x v="60"/>
    <x v="1"/>
    <n v="48"/>
    <x v="4"/>
    <x v="0"/>
    <x v="521"/>
    <x v="1"/>
    <x v="2"/>
    <x v="2"/>
    <s v="Referral"/>
    <x v="5"/>
    <s v="Fatima Noor"/>
    <n v="224887"/>
    <n v="29305"/>
    <n v="93.5"/>
    <n v="2"/>
    <n v="1"/>
    <n v="3"/>
    <n v="27"/>
    <n v="66"/>
    <x v="1"/>
    <x v="4"/>
  </r>
  <r>
    <s v="EMP00045"/>
    <x v="58"/>
    <x v="1"/>
    <n v="56"/>
    <x v="2"/>
    <x v="3"/>
    <x v="522"/>
    <x v="0"/>
    <x v="1"/>
    <x v="1"/>
    <s v="Website"/>
    <x v="6"/>
    <s v="Ahmed Raza"/>
    <n v="45266"/>
    <n v="31080"/>
    <n v="98.9"/>
    <n v="1"/>
    <n v="0"/>
    <n v="1"/>
    <n v="21"/>
    <n v="95"/>
    <x v="1"/>
    <x v="0"/>
  </r>
  <r>
    <s v="EMP00409"/>
    <x v="121"/>
    <x v="1"/>
    <n v="30"/>
    <x v="6"/>
    <x v="6"/>
    <x v="522"/>
    <x v="0"/>
    <x v="1"/>
    <x v="1"/>
    <s v="Linkedin"/>
    <x v="1"/>
    <s v="Usman Tariq"/>
    <n v="54554"/>
    <n v="24143"/>
    <n v="84.7"/>
    <n v="10"/>
    <n v="15"/>
    <n v="1"/>
    <n v="33"/>
    <n v="88"/>
    <x v="1"/>
    <x v="0"/>
  </r>
  <r>
    <s v="EMP00481"/>
    <x v="44"/>
    <x v="0"/>
    <n v="28"/>
    <x v="5"/>
    <x v="0"/>
    <x v="522"/>
    <x v="0"/>
    <x v="1"/>
    <x v="1"/>
    <s v="Website"/>
    <x v="6"/>
    <s v="Ahmed Raza"/>
    <n v="179516"/>
    <n v="44899"/>
    <n v="82.1"/>
    <n v="8"/>
    <n v="19"/>
    <n v="5"/>
    <n v="25"/>
    <n v="72"/>
    <x v="0"/>
    <x v="0"/>
  </r>
  <r>
    <s v="EMP01356"/>
    <x v="91"/>
    <x v="1"/>
    <n v="39"/>
    <x v="0"/>
    <x v="4"/>
    <x v="522"/>
    <x v="1"/>
    <x v="0"/>
    <x v="4"/>
    <s v="Linkedin"/>
    <x v="2"/>
    <s v="Sara Ali"/>
    <n v="84716"/>
    <n v="35855"/>
    <n v="91.3"/>
    <n v="5"/>
    <n v="12"/>
    <n v="2"/>
    <n v="10"/>
    <n v="81"/>
    <x v="0"/>
    <x v="4"/>
  </r>
  <r>
    <s v="EMP01644"/>
    <x v="109"/>
    <x v="0"/>
    <n v="25"/>
    <x v="4"/>
    <x v="0"/>
    <x v="522"/>
    <x v="0"/>
    <x v="1"/>
    <x v="4"/>
    <s v="Linkedin"/>
    <x v="5"/>
    <s v="Ahmed Raza"/>
    <n v="175601"/>
    <n v="15144"/>
    <n v="94.4"/>
    <n v="7"/>
    <n v="16"/>
    <n v="3"/>
    <n v="28"/>
    <n v="71"/>
    <x v="0"/>
    <x v="0"/>
  </r>
  <r>
    <s v="EMP01810"/>
    <x v="172"/>
    <x v="1"/>
    <n v="48"/>
    <x v="7"/>
    <x v="0"/>
    <x v="522"/>
    <x v="1"/>
    <x v="2"/>
    <x v="0"/>
    <s v="Website"/>
    <x v="3"/>
    <s v="Ahmed Raza"/>
    <n v="196925"/>
    <n v="32369"/>
    <n v="97.6"/>
    <n v="10"/>
    <n v="28"/>
    <n v="3"/>
    <n v="2"/>
    <n v="85"/>
    <x v="0"/>
    <x v="1"/>
  </r>
  <r>
    <s v="EMP01951"/>
    <x v="176"/>
    <x v="0"/>
    <n v="25"/>
    <x v="2"/>
    <x v="2"/>
    <x v="522"/>
    <x v="0"/>
    <x v="2"/>
    <x v="2"/>
    <s v="Campus"/>
    <x v="0"/>
    <s v="Ahmed Raza"/>
    <n v="182425"/>
    <n v="19495"/>
    <n v="87.3"/>
    <n v="4"/>
    <n v="5"/>
    <n v="1"/>
    <n v="21"/>
    <n v="98"/>
    <x v="1"/>
    <x v="0"/>
  </r>
  <r>
    <s v="EMP00328"/>
    <x v="180"/>
    <x v="0"/>
    <n v="49"/>
    <x v="7"/>
    <x v="3"/>
    <x v="523"/>
    <x v="0"/>
    <x v="0"/>
    <x v="2"/>
    <s v="Linkedin"/>
    <x v="7"/>
    <s v="Usman Tariq"/>
    <n v="136491"/>
    <n v="15973"/>
    <n v="99.3"/>
    <n v="5"/>
    <n v="30"/>
    <n v="5"/>
    <n v="31"/>
    <n v="68"/>
    <x v="0"/>
    <x v="0"/>
  </r>
  <r>
    <s v="EMP01494"/>
    <x v="199"/>
    <x v="1"/>
    <n v="29"/>
    <x v="5"/>
    <x v="2"/>
    <x v="523"/>
    <x v="0"/>
    <x v="1"/>
    <x v="2"/>
    <s v="Referral"/>
    <x v="3"/>
    <s v="Fatima Noor"/>
    <n v="87487"/>
    <n v="32621"/>
    <n v="85.9"/>
    <n v="5"/>
    <n v="15"/>
    <n v="2"/>
    <n v="11"/>
    <n v="74"/>
    <x v="0"/>
    <x v="0"/>
  </r>
  <r>
    <s v="EMP00572"/>
    <x v="3"/>
    <x v="1"/>
    <n v="34"/>
    <x v="3"/>
    <x v="2"/>
    <x v="524"/>
    <x v="0"/>
    <x v="0"/>
    <x v="4"/>
    <s v="Agency"/>
    <x v="3"/>
    <s v="Bilal Khan"/>
    <n v="149849"/>
    <n v="35397"/>
    <n v="96.3"/>
    <n v="7"/>
    <n v="2"/>
    <n v="1"/>
    <n v="22"/>
    <n v="100"/>
    <x v="0"/>
    <x v="0"/>
  </r>
  <r>
    <s v="EMP01525"/>
    <x v="36"/>
    <x v="1"/>
    <n v="30"/>
    <x v="2"/>
    <x v="5"/>
    <x v="524"/>
    <x v="0"/>
    <x v="1"/>
    <x v="0"/>
    <s v="Website"/>
    <x v="2"/>
    <s v="Sara Ali"/>
    <n v="114438"/>
    <n v="46475"/>
    <n v="92"/>
    <n v="5"/>
    <n v="30"/>
    <n v="1"/>
    <n v="38"/>
    <n v="72"/>
    <x v="0"/>
    <x v="0"/>
  </r>
  <r>
    <s v="EMP01977"/>
    <x v="123"/>
    <x v="1"/>
    <n v="56"/>
    <x v="3"/>
    <x v="5"/>
    <x v="524"/>
    <x v="0"/>
    <x v="2"/>
    <x v="3"/>
    <s v="Agency"/>
    <x v="5"/>
    <s v="Usman Tariq"/>
    <n v="89499"/>
    <n v="42239"/>
    <n v="85.4"/>
    <n v="4"/>
    <n v="1"/>
    <n v="4"/>
    <n v="12"/>
    <n v="68"/>
    <x v="0"/>
    <x v="0"/>
  </r>
  <r>
    <s v="EMP00484"/>
    <x v="147"/>
    <x v="1"/>
    <n v="21"/>
    <x v="7"/>
    <x v="1"/>
    <x v="525"/>
    <x v="0"/>
    <x v="1"/>
    <x v="1"/>
    <s v="Linkedin"/>
    <x v="2"/>
    <s v="Bilal Khan"/>
    <n v="135816"/>
    <n v="49738"/>
    <n v="83.8"/>
    <n v="1"/>
    <n v="30"/>
    <n v="2"/>
    <n v="24"/>
    <n v="87"/>
    <x v="0"/>
    <x v="0"/>
  </r>
  <r>
    <s v="EMP00775"/>
    <x v="81"/>
    <x v="0"/>
    <n v="50"/>
    <x v="5"/>
    <x v="4"/>
    <x v="525"/>
    <x v="0"/>
    <x v="1"/>
    <x v="2"/>
    <s v="Referral"/>
    <x v="4"/>
    <s v="Fatima Noor"/>
    <n v="52641"/>
    <n v="18980"/>
    <n v="82.3"/>
    <n v="3"/>
    <n v="21"/>
    <n v="1"/>
    <n v="10"/>
    <n v="99"/>
    <x v="0"/>
    <x v="0"/>
  </r>
  <r>
    <s v="EMP00896"/>
    <x v="45"/>
    <x v="0"/>
    <n v="42"/>
    <x v="1"/>
    <x v="4"/>
    <x v="526"/>
    <x v="0"/>
    <x v="1"/>
    <x v="4"/>
    <s v="Linkedin"/>
    <x v="3"/>
    <s v="Bilal Khan"/>
    <n v="58971"/>
    <n v="28314"/>
    <n v="86.2"/>
    <n v="4"/>
    <n v="24"/>
    <n v="4"/>
    <n v="32"/>
    <n v="61"/>
    <x v="0"/>
    <x v="0"/>
  </r>
  <r>
    <s v="EMP01621"/>
    <x v="59"/>
    <x v="1"/>
    <n v="33"/>
    <x v="0"/>
    <x v="6"/>
    <x v="526"/>
    <x v="0"/>
    <x v="2"/>
    <x v="3"/>
    <s v="Website"/>
    <x v="5"/>
    <s v="Fatima Noor"/>
    <n v="185562"/>
    <n v="8252"/>
    <n v="82"/>
    <n v="9"/>
    <n v="15"/>
    <n v="3"/>
    <n v="12"/>
    <n v="89"/>
    <x v="0"/>
    <x v="0"/>
  </r>
  <r>
    <s v="EMP00507"/>
    <x v="75"/>
    <x v="0"/>
    <n v="60"/>
    <x v="7"/>
    <x v="3"/>
    <x v="527"/>
    <x v="0"/>
    <x v="0"/>
    <x v="2"/>
    <s v="Agency"/>
    <x v="7"/>
    <s v="Bilal Khan"/>
    <n v="243464"/>
    <n v="19981"/>
    <n v="91.2"/>
    <n v="1"/>
    <n v="15"/>
    <n v="5"/>
    <n v="20"/>
    <n v="93"/>
    <x v="0"/>
    <x v="0"/>
  </r>
  <r>
    <s v="EMP01231"/>
    <x v="170"/>
    <x v="1"/>
    <n v="29"/>
    <x v="7"/>
    <x v="7"/>
    <x v="527"/>
    <x v="1"/>
    <x v="1"/>
    <x v="4"/>
    <s v="Agency"/>
    <x v="6"/>
    <s v="Sara Ali"/>
    <n v="239155"/>
    <n v="36629"/>
    <n v="81.599999999999994"/>
    <n v="6"/>
    <n v="13"/>
    <n v="5"/>
    <n v="31"/>
    <n v="65"/>
    <x v="0"/>
    <x v="5"/>
  </r>
  <r>
    <s v="EMP00168"/>
    <x v="136"/>
    <x v="0"/>
    <n v="39"/>
    <x v="4"/>
    <x v="5"/>
    <x v="528"/>
    <x v="0"/>
    <x v="1"/>
    <x v="0"/>
    <s v="Linkedin"/>
    <x v="7"/>
    <s v="Fatima Noor"/>
    <n v="85957"/>
    <n v="17205"/>
    <n v="87.6"/>
    <n v="3"/>
    <n v="13"/>
    <n v="3"/>
    <n v="39"/>
    <n v="61"/>
    <x v="0"/>
    <x v="0"/>
  </r>
  <r>
    <s v="EMP01292"/>
    <x v="95"/>
    <x v="1"/>
    <n v="33"/>
    <x v="0"/>
    <x v="3"/>
    <x v="528"/>
    <x v="0"/>
    <x v="2"/>
    <x v="1"/>
    <s v="Campus"/>
    <x v="7"/>
    <s v="Ahmed Raza"/>
    <n v="234810"/>
    <n v="5798"/>
    <n v="94.6"/>
    <n v="10"/>
    <n v="8"/>
    <n v="5"/>
    <n v="0"/>
    <n v="75"/>
    <x v="0"/>
    <x v="0"/>
  </r>
  <r>
    <s v="EMP01398"/>
    <x v="69"/>
    <x v="1"/>
    <n v="38"/>
    <x v="7"/>
    <x v="4"/>
    <x v="528"/>
    <x v="0"/>
    <x v="0"/>
    <x v="4"/>
    <s v="Website"/>
    <x v="0"/>
    <s v="Ahmed Raza"/>
    <n v="96368"/>
    <n v="14739"/>
    <n v="85.6"/>
    <n v="10"/>
    <n v="21"/>
    <n v="3"/>
    <n v="11"/>
    <n v="98"/>
    <x v="0"/>
    <x v="0"/>
  </r>
  <r>
    <s v="EMP01632"/>
    <x v="18"/>
    <x v="1"/>
    <n v="44"/>
    <x v="8"/>
    <x v="7"/>
    <x v="528"/>
    <x v="0"/>
    <x v="0"/>
    <x v="4"/>
    <s v="Campus"/>
    <x v="3"/>
    <s v="Ahmed Raza"/>
    <n v="76779"/>
    <n v="31013"/>
    <n v="85.9"/>
    <n v="1"/>
    <n v="28"/>
    <n v="3"/>
    <n v="8"/>
    <n v="100"/>
    <x v="0"/>
    <x v="0"/>
  </r>
  <r>
    <s v="EMP00029"/>
    <x v="74"/>
    <x v="1"/>
    <n v="27"/>
    <x v="8"/>
    <x v="6"/>
    <x v="529"/>
    <x v="1"/>
    <x v="1"/>
    <x v="3"/>
    <s v="Referral"/>
    <x v="5"/>
    <s v="Usman Tariq"/>
    <n v="243212"/>
    <n v="20030"/>
    <n v="97.8"/>
    <n v="0"/>
    <n v="27"/>
    <n v="4"/>
    <n v="22"/>
    <n v="74"/>
    <x v="1"/>
    <x v="2"/>
  </r>
  <r>
    <s v="EMP00390"/>
    <x v="108"/>
    <x v="0"/>
    <n v="58"/>
    <x v="8"/>
    <x v="5"/>
    <x v="529"/>
    <x v="0"/>
    <x v="0"/>
    <x v="2"/>
    <s v="Campus"/>
    <x v="6"/>
    <s v="Ahmed Raza"/>
    <n v="175404"/>
    <n v="31047"/>
    <n v="99.2"/>
    <n v="10"/>
    <n v="30"/>
    <n v="2"/>
    <n v="27"/>
    <n v="65"/>
    <x v="0"/>
    <x v="0"/>
  </r>
  <r>
    <s v="EMP01054"/>
    <x v="79"/>
    <x v="0"/>
    <n v="49"/>
    <x v="4"/>
    <x v="3"/>
    <x v="529"/>
    <x v="0"/>
    <x v="2"/>
    <x v="4"/>
    <s v="Linkedin"/>
    <x v="2"/>
    <s v="Ahmed Raza"/>
    <n v="164364"/>
    <n v="8580"/>
    <n v="80.099999999999994"/>
    <n v="5"/>
    <n v="23"/>
    <n v="5"/>
    <n v="19"/>
    <n v="78"/>
    <x v="0"/>
    <x v="0"/>
  </r>
  <r>
    <s v="EMP01384"/>
    <x v="119"/>
    <x v="1"/>
    <n v="39"/>
    <x v="7"/>
    <x v="7"/>
    <x v="530"/>
    <x v="0"/>
    <x v="1"/>
    <x v="0"/>
    <s v="Website"/>
    <x v="3"/>
    <s v="Bilal Khan"/>
    <n v="86594"/>
    <n v="23623"/>
    <n v="81.8"/>
    <n v="5"/>
    <n v="5"/>
    <n v="5"/>
    <n v="35"/>
    <n v="78"/>
    <x v="0"/>
    <x v="0"/>
  </r>
  <r>
    <s v="EMP00096"/>
    <x v="113"/>
    <x v="0"/>
    <n v="43"/>
    <x v="0"/>
    <x v="7"/>
    <x v="531"/>
    <x v="0"/>
    <x v="0"/>
    <x v="2"/>
    <s v="Campus"/>
    <x v="3"/>
    <s v="Usman Tariq"/>
    <n v="73961"/>
    <n v="45469"/>
    <n v="93.4"/>
    <n v="8"/>
    <n v="1"/>
    <n v="1"/>
    <n v="20"/>
    <n v="71"/>
    <x v="0"/>
    <x v="0"/>
  </r>
  <r>
    <s v="EMP00685"/>
    <x v="12"/>
    <x v="1"/>
    <n v="42"/>
    <x v="6"/>
    <x v="2"/>
    <x v="532"/>
    <x v="0"/>
    <x v="1"/>
    <x v="3"/>
    <s v="Agency"/>
    <x v="2"/>
    <s v="Ahmed Raza"/>
    <n v="223537"/>
    <n v="45601"/>
    <n v="88.5"/>
    <n v="3"/>
    <n v="22"/>
    <n v="5"/>
    <n v="33"/>
    <n v="70"/>
    <x v="0"/>
    <x v="0"/>
  </r>
  <r>
    <s v="EMP01485"/>
    <x v="144"/>
    <x v="1"/>
    <n v="54"/>
    <x v="3"/>
    <x v="1"/>
    <x v="532"/>
    <x v="0"/>
    <x v="1"/>
    <x v="3"/>
    <s v="Campus"/>
    <x v="3"/>
    <s v="Sara Ali"/>
    <n v="52331"/>
    <n v="40921"/>
    <n v="83"/>
    <n v="1"/>
    <n v="21"/>
    <n v="1"/>
    <n v="33"/>
    <n v="98"/>
    <x v="0"/>
    <x v="0"/>
  </r>
  <r>
    <s v="EMP01649"/>
    <x v="147"/>
    <x v="0"/>
    <n v="28"/>
    <x v="4"/>
    <x v="3"/>
    <x v="532"/>
    <x v="0"/>
    <x v="2"/>
    <x v="4"/>
    <s v="Agency"/>
    <x v="1"/>
    <s v="Fatima Noor"/>
    <n v="231494"/>
    <n v="10948"/>
    <n v="91.3"/>
    <n v="1"/>
    <n v="19"/>
    <n v="5"/>
    <n v="19"/>
    <n v="94"/>
    <x v="0"/>
    <x v="0"/>
  </r>
  <r>
    <s v="EMP01683"/>
    <x v="113"/>
    <x v="1"/>
    <n v="25"/>
    <x v="0"/>
    <x v="6"/>
    <x v="532"/>
    <x v="0"/>
    <x v="0"/>
    <x v="1"/>
    <s v="Website"/>
    <x v="5"/>
    <s v="Usman Tariq"/>
    <n v="109188"/>
    <n v="39102"/>
    <n v="90"/>
    <n v="0"/>
    <n v="21"/>
    <n v="5"/>
    <n v="37"/>
    <n v="77"/>
    <x v="0"/>
    <x v="0"/>
  </r>
  <r>
    <s v="EMP01788"/>
    <x v="199"/>
    <x v="0"/>
    <n v="49"/>
    <x v="4"/>
    <x v="7"/>
    <x v="532"/>
    <x v="0"/>
    <x v="1"/>
    <x v="4"/>
    <s v="Website"/>
    <x v="1"/>
    <s v="Sara Ali"/>
    <n v="240308"/>
    <n v="32633"/>
    <n v="80.2"/>
    <n v="9"/>
    <n v="18"/>
    <n v="1"/>
    <n v="36"/>
    <n v="73"/>
    <x v="1"/>
    <x v="0"/>
  </r>
  <r>
    <s v="EMP01319"/>
    <x v="124"/>
    <x v="0"/>
    <n v="60"/>
    <x v="0"/>
    <x v="6"/>
    <x v="533"/>
    <x v="0"/>
    <x v="0"/>
    <x v="0"/>
    <s v="Agency"/>
    <x v="3"/>
    <s v="Usman Tariq"/>
    <n v="248657"/>
    <n v="24288"/>
    <n v="81.400000000000006"/>
    <n v="0"/>
    <n v="9"/>
    <n v="4"/>
    <n v="27"/>
    <n v="63"/>
    <x v="0"/>
    <x v="0"/>
  </r>
  <r>
    <s v="EMP00566"/>
    <x v="85"/>
    <x v="1"/>
    <n v="37"/>
    <x v="8"/>
    <x v="1"/>
    <x v="534"/>
    <x v="0"/>
    <x v="2"/>
    <x v="3"/>
    <s v="Agency"/>
    <x v="4"/>
    <s v="Bilal Khan"/>
    <n v="128345"/>
    <n v="49865"/>
    <n v="84.9"/>
    <n v="2"/>
    <n v="14"/>
    <n v="1"/>
    <n v="24"/>
    <n v="76"/>
    <x v="0"/>
    <x v="0"/>
  </r>
  <r>
    <s v="EMP00638"/>
    <x v="112"/>
    <x v="0"/>
    <n v="29"/>
    <x v="1"/>
    <x v="0"/>
    <x v="535"/>
    <x v="0"/>
    <x v="0"/>
    <x v="1"/>
    <s v="Agency"/>
    <x v="3"/>
    <s v="Ahmed Raza"/>
    <n v="116026"/>
    <n v="48099"/>
    <n v="82.7"/>
    <n v="7"/>
    <n v="27"/>
    <n v="4"/>
    <n v="22"/>
    <n v="83"/>
    <x v="0"/>
    <x v="0"/>
  </r>
  <r>
    <s v="EMP00277"/>
    <x v="67"/>
    <x v="1"/>
    <n v="59"/>
    <x v="8"/>
    <x v="0"/>
    <x v="536"/>
    <x v="0"/>
    <x v="1"/>
    <x v="4"/>
    <s v="Website"/>
    <x v="4"/>
    <s v="Fatima Noor"/>
    <n v="135601"/>
    <n v="35449"/>
    <n v="89.2"/>
    <n v="5"/>
    <n v="20"/>
    <n v="2"/>
    <n v="11"/>
    <n v="63"/>
    <x v="0"/>
    <x v="0"/>
  </r>
  <r>
    <s v="EMP00552"/>
    <x v="26"/>
    <x v="0"/>
    <n v="42"/>
    <x v="3"/>
    <x v="1"/>
    <x v="536"/>
    <x v="0"/>
    <x v="0"/>
    <x v="1"/>
    <s v="Website"/>
    <x v="6"/>
    <s v="Bilal Khan"/>
    <n v="39204"/>
    <n v="23256"/>
    <n v="90.4"/>
    <n v="10"/>
    <n v="2"/>
    <n v="2"/>
    <n v="23"/>
    <n v="98"/>
    <x v="1"/>
    <x v="0"/>
  </r>
  <r>
    <s v="EMP00792"/>
    <x v="129"/>
    <x v="0"/>
    <n v="33"/>
    <x v="2"/>
    <x v="5"/>
    <x v="536"/>
    <x v="0"/>
    <x v="2"/>
    <x v="4"/>
    <s v="Campus"/>
    <x v="0"/>
    <s v="Fatima Noor"/>
    <n v="175663"/>
    <n v="31102"/>
    <n v="88.6"/>
    <n v="7"/>
    <n v="25"/>
    <n v="4"/>
    <n v="7"/>
    <n v="69"/>
    <x v="0"/>
    <x v="0"/>
  </r>
  <r>
    <s v="EMP00986"/>
    <x v="72"/>
    <x v="0"/>
    <n v="56"/>
    <x v="1"/>
    <x v="3"/>
    <x v="537"/>
    <x v="0"/>
    <x v="2"/>
    <x v="2"/>
    <s v="Linkedin"/>
    <x v="6"/>
    <s v="Fatima Noor"/>
    <n v="227924"/>
    <n v="6527"/>
    <n v="80.099999999999994"/>
    <n v="7"/>
    <n v="30"/>
    <n v="2"/>
    <n v="10"/>
    <n v="79"/>
    <x v="0"/>
    <x v="0"/>
  </r>
  <r>
    <s v="EMP01818"/>
    <x v="14"/>
    <x v="1"/>
    <n v="21"/>
    <x v="1"/>
    <x v="6"/>
    <x v="537"/>
    <x v="0"/>
    <x v="2"/>
    <x v="0"/>
    <s v="Referral"/>
    <x v="3"/>
    <s v="Usman Tariq"/>
    <n v="237140"/>
    <n v="28688"/>
    <n v="82.7"/>
    <n v="1"/>
    <n v="10"/>
    <n v="4"/>
    <n v="11"/>
    <n v="87"/>
    <x v="0"/>
    <x v="0"/>
  </r>
  <r>
    <s v="EMP00062"/>
    <x v="192"/>
    <x v="0"/>
    <n v="38"/>
    <x v="6"/>
    <x v="6"/>
    <x v="538"/>
    <x v="0"/>
    <x v="1"/>
    <x v="3"/>
    <s v="Website"/>
    <x v="2"/>
    <s v="Fatima Noor"/>
    <n v="186892"/>
    <n v="11340"/>
    <n v="96.5"/>
    <n v="9"/>
    <n v="0"/>
    <n v="3"/>
    <n v="11"/>
    <n v="79"/>
    <x v="0"/>
    <x v="0"/>
  </r>
  <r>
    <s v="EMP00426"/>
    <x v="33"/>
    <x v="0"/>
    <n v="43"/>
    <x v="3"/>
    <x v="5"/>
    <x v="538"/>
    <x v="0"/>
    <x v="2"/>
    <x v="4"/>
    <s v="Linkedin"/>
    <x v="6"/>
    <s v="Usman Tariq"/>
    <n v="43334"/>
    <n v="33816"/>
    <n v="96.2"/>
    <n v="2"/>
    <n v="5"/>
    <n v="5"/>
    <n v="20"/>
    <n v="71"/>
    <x v="0"/>
    <x v="0"/>
  </r>
  <r>
    <s v="EMP01320"/>
    <x v="31"/>
    <x v="0"/>
    <n v="29"/>
    <x v="5"/>
    <x v="2"/>
    <x v="538"/>
    <x v="0"/>
    <x v="2"/>
    <x v="0"/>
    <s v="Agency"/>
    <x v="0"/>
    <s v="Bilal Khan"/>
    <n v="180568"/>
    <n v="26271"/>
    <n v="82.3"/>
    <n v="0"/>
    <n v="11"/>
    <n v="4"/>
    <n v="33"/>
    <n v="61"/>
    <x v="0"/>
    <x v="0"/>
  </r>
  <r>
    <s v="EMP01154"/>
    <x v="116"/>
    <x v="0"/>
    <n v="45"/>
    <x v="5"/>
    <x v="3"/>
    <x v="539"/>
    <x v="0"/>
    <x v="0"/>
    <x v="3"/>
    <s v="Linkedin"/>
    <x v="7"/>
    <s v="Sara Ali"/>
    <n v="224507"/>
    <n v="15519"/>
    <n v="84.7"/>
    <n v="10"/>
    <n v="27"/>
    <n v="1"/>
    <n v="27"/>
    <n v="82"/>
    <x v="0"/>
    <x v="0"/>
  </r>
  <r>
    <s v="EMP01155"/>
    <x v="159"/>
    <x v="1"/>
    <n v="49"/>
    <x v="0"/>
    <x v="2"/>
    <x v="539"/>
    <x v="0"/>
    <x v="2"/>
    <x v="4"/>
    <s v="Website"/>
    <x v="7"/>
    <s v="Sara Ali"/>
    <n v="129603"/>
    <n v="41411"/>
    <n v="84.1"/>
    <n v="5"/>
    <n v="10"/>
    <n v="5"/>
    <n v="36"/>
    <n v="89"/>
    <x v="0"/>
    <x v="0"/>
  </r>
  <r>
    <s v="EMP01421"/>
    <x v="3"/>
    <x v="0"/>
    <n v="27"/>
    <x v="8"/>
    <x v="0"/>
    <x v="539"/>
    <x v="0"/>
    <x v="2"/>
    <x v="1"/>
    <s v="Referral"/>
    <x v="2"/>
    <s v="Sara Ali"/>
    <n v="54484"/>
    <n v="19046"/>
    <n v="94.1"/>
    <n v="7"/>
    <n v="1"/>
    <n v="2"/>
    <n v="9"/>
    <n v="94"/>
    <x v="0"/>
    <x v="0"/>
  </r>
  <r>
    <s v="EMP01625"/>
    <x v="53"/>
    <x v="1"/>
    <n v="47"/>
    <x v="8"/>
    <x v="4"/>
    <x v="540"/>
    <x v="0"/>
    <x v="0"/>
    <x v="2"/>
    <s v="Linkedin"/>
    <x v="6"/>
    <s v="Bilal Khan"/>
    <n v="234878"/>
    <n v="25737"/>
    <n v="99.6"/>
    <n v="3"/>
    <n v="6"/>
    <n v="3"/>
    <n v="35"/>
    <n v="94"/>
    <x v="0"/>
    <x v="0"/>
  </r>
  <r>
    <s v="EMP00319"/>
    <x v="79"/>
    <x v="0"/>
    <n v="42"/>
    <x v="3"/>
    <x v="6"/>
    <x v="541"/>
    <x v="0"/>
    <x v="2"/>
    <x v="3"/>
    <s v="Referral"/>
    <x v="2"/>
    <s v="Usman Tariq"/>
    <n v="197217"/>
    <n v="21287"/>
    <n v="95.3"/>
    <n v="1"/>
    <n v="16"/>
    <n v="2"/>
    <n v="2"/>
    <n v="78"/>
    <x v="0"/>
    <x v="0"/>
  </r>
  <r>
    <s v="EMP00506"/>
    <x v="73"/>
    <x v="0"/>
    <n v="54"/>
    <x v="1"/>
    <x v="0"/>
    <x v="541"/>
    <x v="0"/>
    <x v="2"/>
    <x v="3"/>
    <s v="Website"/>
    <x v="0"/>
    <s v="Usman Tariq"/>
    <n v="206761"/>
    <n v="16944"/>
    <n v="85.8"/>
    <n v="1"/>
    <n v="25"/>
    <n v="3"/>
    <n v="33"/>
    <n v="99"/>
    <x v="0"/>
    <x v="0"/>
  </r>
  <r>
    <s v="EMP01162"/>
    <x v="111"/>
    <x v="1"/>
    <n v="46"/>
    <x v="1"/>
    <x v="2"/>
    <x v="541"/>
    <x v="0"/>
    <x v="1"/>
    <x v="3"/>
    <s v="Campus"/>
    <x v="0"/>
    <s v="Fatima Noor"/>
    <n v="91575"/>
    <n v="49674"/>
    <n v="97.2"/>
    <n v="2"/>
    <n v="15"/>
    <n v="1"/>
    <n v="12"/>
    <n v="76"/>
    <x v="0"/>
    <x v="0"/>
  </r>
  <r>
    <s v="EMP01567"/>
    <x v="151"/>
    <x v="0"/>
    <n v="43"/>
    <x v="3"/>
    <x v="6"/>
    <x v="541"/>
    <x v="0"/>
    <x v="1"/>
    <x v="2"/>
    <s v="Campus"/>
    <x v="3"/>
    <s v="Sara Ali"/>
    <n v="42518"/>
    <n v="28195"/>
    <n v="80.099999999999994"/>
    <n v="6"/>
    <n v="8"/>
    <n v="2"/>
    <n v="17"/>
    <n v="65"/>
    <x v="0"/>
    <x v="0"/>
  </r>
  <r>
    <s v="EMP01792"/>
    <x v="90"/>
    <x v="0"/>
    <n v="35"/>
    <x v="2"/>
    <x v="4"/>
    <x v="541"/>
    <x v="0"/>
    <x v="1"/>
    <x v="0"/>
    <s v="Linkedin"/>
    <x v="6"/>
    <s v="Ahmed Raza"/>
    <n v="198454"/>
    <n v="24315"/>
    <n v="97.3"/>
    <n v="9"/>
    <n v="12"/>
    <n v="1"/>
    <n v="10"/>
    <n v="64"/>
    <x v="0"/>
    <x v="0"/>
  </r>
  <r>
    <s v="EMP00002"/>
    <x v="10"/>
    <x v="1"/>
    <n v="23"/>
    <x v="5"/>
    <x v="2"/>
    <x v="542"/>
    <x v="0"/>
    <x v="1"/>
    <x v="0"/>
    <s v="Campus"/>
    <x v="3"/>
    <s v="Usman Tariq"/>
    <n v="173829"/>
    <n v="7786"/>
    <n v="84.1"/>
    <n v="4"/>
    <n v="11"/>
    <n v="2"/>
    <n v="36"/>
    <n v="92"/>
    <x v="0"/>
    <x v="0"/>
  </r>
  <r>
    <s v="EMP01167"/>
    <x v="19"/>
    <x v="1"/>
    <n v="29"/>
    <x v="2"/>
    <x v="5"/>
    <x v="542"/>
    <x v="0"/>
    <x v="2"/>
    <x v="3"/>
    <s v="Campus"/>
    <x v="1"/>
    <s v="Bilal Khan"/>
    <n v="181692"/>
    <n v="32976"/>
    <n v="84.2"/>
    <n v="2"/>
    <n v="15"/>
    <n v="5"/>
    <n v="30"/>
    <n v="86"/>
    <x v="0"/>
    <x v="0"/>
  </r>
  <r>
    <s v="EMP00449"/>
    <x v="79"/>
    <x v="1"/>
    <n v="21"/>
    <x v="2"/>
    <x v="6"/>
    <x v="543"/>
    <x v="0"/>
    <x v="1"/>
    <x v="4"/>
    <s v="Agency"/>
    <x v="3"/>
    <s v="Usman Tariq"/>
    <n v="131448"/>
    <n v="19260"/>
    <n v="87.5"/>
    <n v="9"/>
    <n v="3"/>
    <n v="2"/>
    <n v="29"/>
    <n v="82"/>
    <x v="0"/>
    <x v="0"/>
  </r>
  <r>
    <s v="EMP00812"/>
    <x v="0"/>
    <x v="1"/>
    <n v="57"/>
    <x v="3"/>
    <x v="6"/>
    <x v="543"/>
    <x v="0"/>
    <x v="2"/>
    <x v="1"/>
    <s v="Linkedin"/>
    <x v="4"/>
    <s v="Sara Ali"/>
    <n v="236280"/>
    <n v="29523"/>
    <n v="99.4"/>
    <n v="7"/>
    <n v="21"/>
    <n v="3"/>
    <n v="30"/>
    <n v="84"/>
    <x v="0"/>
    <x v="0"/>
  </r>
  <r>
    <s v="EMP00901"/>
    <x v="84"/>
    <x v="1"/>
    <n v="56"/>
    <x v="7"/>
    <x v="7"/>
    <x v="543"/>
    <x v="0"/>
    <x v="0"/>
    <x v="0"/>
    <s v="Website"/>
    <x v="2"/>
    <s v="Bilal Khan"/>
    <n v="147047"/>
    <n v="18139"/>
    <n v="96.9"/>
    <n v="8"/>
    <n v="6"/>
    <n v="3"/>
    <n v="5"/>
    <n v="84"/>
    <x v="0"/>
    <x v="0"/>
  </r>
  <r>
    <s v="EMP01961"/>
    <x v="193"/>
    <x v="0"/>
    <n v="46"/>
    <x v="7"/>
    <x v="6"/>
    <x v="543"/>
    <x v="0"/>
    <x v="2"/>
    <x v="3"/>
    <s v="Referral"/>
    <x v="7"/>
    <s v="Sara Ali"/>
    <n v="43946"/>
    <n v="15826"/>
    <n v="85.8"/>
    <n v="10"/>
    <n v="14"/>
    <n v="1"/>
    <n v="37"/>
    <n v="73"/>
    <x v="0"/>
    <x v="0"/>
  </r>
  <r>
    <s v="EMP00848"/>
    <x v="116"/>
    <x v="0"/>
    <n v="27"/>
    <x v="2"/>
    <x v="4"/>
    <x v="544"/>
    <x v="0"/>
    <x v="1"/>
    <x v="0"/>
    <s v="Agency"/>
    <x v="2"/>
    <s v="Ahmed Raza"/>
    <n v="179911"/>
    <n v="13066"/>
    <n v="98.1"/>
    <n v="4"/>
    <n v="8"/>
    <n v="2"/>
    <n v="37"/>
    <n v="68"/>
    <x v="0"/>
    <x v="0"/>
  </r>
  <r>
    <s v="EMP00057"/>
    <x v="53"/>
    <x v="0"/>
    <n v="50"/>
    <x v="1"/>
    <x v="2"/>
    <x v="545"/>
    <x v="0"/>
    <x v="2"/>
    <x v="1"/>
    <s v="Agency"/>
    <x v="6"/>
    <s v="Sara Ali"/>
    <n v="91540"/>
    <n v="30204"/>
    <n v="91.8"/>
    <n v="6"/>
    <n v="12"/>
    <n v="5"/>
    <n v="34"/>
    <n v="60"/>
    <x v="0"/>
    <x v="0"/>
  </r>
  <r>
    <s v="EMP00202"/>
    <x v="38"/>
    <x v="0"/>
    <n v="38"/>
    <x v="3"/>
    <x v="1"/>
    <x v="545"/>
    <x v="0"/>
    <x v="2"/>
    <x v="3"/>
    <s v="Agency"/>
    <x v="6"/>
    <s v="Sara Ali"/>
    <n v="166154"/>
    <n v="29844"/>
    <n v="93.5"/>
    <n v="10"/>
    <n v="13"/>
    <n v="5"/>
    <n v="7"/>
    <n v="66"/>
    <x v="0"/>
    <x v="0"/>
  </r>
  <r>
    <s v="EMP00268"/>
    <x v="82"/>
    <x v="1"/>
    <n v="33"/>
    <x v="1"/>
    <x v="0"/>
    <x v="545"/>
    <x v="1"/>
    <x v="0"/>
    <x v="4"/>
    <s v="Referral"/>
    <x v="4"/>
    <s v="Ahmed Raza"/>
    <n v="51287"/>
    <n v="11968"/>
    <n v="87.7"/>
    <n v="7"/>
    <n v="20"/>
    <n v="1"/>
    <n v="24"/>
    <n v="96"/>
    <x v="0"/>
    <x v="4"/>
  </r>
  <r>
    <s v="EMP00280"/>
    <x v="118"/>
    <x v="1"/>
    <n v="36"/>
    <x v="4"/>
    <x v="1"/>
    <x v="545"/>
    <x v="0"/>
    <x v="1"/>
    <x v="2"/>
    <s v="Website"/>
    <x v="4"/>
    <s v="Fatima Noor"/>
    <n v="121015"/>
    <n v="16760"/>
    <n v="90.4"/>
    <n v="2"/>
    <n v="4"/>
    <n v="5"/>
    <n v="14"/>
    <n v="84"/>
    <x v="0"/>
    <x v="0"/>
  </r>
  <r>
    <s v="EMP00735"/>
    <x v="65"/>
    <x v="0"/>
    <n v="25"/>
    <x v="4"/>
    <x v="5"/>
    <x v="545"/>
    <x v="0"/>
    <x v="1"/>
    <x v="2"/>
    <s v="Website"/>
    <x v="4"/>
    <s v="Sara Ali"/>
    <n v="144358"/>
    <n v="32164"/>
    <n v="88.5"/>
    <n v="7"/>
    <n v="23"/>
    <n v="2"/>
    <n v="34"/>
    <n v="95"/>
    <x v="0"/>
    <x v="0"/>
  </r>
  <r>
    <s v="EMP01016"/>
    <x v="15"/>
    <x v="1"/>
    <n v="53"/>
    <x v="7"/>
    <x v="3"/>
    <x v="545"/>
    <x v="0"/>
    <x v="2"/>
    <x v="1"/>
    <s v="Campus"/>
    <x v="3"/>
    <s v="Fatima Noor"/>
    <n v="137036"/>
    <n v="39676"/>
    <n v="85.9"/>
    <n v="7"/>
    <n v="29"/>
    <n v="3"/>
    <n v="24"/>
    <n v="100"/>
    <x v="1"/>
    <x v="0"/>
  </r>
  <r>
    <s v="EMP01896"/>
    <x v="186"/>
    <x v="1"/>
    <n v="42"/>
    <x v="5"/>
    <x v="6"/>
    <x v="545"/>
    <x v="1"/>
    <x v="2"/>
    <x v="3"/>
    <s v="Campus"/>
    <x v="5"/>
    <s v="Ahmed Raza"/>
    <n v="48455"/>
    <n v="6855"/>
    <n v="98.2"/>
    <n v="10"/>
    <n v="13"/>
    <n v="3"/>
    <n v="25"/>
    <n v="66"/>
    <x v="0"/>
    <x v="2"/>
  </r>
  <r>
    <s v="EMP01080"/>
    <x v="155"/>
    <x v="0"/>
    <n v="54"/>
    <x v="7"/>
    <x v="7"/>
    <x v="546"/>
    <x v="0"/>
    <x v="1"/>
    <x v="4"/>
    <s v="Referral"/>
    <x v="2"/>
    <s v="Bilal Khan"/>
    <n v="43994"/>
    <n v="29649"/>
    <n v="87.8"/>
    <n v="1"/>
    <n v="26"/>
    <n v="3"/>
    <n v="15"/>
    <n v="91"/>
    <x v="0"/>
    <x v="0"/>
  </r>
  <r>
    <s v="EMP01293"/>
    <x v="78"/>
    <x v="1"/>
    <n v="55"/>
    <x v="4"/>
    <x v="5"/>
    <x v="546"/>
    <x v="0"/>
    <x v="2"/>
    <x v="1"/>
    <s v="Campus"/>
    <x v="3"/>
    <s v="Ahmed Raza"/>
    <n v="66097"/>
    <n v="48024"/>
    <n v="87.4"/>
    <n v="4"/>
    <n v="26"/>
    <n v="4"/>
    <n v="10"/>
    <n v="69"/>
    <x v="0"/>
    <x v="0"/>
  </r>
  <r>
    <s v="EMP01520"/>
    <x v="164"/>
    <x v="1"/>
    <n v="36"/>
    <x v="2"/>
    <x v="5"/>
    <x v="546"/>
    <x v="0"/>
    <x v="0"/>
    <x v="4"/>
    <s v="Agency"/>
    <x v="0"/>
    <s v="Bilal Khan"/>
    <n v="148572"/>
    <n v="49874"/>
    <n v="88.6"/>
    <n v="0"/>
    <n v="20"/>
    <n v="5"/>
    <n v="7"/>
    <n v="84"/>
    <x v="0"/>
    <x v="0"/>
  </r>
  <r>
    <s v="EMP01862"/>
    <x v="118"/>
    <x v="0"/>
    <n v="23"/>
    <x v="0"/>
    <x v="0"/>
    <x v="546"/>
    <x v="0"/>
    <x v="2"/>
    <x v="4"/>
    <s v="Referral"/>
    <x v="7"/>
    <s v="Ahmed Raza"/>
    <n v="169742"/>
    <n v="44801"/>
    <n v="81"/>
    <n v="10"/>
    <n v="23"/>
    <n v="2"/>
    <n v="8"/>
    <n v="70"/>
    <x v="1"/>
    <x v="0"/>
  </r>
  <r>
    <s v="EMP00961"/>
    <x v="4"/>
    <x v="1"/>
    <n v="41"/>
    <x v="5"/>
    <x v="7"/>
    <x v="547"/>
    <x v="0"/>
    <x v="1"/>
    <x v="0"/>
    <s v="Referral"/>
    <x v="0"/>
    <s v="Ahmed Raza"/>
    <n v="158746"/>
    <n v="33054"/>
    <n v="90.6"/>
    <n v="3"/>
    <n v="26"/>
    <n v="4"/>
    <n v="6"/>
    <n v="96"/>
    <x v="0"/>
    <x v="0"/>
  </r>
  <r>
    <s v="EMP00991"/>
    <x v="4"/>
    <x v="1"/>
    <n v="30"/>
    <x v="7"/>
    <x v="6"/>
    <x v="547"/>
    <x v="0"/>
    <x v="1"/>
    <x v="4"/>
    <s v="Linkedin"/>
    <x v="2"/>
    <s v="Bilal Khan"/>
    <n v="177331"/>
    <n v="7352"/>
    <n v="81.7"/>
    <n v="2"/>
    <n v="26"/>
    <n v="4"/>
    <n v="17"/>
    <n v="85"/>
    <x v="0"/>
    <x v="0"/>
  </r>
  <r>
    <s v="EMP01151"/>
    <x v="2"/>
    <x v="0"/>
    <n v="35"/>
    <x v="5"/>
    <x v="3"/>
    <x v="547"/>
    <x v="0"/>
    <x v="0"/>
    <x v="3"/>
    <s v="Website"/>
    <x v="1"/>
    <s v="Fatima Noor"/>
    <n v="40730"/>
    <n v="49089"/>
    <n v="97.8"/>
    <n v="5"/>
    <n v="12"/>
    <n v="3"/>
    <n v="4"/>
    <n v="84"/>
    <x v="0"/>
    <x v="0"/>
  </r>
  <r>
    <s v="EMP00005"/>
    <x v="107"/>
    <x v="1"/>
    <n v="34"/>
    <x v="7"/>
    <x v="6"/>
    <x v="548"/>
    <x v="1"/>
    <x v="0"/>
    <x v="0"/>
    <s v="Agency"/>
    <x v="6"/>
    <s v="Usman Tariq"/>
    <n v="37994"/>
    <n v="46924"/>
    <n v="95.5"/>
    <n v="6"/>
    <n v="3"/>
    <n v="1"/>
    <n v="23"/>
    <n v="69"/>
    <x v="0"/>
    <x v="4"/>
  </r>
  <r>
    <s v="EMP00285"/>
    <x v="16"/>
    <x v="0"/>
    <n v="54"/>
    <x v="5"/>
    <x v="5"/>
    <x v="548"/>
    <x v="0"/>
    <x v="1"/>
    <x v="4"/>
    <s v="Campus"/>
    <x v="5"/>
    <s v="Bilal Khan"/>
    <n v="58640"/>
    <n v="41274"/>
    <n v="87.3"/>
    <n v="1"/>
    <n v="6"/>
    <n v="3"/>
    <n v="6"/>
    <n v="72"/>
    <x v="0"/>
    <x v="0"/>
  </r>
  <r>
    <s v="EMP01288"/>
    <x v="66"/>
    <x v="1"/>
    <n v="51"/>
    <x v="1"/>
    <x v="3"/>
    <x v="548"/>
    <x v="1"/>
    <x v="1"/>
    <x v="0"/>
    <s v="Referral"/>
    <x v="3"/>
    <s v="Usman Tariq"/>
    <n v="100043"/>
    <n v="14721"/>
    <n v="81.400000000000006"/>
    <n v="6"/>
    <n v="27"/>
    <n v="3"/>
    <n v="17"/>
    <n v="89"/>
    <x v="0"/>
    <x v="2"/>
  </r>
  <r>
    <s v="EMP01481"/>
    <x v="57"/>
    <x v="1"/>
    <n v="39"/>
    <x v="2"/>
    <x v="2"/>
    <x v="548"/>
    <x v="1"/>
    <x v="2"/>
    <x v="0"/>
    <s v="Linkedin"/>
    <x v="1"/>
    <s v="Fatima Noor"/>
    <n v="118905"/>
    <n v="24542"/>
    <n v="93.6"/>
    <n v="6"/>
    <n v="4"/>
    <n v="4"/>
    <n v="16"/>
    <n v="93"/>
    <x v="0"/>
    <x v="5"/>
  </r>
  <r>
    <s v="EMP01833"/>
    <x v="22"/>
    <x v="0"/>
    <n v="41"/>
    <x v="4"/>
    <x v="6"/>
    <x v="548"/>
    <x v="0"/>
    <x v="0"/>
    <x v="1"/>
    <s v="Linkedin"/>
    <x v="0"/>
    <s v="Bilal Khan"/>
    <n v="51278"/>
    <n v="10791"/>
    <n v="80.099999999999994"/>
    <n v="10"/>
    <n v="3"/>
    <n v="2"/>
    <n v="1"/>
    <n v="96"/>
    <x v="0"/>
    <x v="0"/>
  </r>
  <r>
    <s v="EMP00372"/>
    <x v="67"/>
    <x v="1"/>
    <n v="45"/>
    <x v="8"/>
    <x v="4"/>
    <x v="549"/>
    <x v="0"/>
    <x v="2"/>
    <x v="3"/>
    <s v="Campus"/>
    <x v="4"/>
    <s v="Bilal Khan"/>
    <n v="155534"/>
    <n v="45674"/>
    <n v="84.6"/>
    <n v="0"/>
    <n v="9"/>
    <n v="3"/>
    <n v="40"/>
    <n v="69"/>
    <x v="0"/>
    <x v="0"/>
  </r>
  <r>
    <s v="EMP00569"/>
    <x v="52"/>
    <x v="0"/>
    <n v="55"/>
    <x v="3"/>
    <x v="2"/>
    <x v="549"/>
    <x v="0"/>
    <x v="1"/>
    <x v="1"/>
    <s v="Linkedin"/>
    <x v="5"/>
    <s v="Sara Ali"/>
    <n v="211163"/>
    <n v="41263"/>
    <n v="91.1"/>
    <n v="2"/>
    <n v="7"/>
    <n v="5"/>
    <n v="34"/>
    <n v="64"/>
    <x v="0"/>
    <x v="0"/>
  </r>
  <r>
    <s v="EMP01287"/>
    <x v="138"/>
    <x v="1"/>
    <n v="44"/>
    <x v="3"/>
    <x v="1"/>
    <x v="549"/>
    <x v="0"/>
    <x v="1"/>
    <x v="0"/>
    <s v="Linkedin"/>
    <x v="1"/>
    <s v="Bilal Khan"/>
    <n v="242306"/>
    <n v="32668"/>
    <n v="86.8"/>
    <n v="4"/>
    <n v="12"/>
    <n v="3"/>
    <n v="13"/>
    <n v="73"/>
    <x v="0"/>
    <x v="0"/>
  </r>
  <r>
    <s v="EMP01304"/>
    <x v="67"/>
    <x v="0"/>
    <n v="33"/>
    <x v="5"/>
    <x v="4"/>
    <x v="550"/>
    <x v="0"/>
    <x v="2"/>
    <x v="1"/>
    <s v="Campus"/>
    <x v="0"/>
    <s v="Bilal Khan"/>
    <n v="131511"/>
    <n v="21155"/>
    <n v="87.3"/>
    <n v="0"/>
    <n v="28"/>
    <n v="4"/>
    <n v="26"/>
    <n v="60"/>
    <x v="1"/>
    <x v="0"/>
  </r>
  <r>
    <s v="EMP01375"/>
    <x v="157"/>
    <x v="0"/>
    <n v="35"/>
    <x v="4"/>
    <x v="2"/>
    <x v="550"/>
    <x v="0"/>
    <x v="2"/>
    <x v="3"/>
    <s v="Linkedin"/>
    <x v="3"/>
    <s v="Fatima Noor"/>
    <n v="44597"/>
    <n v="24263"/>
    <n v="97.6"/>
    <n v="7"/>
    <n v="11"/>
    <n v="5"/>
    <n v="27"/>
    <n v="76"/>
    <x v="0"/>
    <x v="0"/>
  </r>
  <r>
    <s v="EMP01765"/>
    <x v="34"/>
    <x v="1"/>
    <n v="31"/>
    <x v="8"/>
    <x v="3"/>
    <x v="550"/>
    <x v="0"/>
    <x v="2"/>
    <x v="1"/>
    <s v="Campus"/>
    <x v="6"/>
    <s v="Sara Ali"/>
    <n v="127254"/>
    <n v="36581"/>
    <n v="92.2"/>
    <n v="7"/>
    <n v="29"/>
    <n v="5"/>
    <n v="23"/>
    <n v="65"/>
    <x v="0"/>
    <x v="0"/>
  </r>
  <r>
    <s v="EMP00849"/>
    <x v="196"/>
    <x v="0"/>
    <n v="37"/>
    <x v="4"/>
    <x v="6"/>
    <x v="551"/>
    <x v="0"/>
    <x v="2"/>
    <x v="3"/>
    <s v="Agency"/>
    <x v="3"/>
    <s v="Bilal Khan"/>
    <n v="80628"/>
    <n v="9170"/>
    <n v="94.8"/>
    <n v="0"/>
    <n v="10"/>
    <n v="2"/>
    <n v="15"/>
    <n v="85"/>
    <x v="1"/>
    <x v="0"/>
  </r>
  <r>
    <s v="EMP01069"/>
    <x v="182"/>
    <x v="0"/>
    <n v="58"/>
    <x v="1"/>
    <x v="7"/>
    <x v="551"/>
    <x v="0"/>
    <x v="1"/>
    <x v="2"/>
    <s v="Agency"/>
    <x v="6"/>
    <s v="Fatima Noor"/>
    <n v="90409"/>
    <n v="44290"/>
    <n v="91.9"/>
    <n v="8"/>
    <n v="10"/>
    <n v="3"/>
    <n v="2"/>
    <n v="70"/>
    <x v="1"/>
    <x v="0"/>
  </r>
  <r>
    <s v="EMP01876"/>
    <x v="60"/>
    <x v="1"/>
    <n v="45"/>
    <x v="1"/>
    <x v="5"/>
    <x v="551"/>
    <x v="0"/>
    <x v="1"/>
    <x v="4"/>
    <s v="Referral"/>
    <x v="5"/>
    <s v="Sara Ali"/>
    <n v="128646"/>
    <n v="27565"/>
    <n v="92.9"/>
    <n v="0"/>
    <n v="13"/>
    <n v="1"/>
    <n v="22"/>
    <n v="85"/>
    <x v="1"/>
    <x v="0"/>
  </r>
  <r>
    <s v="EMP01180"/>
    <x v="125"/>
    <x v="1"/>
    <n v="56"/>
    <x v="0"/>
    <x v="0"/>
    <x v="552"/>
    <x v="0"/>
    <x v="0"/>
    <x v="0"/>
    <s v="Agency"/>
    <x v="3"/>
    <s v="Bilal Khan"/>
    <n v="238312"/>
    <n v="38413"/>
    <n v="96.5"/>
    <n v="10"/>
    <n v="0"/>
    <n v="1"/>
    <n v="4"/>
    <n v="91"/>
    <x v="0"/>
    <x v="0"/>
  </r>
  <r>
    <s v="EMP00233"/>
    <x v="15"/>
    <x v="0"/>
    <n v="56"/>
    <x v="6"/>
    <x v="5"/>
    <x v="553"/>
    <x v="0"/>
    <x v="0"/>
    <x v="0"/>
    <s v="Website"/>
    <x v="7"/>
    <s v="Fatima Noor"/>
    <n v="215683"/>
    <n v="8450"/>
    <n v="85.2"/>
    <n v="2"/>
    <n v="14"/>
    <n v="5"/>
    <n v="14"/>
    <n v="64"/>
    <x v="1"/>
    <x v="0"/>
  </r>
  <r>
    <s v="EMP00203"/>
    <x v="181"/>
    <x v="1"/>
    <n v="51"/>
    <x v="5"/>
    <x v="7"/>
    <x v="554"/>
    <x v="0"/>
    <x v="2"/>
    <x v="4"/>
    <s v="Campus"/>
    <x v="0"/>
    <s v="Sara Ali"/>
    <n v="61838"/>
    <n v="45999"/>
    <n v="98.6"/>
    <n v="9"/>
    <n v="8"/>
    <n v="3"/>
    <n v="2"/>
    <n v="85"/>
    <x v="0"/>
    <x v="0"/>
  </r>
  <r>
    <s v="EMP00296"/>
    <x v="53"/>
    <x v="0"/>
    <n v="39"/>
    <x v="3"/>
    <x v="3"/>
    <x v="554"/>
    <x v="0"/>
    <x v="0"/>
    <x v="0"/>
    <s v="Linkedin"/>
    <x v="7"/>
    <s v="Bilal Khan"/>
    <n v="183477"/>
    <n v="37973"/>
    <n v="81.3"/>
    <n v="6"/>
    <n v="12"/>
    <n v="3"/>
    <n v="24"/>
    <n v="73"/>
    <x v="0"/>
    <x v="0"/>
  </r>
  <r>
    <s v="EMP00644"/>
    <x v="22"/>
    <x v="0"/>
    <n v="26"/>
    <x v="2"/>
    <x v="0"/>
    <x v="554"/>
    <x v="0"/>
    <x v="0"/>
    <x v="4"/>
    <s v="Website"/>
    <x v="5"/>
    <s v="Bilal Khan"/>
    <n v="249890"/>
    <n v="23481"/>
    <n v="88.2"/>
    <n v="5"/>
    <n v="14"/>
    <n v="1"/>
    <n v="5"/>
    <n v="84"/>
    <x v="0"/>
    <x v="0"/>
  </r>
  <r>
    <s v="EMP00759"/>
    <x v="55"/>
    <x v="0"/>
    <n v="45"/>
    <x v="8"/>
    <x v="0"/>
    <x v="554"/>
    <x v="0"/>
    <x v="0"/>
    <x v="4"/>
    <s v="Linkedin"/>
    <x v="3"/>
    <s v="Fatima Noor"/>
    <n v="247427"/>
    <n v="19017"/>
    <n v="93.5"/>
    <n v="7"/>
    <n v="8"/>
    <n v="5"/>
    <n v="21"/>
    <n v="70"/>
    <x v="0"/>
    <x v="0"/>
  </r>
  <r>
    <s v="EMP01132"/>
    <x v="15"/>
    <x v="1"/>
    <n v="33"/>
    <x v="4"/>
    <x v="0"/>
    <x v="554"/>
    <x v="0"/>
    <x v="0"/>
    <x v="0"/>
    <s v="Campus"/>
    <x v="6"/>
    <s v="Bilal Khan"/>
    <n v="189203"/>
    <n v="47067"/>
    <n v="95.6"/>
    <n v="0"/>
    <n v="3"/>
    <n v="3"/>
    <n v="25"/>
    <n v="70"/>
    <x v="0"/>
    <x v="0"/>
  </r>
  <r>
    <s v="EMP01399"/>
    <x v="57"/>
    <x v="0"/>
    <n v="27"/>
    <x v="4"/>
    <x v="2"/>
    <x v="554"/>
    <x v="0"/>
    <x v="1"/>
    <x v="0"/>
    <s v="Campus"/>
    <x v="3"/>
    <s v="Usman Tariq"/>
    <n v="131954"/>
    <n v="30818"/>
    <n v="94.1"/>
    <n v="6"/>
    <n v="25"/>
    <n v="2"/>
    <n v="29"/>
    <n v="88"/>
    <x v="0"/>
    <x v="0"/>
  </r>
  <r>
    <s v="EMP01593"/>
    <x v="167"/>
    <x v="1"/>
    <n v="25"/>
    <x v="6"/>
    <x v="0"/>
    <x v="554"/>
    <x v="0"/>
    <x v="2"/>
    <x v="1"/>
    <s v="Referral"/>
    <x v="3"/>
    <s v="Usman Tariq"/>
    <n v="174822"/>
    <n v="40113"/>
    <n v="82.5"/>
    <n v="6"/>
    <n v="13"/>
    <n v="4"/>
    <n v="32"/>
    <n v="66"/>
    <x v="0"/>
    <x v="0"/>
  </r>
  <r>
    <s v="EMP01755"/>
    <x v="103"/>
    <x v="1"/>
    <n v="57"/>
    <x v="3"/>
    <x v="7"/>
    <x v="555"/>
    <x v="0"/>
    <x v="1"/>
    <x v="3"/>
    <s v="Website"/>
    <x v="5"/>
    <s v="Ahmed Raza"/>
    <n v="94882"/>
    <n v="17492"/>
    <n v="86.6"/>
    <n v="8"/>
    <n v="29"/>
    <n v="2"/>
    <n v="18"/>
    <n v="86"/>
    <x v="0"/>
    <x v="0"/>
  </r>
  <r>
    <s v="EMP01608"/>
    <x v="198"/>
    <x v="1"/>
    <n v="36"/>
    <x v="6"/>
    <x v="6"/>
    <x v="556"/>
    <x v="0"/>
    <x v="2"/>
    <x v="2"/>
    <s v="Agency"/>
    <x v="7"/>
    <s v="Bilal Khan"/>
    <n v="135145"/>
    <n v="41857"/>
    <n v="81.599999999999994"/>
    <n v="1"/>
    <n v="21"/>
    <n v="3"/>
    <n v="18"/>
    <n v="94"/>
    <x v="0"/>
    <x v="0"/>
  </r>
  <r>
    <s v="EMP00094"/>
    <x v="30"/>
    <x v="1"/>
    <n v="39"/>
    <x v="2"/>
    <x v="7"/>
    <x v="557"/>
    <x v="0"/>
    <x v="1"/>
    <x v="1"/>
    <s v="Agency"/>
    <x v="3"/>
    <s v="Usman Tariq"/>
    <n v="56059"/>
    <n v="7524"/>
    <n v="84.9"/>
    <n v="10"/>
    <n v="15"/>
    <n v="1"/>
    <n v="37"/>
    <n v="94"/>
    <x v="0"/>
    <x v="0"/>
  </r>
  <r>
    <s v="EMP00346"/>
    <x v="65"/>
    <x v="1"/>
    <n v="36"/>
    <x v="8"/>
    <x v="5"/>
    <x v="557"/>
    <x v="0"/>
    <x v="0"/>
    <x v="0"/>
    <s v="Agency"/>
    <x v="4"/>
    <s v="Ahmed Raza"/>
    <n v="245545"/>
    <n v="40056"/>
    <n v="83.2"/>
    <n v="8"/>
    <n v="23"/>
    <n v="2"/>
    <n v="36"/>
    <n v="86"/>
    <x v="0"/>
    <x v="0"/>
  </r>
  <r>
    <s v="EMP00745"/>
    <x v="167"/>
    <x v="0"/>
    <n v="37"/>
    <x v="4"/>
    <x v="4"/>
    <x v="557"/>
    <x v="0"/>
    <x v="0"/>
    <x v="3"/>
    <s v="Linkedin"/>
    <x v="6"/>
    <s v="Ahmed Raza"/>
    <n v="104315"/>
    <n v="9600"/>
    <n v="83.1"/>
    <n v="4"/>
    <n v="26"/>
    <n v="5"/>
    <n v="15"/>
    <n v="80"/>
    <x v="1"/>
    <x v="0"/>
  </r>
  <r>
    <s v="EMP00857"/>
    <x v="195"/>
    <x v="1"/>
    <n v="24"/>
    <x v="1"/>
    <x v="6"/>
    <x v="557"/>
    <x v="0"/>
    <x v="2"/>
    <x v="2"/>
    <s v="Campus"/>
    <x v="1"/>
    <s v="Bilal Khan"/>
    <n v="95145"/>
    <n v="5185"/>
    <n v="99.7"/>
    <n v="8"/>
    <n v="29"/>
    <n v="1"/>
    <n v="31"/>
    <n v="75"/>
    <x v="0"/>
    <x v="0"/>
  </r>
  <r>
    <s v="EMP01282"/>
    <x v="106"/>
    <x v="0"/>
    <n v="50"/>
    <x v="6"/>
    <x v="1"/>
    <x v="557"/>
    <x v="0"/>
    <x v="1"/>
    <x v="2"/>
    <s v="Agency"/>
    <x v="3"/>
    <s v="Ahmed Raza"/>
    <n v="43894"/>
    <n v="33222"/>
    <n v="86.6"/>
    <n v="7"/>
    <n v="18"/>
    <n v="4"/>
    <n v="11"/>
    <n v="89"/>
    <x v="0"/>
    <x v="0"/>
  </r>
  <r>
    <s v="EMP00721"/>
    <x v="114"/>
    <x v="0"/>
    <n v="22"/>
    <x v="2"/>
    <x v="0"/>
    <x v="558"/>
    <x v="0"/>
    <x v="0"/>
    <x v="4"/>
    <s v="Referral"/>
    <x v="1"/>
    <s v="Sara Ali"/>
    <n v="203581"/>
    <n v="35188"/>
    <n v="89.7"/>
    <n v="4"/>
    <n v="16"/>
    <n v="3"/>
    <n v="5"/>
    <n v="71"/>
    <x v="0"/>
    <x v="0"/>
  </r>
  <r>
    <s v="EMP00902"/>
    <x v="39"/>
    <x v="1"/>
    <n v="49"/>
    <x v="4"/>
    <x v="5"/>
    <x v="558"/>
    <x v="0"/>
    <x v="2"/>
    <x v="3"/>
    <s v="Agency"/>
    <x v="2"/>
    <s v="Usman Tariq"/>
    <n v="166858"/>
    <n v="40264"/>
    <n v="86.7"/>
    <n v="5"/>
    <n v="17"/>
    <n v="3"/>
    <n v="14"/>
    <n v="94"/>
    <x v="0"/>
    <x v="0"/>
  </r>
  <r>
    <s v="EMP01942"/>
    <x v="20"/>
    <x v="1"/>
    <n v="57"/>
    <x v="3"/>
    <x v="3"/>
    <x v="558"/>
    <x v="0"/>
    <x v="1"/>
    <x v="2"/>
    <s v="Campus"/>
    <x v="1"/>
    <s v="Usman Tariq"/>
    <n v="147883"/>
    <n v="37700"/>
    <n v="95.6"/>
    <n v="5"/>
    <n v="30"/>
    <n v="5"/>
    <n v="10"/>
    <n v="91"/>
    <x v="0"/>
    <x v="0"/>
  </r>
  <r>
    <s v="EMP01989"/>
    <x v="43"/>
    <x v="1"/>
    <n v="53"/>
    <x v="6"/>
    <x v="0"/>
    <x v="558"/>
    <x v="0"/>
    <x v="0"/>
    <x v="3"/>
    <s v="Agency"/>
    <x v="1"/>
    <s v="Sara Ali"/>
    <n v="37724"/>
    <n v="13232"/>
    <n v="89.3"/>
    <n v="5"/>
    <n v="16"/>
    <n v="3"/>
    <n v="18"/>
    <n v="73"/>
    <x v="1"/>
    <x v="0"/>
  </r>
  <r>
    <s v="EMP00012"/>
    <x v="182"/>
    <x v="0"/>
    <n v="52"/>
    <x v="5"/>
    <x v="3"/>
    <x v="559"/>
    <x v="1"/>
    <x v="1"/>
    <x v="1"/>
    <s v="Website"/>
    <x v="6"/>
    <s v="Fatima Noor"/>
    <n v="130301"/>
    <n v="35921"/>
    <n v="94.5"/>
    <n v="1"/>
    <n v="28"/>
    <n v="2"/>
    <n v="33"/>
    <n v="66"/>
    <x v="0"/>
    <x v="5"/>
  </r>
  <r>
    <s v="EMP01427"/>
    <x v="84"/>
    <x v="1"/>
    <n v="26"/>
    <x v="3"/>
    <x v="5"/>
    <x v="559"/>
    <x v="0"/>
    <x v="1"/>
    <x v="1"/>
    <s v="Website"/>
    <x v="3"/>
    <s v="Sara Ali"/>
    <n v="201885"/>
    <n v="32017"/>
    <n v="83.2"/>
    <n v="7"/>
    <n v="11"/>
    <n v="2"/>
    <n v="35"/>
    <n v="78"/>
    <x v="0"/>
    <x v="0"/>
  </r>
  <r>
    <s v="EMP01879"/>
    <x v="53"/>
    <x v="0"/>
    <n v="45"/>
    <x v="8"/>
    <x v="0"/>
    <x v="559"/>
    <x v="0"/>
    <x v="2"/>
    <x v="3"/>
    <s v="Linkedin"/>
    <x v="7"/>
    <s v="Ahmed Raza"/>
    <n v="61746"/>
    <n v="40414"/>
    <n v="98.9"/>
    <n v="4"/>
    <n v="4"/>
    <n v="2"/>
    <n v="31"/>
    <n v="78"/>
    <x v="0"/>
    <x v="0"/>
  </r>
  <r>
    <s v="EMP00707"/>
    <x v="38"/>
    <x v="1"/>
    <n v="35"/>
    <x v="0"/>
    <x v="5"/>
    <x v="560"/>
    <x v="0"/>
    <x v="2"/>
    <x v="2"/>
    <s v="Agency"/>
    <x v="1"/>
    <s v="Ahmed Raza"/>
    <n v="35721"/>
    <n v="39902"/>
    <n v="88.3"/>
    <n v="3"/>
    <n v="18"/>
    <n v="1"/>
    <n v="6"/>
    <n v="70"/>
    <x v="0"/>
    <x v="0"/>
  </r>
  <r>
    <s v="EMP00818"/>
    <x v="88"/>
    <x v="0"/>
    <n v="23"/>
    <x v="2"/>
    <x v="4"/>
    <x v="560"/>
    <x v="1"/>
    <x v="1"/>
    <x v="0"/>
    <s v="Referral"/>
    <x v="5"/>
    <s v="Sara Ali"/>
    <n v="96643"/>
    <n v="42748"/>
    <n v="99.3"/>
    <n v="0"/>
    <n v="19"/>
    <n v="1"/>
    <n v="35"/>
    <n v="68"/>
    <x v="1"/>
    <x v="3"/>
  </r>
  <r>
    <s v="EMP01653"/>
    <x v="69"/>
    <x v="0"/>
    <n v="38"/>
    <x v="4"/>
    <x v="3"/>
    <x v="560"/>
    <x v="0"/>
    <x v="1"/>
    <x v="1"/>
    <s v="Linkedin"/>
    <x v="3"/>
    <s v="Bilal Khan"/>
    <n v="231959"/>
    <n v="47982"/>
    <n v="93.3"/>
    <n v="0"/>
    <n v="28"/>
    <n v="5"/>
    <n v="18"/>
    <n v="100"/>
    <x v="0"/>
    <x v="0"/>
  </r>
  <r>
    <s v="EMP00662"/>
    <x v="64"/>
    <x v="1"/>
    <n v="37"/>
    <x v="4"/>
    <x v="5"/>
    <x v="561"/>
    <x v="0"/>
    <x v="0"/>
    <x v="4"/>
    <s v="Referral"/>
    <x v="1"/>
    <s v="Fatima Noor"/>
    <n v="85911"/>
    <n v="24954"/>
    <n v="96.4"/>
    <n v="0"/>
    <n v="10"/>
    <n v="4"/>
    <n v="32"/>
    <n v="89"/>
    <x v="0"/>
    <x v="0"/>
  </r>
  <r>
    <s v="EMP00860"/>
    <x v="55"/>
    <x v="1"/>
    <n v="31"/>
    <x v="5"/>
    <x v="1"/>
    <x v="561"/>
    <x v="0"/>
    <x v="0"/>
    <x v="4"/>
    <s v="Linkedin"/>
    <x v="1"/>
    <s v="Ahmed Raza"/>
    <n v="49108"/>
    <n v="27123"/>
    <n v="95.8"/>
    <n v="0"/>
    <n v="9"/>
    <n v="4"/>
    <n v="0"/>
    <n v="63"/>
    <x v="0"/>
    <x v="0"/>
  </r>
  <r>
    <s v="EMP00912"/>
    <x v="21"/>
    <x v="1"/>
    <n v="25"/>
    <x v="5"/>
    <x v="5"/>
    <x v="561"/>
    <x v="0"/>
    <x v="2"/>
    <x v="2"/>
    <s v="Linkedin"/>
    <x v="5"/>
    <s v="Sara Ali"/>
    <n v="113925"/>
    <n v="13007"/>
    <n v="96.2"/>
    <n v="4"/>
    <n v="23"/>
    <n v="4"/>
    <n v="26"/>
    <n v="76"/>
    <x v="0"/>
    <x v="0"/>
  </r>
  <r>
    <s v="EMP01636"/>
    <x v="83"/>
    <x v="0"/>
    <n v="28"/>
    <x v="5"/>
    <x v="2"/>
    <x v="561"/>
    <x v="0"/>
    <x v="2"/>
    <x v="4"/>
    <s v="Campus"/>
    <x v="7"/>
    <s v="Ahmed Raza"/>
    <n v="112895"/>
    <n v="18580"/>
    <n v="88"/>
    <n v="3"/>
    <n v="2"/>
    <n v="5"/>
    <n v="38"/>
    <n v="66"/>
    <x v="1"/>
    <x v="0"/>
  </r>
  <r>
    <s v="EMP00768"/>
    <x v="22"/>
    <x v="0"/>
    <n v="26"/>
    <x v="2"/>
    <x v="4"/>
    <x v="562"/>
    <x v="0"/>
    <x v="0"/>
    <x v="2"/>
    <s v="Campus"/>
    <x v="5"/>
    <s v="Bilal Khan"/>
    <n v="206349"/>
    <n v="16476"/>
    <n v="86.1"/>
    <n v="8"/>
    <n v="28"/>
    <n v="5"/>
    <n v="29"/>
    <n v="98"/>
    <x v="0"/>
    <x v="0"/>
  </r>
  <r>
    <s v="EMP01404"/>
    <x v="85"/>
    <x v="1"/>
    <n v="41"/>
    <x v="2"/>
    <x v="4"/>
    <x v="562"/>
    <x v="0"/>
    <x v="2"/>
    <x v="1"/>
    <s v="Agency"/>
    <x v="7"/>
    <s v="Sara Ali"/>
    <n v="93523"/>
    <n v="39891"/>
    <n v="80.400000000000006"/>
    <n v="1"/>
    <n v="17"/>
    <n v="5"/>
    <n v="13"/>
    <n v="62"/>
    <x v="0"/>
    <x v="0"/>
  </r>
  <r>
    <s v="EMP01623"/>
    <x v="7"/>
    <x v="0"/>
    <n v="58"/>
    <x v="2"/>
    <x v="2"/>
    <x v="562"/>
    <x v="1"/>
    <x v="2"/>
    <x v="1"/>
    <s v="Agency"/>
    <x v="3"/>
    <s v="Fatima Noor"/>
    <n v="168968"/>
    <n v="27953"/>
    <n v="87"/>
    <n v="2"/>
    <n v="0"/>
    <n v="3"/>
    <n v="26"/>
    <n v="89"/>
    <x v="0"/>
    <x v="3"/>
  </r>
  <r>
    <s v="EMP00183"/>
    <x v="102"/>
    <x v="1"/>
    <n v="28"/>
    <x v="7"/>
    <x v="6"/>
    <x v="563"/>
    <x v="0"/>
    <x v="2"/>
    <x v="2"/>
    <s v="Linkedin"/>
    <x v="0"/>
    <s v="Ahmed Raza"/>
    <n v="85161"/>
    <n v="25122"/>
    <n v="89.1"/>
    <n v="4"/>
    <n v="25"/>
    <n v="5"/>
    <n v="35"/>
    <n v="73"/>
    <x v="0"/>
    <x v="0"/>
  </r>
  <r>
    <s v="EMP00350"/>
    <x v="161"/>
    <x v="1"/>
    <n v="58"/>
    <x v="4"/>
    <x v="2"/>
    <x v="563"/>
    <x v="0"/>
    <x v="1"/>
    <x v="0"/>
    <s v="Agency"/>
    <x v="7"/>
    <s v="Fatima Noor"/>
    <n v="198062"/>
    <n v="27839"/>
    <n v="88.1"/>
    <n v="3"/>
    <n v="13"/>
    <n v="3"/>
    <n v="17"/>
    <n v="72"/>
    <x v="0"/>
    <x v="0"/>
  </r>
  <r>
    <s v="EMP00369"/>
    <x v="193"/>
    <x v="1"/>
    <n v="47"/>
    <x v="6"/>
    <x v="7"/>
    <x v="563"/>
    <x v="0"/>
    <x v="0"/>
    <x v="2"/>
    <s v="Linkedin"/>
    <x v="6"/>
    <s v="Sara Ali"/>
    <n v="106037"/>
    <n v="32255"/>
    <n v="83.4"/>
    <n v="2"/>
    <n v="10"/>
    <n v="2"/>
    <n v="7"/>
    <n v="61"/>
    <x v="1"/>
    <x v="0"/>
  </r>
  <r>
    <s v="EMP01289"/>
    <x v="26"/>
    <x v="1"/>
    <n v="42"/>
    <x v="4"/>
    <x v="0"/>
    <x v="563"/>
    <x v="0"/>
    <x v="2"/>
    <x v="2"/>
    <s v="Linkedin"/>
    <x v="4"/>
    <s v="Fatima Noor"/>
    <n v="205986"/>
    <n v="8349"/>
    <n v="82.8"/>
    <n v="0"/>
    <n v="24"/>
    <n v="5"/>
    <n v="38"/>
    <n v="79"/>
    <x v="0"/>
    <x v="0"/>
  </r>
  <r>
    <s v="EMP01607"/>
    <x v="42"/>
    <x v="1"/>
    <n v="41"/>
    <x v="8"/>
    <x v="0"/>
    <x v="563"/>
    <x v="0"/>
    <x v="1"/>
    <x v="3"/>
    <s v="Campus"/>
    <x v="3"/>
    <s v="Usman Tariq"/>
    <n v="166605"/>
    <n v="38899"/>
    <n v="98.5"/>
    <n v="4"/>
    <n v="29"/>
    <n v="5"/>
    <n v="7"/>
    <n v="65"/>
    <x v="0"/>
    <x v="0"/>
  </r>
  <r>
    <s v="EMP01913"/>
    <x v="145"/>
    <x v="1"/>
    <n v="54"/>
    <x v="7"/>
    <x v="2"/>
    <x v="563"/>
    <x v="0"/>
    <x v="1"/>
    <x v="2"/>
    <s v="Agency"/>
    <x v="2"/>
    <s v="Fatima Noor"/>
    <n v="217742"/>
    <n v="8212"/>
    <n v="93.8"/>
    <n v="3"/>
    <n v="1"/>
    <n v="3"/>
    <n v="38"/>
    <n v="80"/>
    <x v="0"/>
    <x v="0"/>
  </r>
  <r>
    <s v="EMP00024"/>
    <x v="142"/>
    <x v="0"/>
    <n v="27"/>
    <x v="6"/>
    <x v="0"/>
    <x v="564"/>
    <x v="0"/>
    <x v="0"/>
    <x v="0"/>
    <s v="Agency"/>
    <x v="4"/>
    <s v="Sara Ali"/>
    <n v="216584"/>
    <n v="48419"/>
    <n v="95.3"/>
    <n v="1"/>
    <n v="27"/>
    <n v="3"/>
    <n v="27"/>
    <n v="72"/>
    <x v="0"/>
    <x v="0"/>
  </r>
  <r>
    <s v="EMP00357"/>
    <x v="108"/>
    <x v="1"/>
    <n v="46"/>
    <x v="8"/>
    <x v="4"/>
    <x v="564"/>
    <x v="0"/>
    <x v="2"/>
    <x v="3"/>
    <s v="Campus"/>
    <x v="4"/>
    <s v="Ahmed Raza"/>
    <n v="155032"/>
    <n v="36835"/>
    <n v="83.7"/>
    <n v="9"/>
    <n v="20"/>
    <n v="4"/>
    <n v="12"/>
    <n v="99"/>
    <x v="0"/>
    <x v="0"/>
  </r>
  <r>
    <s v="EMP00767"/>
    <x v="41"/>
    <x v="0"/>
    <n v="38"/>
    <x v="3"/>
    <x v="4"/>
    <x v="564"/>
    <x v="0"/>
    <x v="2"/>
    <x v="1"/>
    <s v="Agency"/>
    <x v="1"/>
    <s v="Usman Tariq"/>
    <n v="142831"/>
    <n v="5387"/>
    <n v="94.8"/>
    <n v="6"/>
    <n v="12"/>
    <n v="3"/>
    <n v="0"/>
    <n v="94"/>
    <x v="0"/>
    <x v="0"/>
  </r>
  <r>
    <s v="EMP01674"/>
    <x v="1"/>
    <x v="0"/>
    <n v="32"/>
    <x v="4"/>
    <x v="5"/>
    <x v="564"/>
    <x v="0"/>
    <x v="0"/>
    <x v="4"/>
    <s v="Referral"/>
    <x v="6"/>
    <s v="Usman Tariq"/>
    <n v="234692"/>
    <n v="17461"/>
    <n v="98.6"/>
    <n v="5"/>
    <n v="6"/>
    <n v="1"/>
    <n v="35"/>
    <n v="85"/>
    <x v="0"/>
    <x v="0"/>
  </r>
  <r>
    <s v="EMP00023"/>
    <x v="69"/>
    <x v="0"/>
    <n v="23"/>
    <x v="2"/>
    <x v="2"/>
    <x v="565"/>
    <x v="0"/>
    <x v="1"/>
    <x v="0"/>
    <s v="Referral"/>
    <x v="2"/>
    <s v="Sara Ali"/>
    <n v="59659"/>
    <n v="47010"/>
    <n v="96.7"/>
    <n v="9"/>
    <n v="13"/>
    <n v="4"/>
    <n v="16"/>
    <n v="90"/>
    <x v="0"/>
    <x v="0"/>
  </r>
  <r>
    <s v="EMP00436"/>
    <x v="29"/>
    <x v="0"/>
    <n v="50"/>
    <x v="6"/>
    <x v="2"/>
    <x v="565"/>
    <x v="0"/>
    <x v="0"/>
    <x v="0"/>
    <s v="Agency"/>
    <x v="1"/>
    <s v="Bilal Khan"/>
    <n v="80904"/>
    <n v="32497"/>
    <n v="98.8"/>
    <n v="1"/>
    <n v="26"/>
    <n v="1"/>
    <n v="38"/>
    <n v="76"/>
    <x v="0"/>
    <x v="0"/>
  </r>
  <r>
    <s v="EMP00862"/>
    <x v="110"/>
    <x v="0"/>
    <n v="51"/>
    <x v="6"/>
    <x v="4"/>
    <x v="565"/>
    <x v="0"/>
    <x v="0"/>
    <x v="0"/>
    <s v="Agency"/>
    <x v="4"/>
    <s v="Bilal Khan"/>
    <n v="44592"/>
    <n v="31001"/>
    <n v="93.9"/>
    <n v="5"/>
    <n v="24"/>
    <n v="5"/>
    <n v="9"/>
    <n v="78"/>
    <x v="1"/>
    <x v="0"/>
  </r>
  <r>
    <s v="EMP01216"/>
    <x v="22"/>
    <x v="0"/>
    <n v="53"/>
    <x v="8"/>
    <x v="1"/>
    <x v="565"/>
    <x v="0"/>
    <x v="1"/>
    <x v="1"/>
    <s v="Referral"/>
    <x v="7"/>
    <s v="Bilal Khan"/>
    <n v="41394"/>
    <n v="11931"/>
    <n v="89.1"/>
    <n v="3"/>
    <n v="19"/>
    <n v="1"/>
    <n v="25"/>
    <n v="82"/>
    <x v="1"/>
    <x v="0"/>
  </r>
  <r>
    <s v="EMP01883"/>
    <x v="109"/>
    <x v="1"/>
    <n v="49"/>
    <x v="0"/>
    <x v="2"/>
    <x v="565"/>
    <x v="0"/>
    <x v="0"/>
    <x v="4"/>
    <s v="Website"/>
    <x v="1"/>
    <s v="Bilal Khan"/>
    <n v="48997"/>
    <n v="22157"/>
    <n v="82.5"/>
    <n v="5"/>
    <n v="30"/>
    <n v="3"/>
    <n v="22"/>
    <n v="87"/>
    <x v="0"/>
    <x v="0"/>
  </r>
  <r>
    <s v="EMP01277"/>
    <x v="105"/>
    <x v="1"/>
    <n v="31"/>
    <x v="4"/>
    <x v="5"/>
    <x v="566"/>
    <x v="0"/>
    <x v="0"/>
    <x v="2"/>
    <s v="Linkedin"/>
    <x v="7"/>
    <s v="Sara Ali"/>
    <n v="146198"/>
    <n v="14484"/>
    <n v="89.8"/>
    <n v="9"/>
    <n v="16"/>
    <n v="2"/>
    <n v="39"/>
    <n v="86"/>
    <x v="0"/>
    <x v="0"/>
  </r>
  <r>
    <s v="EMP01441"/>
    <x v="34"/>
    <x v="1"/>
    <n v="40"/>
    <x v="0"/>
    <x v="2"/>
    <x v="566"/>
    <x v="0"/>
    <x v="1"/>
    <x v="4"/>
    <s v="Referral"/>
    <x v="2"/>
    <s v="Fatima Noor"/>
    <n v="145978"/>
    <n v="18352"/>
    <n v="82.4"/>
    <n v="4"/>
    <n v="10"/>
    <n v="3"/>
    <n v="12"/>
    <n v="75"/>
    <x v="0"/>
    <x v="0"/>
  </r>
  <r>
    <s v="EMP01889"/>
    <x v="20"/>
    <x v="1"/>
    <n v="50"/>
    <x v="4"/>
    <x v="3"/>
    <x v="566"/>
    <x v="0"/>
    <x v="2"/>
    <x v="1"/>
    <s v="Referral"/>
    <x v="1"/>
    <s v="Bilal Khan"/>
    <n v="121457"/>
    <n v="16987"/>
    <n v="100"/>
    <n v="5"/>
    <n v="17"/>
    <n v="1"/>
    <n v="11"/>
    <n v="62"/>
    <x v="0"/>
    <x v="0"/>
  </r>
  <r>
    <s v="EMP00712"/>
    <x v="140"/>
    <x v="0"/>
    <n v="29"/>
    <x v="2"/>
    <x v="4"/>
    <x v="567"/>
    <x v="0"/>
    <x v="2"/>
    <x v="1"/>
    <s v="Campus"/>
    <x v="0"/>
    <s v="Usman Tariq"/>
    <n v="170477"/>
    <n v="15387"/>
    <n v="90.2"/>
    <n v="0"/>
    <n v="28"/>
    <n v="4"/>
    <n v="25"/>
    <n v="71"/>
    <x v="0"/>
    <x v="0"/>
  </r>
  <r>
    <s v="EMP00994"/>
    <x v="110"/>
    <x v="0"/>
    <n v="29"/>
    <x v="7"/>
    <x v="4"/>
    <x v="567"/>
    <x v="1"/>
    <x v="0"/>
    <x v="1"/>
    <s v="Campus"/>
    <x v="5"/>
    <s v="Sara Ali"/>
    <n v="91615"/>
    <n v="36531"/>
    <n v="98.1"/>
    <n v="6"/>
    <n v="17"/>
    <n v="2"/>
    <n v="14"/>
    <n v="73"/>
    <x v="0"/>
    <x v="4"/>
  </r>
  <r>
    <s v="EMP00637"/>
    <x v="89"/>
    <x v="0"/>
    <n v="32"/>
    <x v="2"/>
    <x v="4"/>
    <x v="568"/>
    <x v="0"/>
    <x v="2"/>
    <x v="4"/>
    <s v="Campus"/>
    <x v="1"/>
    <s v="Usman Tariq"/>
    <n v="39436"/>
    <n v="23817"/>
    <n v="82.3"/>
    <n v="4"/>
    <n v="10"/>
    <n v="5"/>
    <n v="26"/>
    <n v="87"/>
    <x v="0"/>
    <x v="0"/>
  </r>
  <r>
    <s v="EMP00840"/>
    <x v="43"/>
    <x v="0"/>
    <n v="31"/>
    <x v="8"/>
    <x v="2"/>
    <x v="568"/>
    <x v="0"/>
    <x v="1"/>
    <x v="2"/>
    <s v="Linkedin"/>
    <x v="4"/>
    <s v="Bilal Khan"/>
    <n v="243154"/>
    <n v="17394"/>
    <n v="95.3"/>
    <n v="7"/>
    <n v="8"/>
    <n v="5"/>
    <n v="24"/>
    <n v="93"/>
    <x v="0"/>
    <x v="0"/>
  </r>
  <r>
    <s v="EMP01139"/>
    <x v="77"/>
    <x v="0"/>
    <n v="39"/>
    <x v="1"/>
    <x v="6"/>
    <x v="568"/>
    <x v="1"/>
    <x v="0"/>
    <x v="2"/>
    <s v="Agency"/>
    <x v="7"/>
    <s v="Bilal Khan"/>
    <n v="133935"/>
    <n v="20157"/>
    <n v="91"/>
    <n v="10"/>
    <n v="27"/>
    <n v="2"/>
    <n v="27"/>
    <n v="76"/>
    <x v="0"/>
    <x v="3"/>
  </r>
  <r>
    <s v="EMP01537"/>
    <x v="196"/>
    <x v="0"/>
    <n v="58"/>
    <x v="7"/>
    <x v="1"/>
    <x v="568"/>
    <x v="0"/>
    <x v="1"/>
    <x v="0"/>
    <s v="Linkedin"/>
    <x v="2"/>
    <s v="Bilal Khan"/>
    <n v="116113"/>
    <n v="37324"/>
    <n v="83.5"/>
    <n v="4"/>
    <n v="2"/>
    <n v="4"/>
    <n v="1"/>
    <n v="95"/>
    <x v="0"/>
    <x v="0"/>
  </r>
  <r>
    <s v="EMP01643"/>
    <x v="62"/>
    <x v="1"/>
    <n v="60"/>
    <x v="1"/>
    <x v="7"/>
    <x v="568"/>
    <x v="0"/>
    <x v="0"/>
    <x v="2"/>
    <s v="Linkedin"/>
    <x v="3"/>
    <s v="Usman Tariq"/>
    <n v="112567"/>
    <n v="49075"/>
    <n v="95.7"/>
    <n v="0"/>
    <n v="15"/>
    <n v="1"/>
    <n v="9"/>
    <n v="79"/>
    <x v="0"/>
    <x v="0"/>
  </r>
  <r>
    <s v="EMP01460"/>
    <x v="175"/>
    <x v="0"/>
    <n v="25"/>
    <x v="3"/>
    <x v="6"/>
    <x v="569"/>
    <x v="0"/>
    <x v="1"/>
    <x v="2"/>
    <s v="Agency"/>
    <x v="2"/>
    <s v="Fatima Noor"/>
    <n v="210967"/>
    <n v="28574"/>
    <n v="95.7"/>
    <n v="3"/>
    <n v="25"/>
    <n v="5"/>
    <n v="31"/>
    <n v="80"/>
    <x v="0"/>
    <x v="0"/>
  </r>
  <r>
    <s v="EMP01806"/>
    <x v="17"/>
    <x v="1"/>
    <n v="25"/>
    <x v="2"/>
    <x v="0"/>
    <x v="569"/>
    <x v="1"/>
    <x v="0"/>
    <x v="0"/>
    <s v="Website"/>
    <x v="0"/>
    <s v="Bilal Khan"/>
    <n v="184187"/>
    <n v="28789"/>
    <n v="90.6"/>
    <n v="6"/>
    <n v="17"/>
    <n v="5"/>
    <n v="15"/>
    <n v="68"/>
    <x v="0"/>
    <x v="4"/>
  </r>
  <r>
    <s v="EMP00939"/>
    <x v="50"/>
    <x v="0"/>
    <n v="30"/>
    <x v="6"/>
    <x v="7"/>
    <x v="570"/>
    <x v="0"/>
    <x v="0"/>
    <x v="1"/>
    <s v="Agency"/>
    <x v="3"/>
    <s v="Usman Tariq"/>
    <n v="197960"/>
    <n v="48573"/>
    <n v="86.7"/>
    <n v="1"/>
    <n v="28"/>
    <n v="1"/>
    <n v="18"/>
    <n v="81"/>
    <x v="0"/>
    <x v="0"/>
  </r>
  <r>
    <s v="EMP01846"/>
    <x v="49"/>
    <x v="1"/>
    <n v="42"/>
    <x v="0"/>
    <x v="6"/>
    <x v="570"/>
    <x v="0"/>
    <x v="1"/>
    <x v="4"/>
    <s v="Campus"/>
    <x v="3"/>
    <s v="Ahmed Raza"/>
    <n v="160148"/>
    <n v="22283"/>
    <n v="96.7"/>
    <n v="10"/>
    <n v="24"/>
    <n v="3"/>
    <n v="6"/>
    <n v="88"/>
    <x v="0"/>
    <x v="0"/>
  </r>
  <r>
    <s v="EMP00766"/>
    <x v="120"/>
    <x v="1"/>
    <n v="30"/>
    <x v="5"/>
    <x v="7"/>
    <x v="571"/>
    <x v="0"/>
    <x v="1"/>
    <x v="0"/>
    <s v="Agency"/>
    <x v="1"/>
    <s v="Fatima Noor"/>
    <n v="246171"/>
    <n v="13262"/>
    <n v="94.6"/>
    <n v="9"/>
    <n v="13"/>
    <n v="3"/>
    <n v="28"/>
    <n v="78"/>
    <x v="0"/>
    <x v="0"/>
  </r>
  <r>
    <s v="EMP00583"/>
    <x v="134"/>
    <x v="1"/>
    <n v="39"/>
    <x v="3"/>
    <x v="3"/>
    <x v="572"/>
    <x v="0"/>
    <x v="1"/>
    <x v="1"/>
    <s v="Website"/>
    <x v="1"/>
    <s v="Bilal Khan"/>
    <n v="60349"/>
    <n v="24041"/>
    <n v="87.1"/>
    <n v="1"/>
    <n v="8"/>
    <n v="4"/>
    <n v="10"/>
    <n v="86"/>
    <x v="0"/>
    <x v="0"/>
  </r>
  <r>
    <s v="EMP01333"/>
    <x v="195"/>
    <x v="0"/>
    <n v="49"/>
    <x v="7"/>
    <x v="4"/>
    <x v="572"/>
    <x v="0"/>
    <x v="2"/>
    <x v="2"/>
    <s v="Website"/>
    <x v="7"/>
    <s v="Ahmed Raza"/>
    <n v="131314"/>
    <n v="31843"/>
    <n v="86.4"/>
    <n v="4"/>
    <n v="15"/>
    <n v="2"/>
    <n v="3"/>
    <n v="84"/>
    <x v="1"/>
    <x v="0"/>
  </r>
  <r>
    <s v="EMP01887"/>
    <x v="99"/>
    <x v="1"/>
    <n v="23"/>
    <x v="1"/>
    <x v="3"/>
    <x v="572"/>
    <x v="0"/>
    <x v="1"/>
    <x v="3"/>
    <s v="Referral"/>
    <x v="5"/>
    <s v="Ahmed Raza"/>
    <n v="138167"/>
    <n v="24671"/>
    <n v="89.3"/>
    <n v="5"/>
    <n v="27"/>
    <n v="5"/>
    <n v="17"/>
    <n v="100"/>
    <x v="0"/>
    <x v="0"/>
  </r>
  <r>
    <s v="EMP00412"/>
    <x v="46"/>
    <x v="1"/>
    <n v="53"/>
    <x v="8"/>
    <x v="5"/>
    <x v="573"/>
    <x v="0"/>
    <x v="1"/>
    <x v="3"/>
    <s v="Agency"/>
    <x v="0"/>
    <s v="Sara Ali"/>
    <n v="237572"/>
    <n v="49606"/>
    <n v="93.8"/>
    <n v="8"/>
    <n v="22"/>
    <n v="4"/>
    <n v="37"/>
    <n v="86"/>
    <x v="0"/>
    <x v="0"/>
  </r>
  <r>
    <s v="EMP00443"/>
    <x v="119"/>
    <x v="1"/>
    <n v="53"/>
    <x v="6"/>
    <x v="4"/>
    <x v="573"/>
    <x v="0"/>
    <x v="0"/>
    <x v="4"/>
    <s v="Agency"/>
    <x v="1"/>
    <s v="Fatima Noor"/>
    <n v="106365"/>
    <n v="40484"/>
    <n v="89.2"/>
    <n v="4"/>
    <n v="5"/>
    <n v="4"/>
    <n v="11"/>
    <n v="65"/>
    <x v="0"/>
    <x v="0"/>
  </r>
  <r>
    <s v="EMP01005"/>
    <x v="60"/>
    <x v="0"/>
    <n v="43"/>
    <x v="0"/>
    <x v="1"/>
    <x v="573"/>
    <x v="0"/>
    <x v="1"/>
    <x v="2"/>
    <s v="Agency"/>
    <x v="6"/>
    <s v="Bilal Khan"/>
    <n v="221020"/>
    <n v="43621"/>
    <n v="82.2"/>
    <n v="10"/>
    <n v="20"/>
    <n v="4"/>
    <n v="37"/>
    <n v="69"/>
    <x v="0"/>
    <x v="0"/>
  </r>
  <r>
    <s v="EMP01191"/>
    <x v="183"/>
    <x v="0"/>
    <n v="53"/>
    <x v="7"/>
    <x v="0"/>
    <x v="573"/>
    <x v="0"/>
    <x v="1"/>
    <x v="4"/>
    <s v="Agency"/>
    <x v="1"/>
    <s v="Usman Tariq"/>
    <n v="204416"/>
    <n v="40476"/>
    <n v="98.1"/>
    <n v="4"/>
    <n v="0"/>
    <n v="4"/>
    <n v="9"/>
    <n v="61"/>
    <x v="0"/>
    <x v="0"/>
  </r>
  <r>
    <s v="EMP01448"/>
    <x v="162"/>
    <x v="0"/>
    <n v="51"/>
    <x v="2"/>
    <x v="5"/>
    <x v="574"/>
    <x v="0"/>
    <x v="2"/>
    <x v="4"/>
    <s v="Campus"/>
    <x v="4"/>
    <s v="Ahmed Raza"/>
    <n v="227068"/>
    <n v="20292"/>
    <n v="85.5"/>
    <n v="0"/>
    <n v="5"/>
    <n v="1"/>
    <n v="13"/>
    <n v="76"/>
    <x v="0"/>
    <x v="0"/>
  </r>
  <r>
    <s v="EMP01955"/>
    <x v="48"/>
    <x v="0"/>
    <n v="54"/>
    <x v="1"/>
    <x v="0"/>
    <x v="574"/>
    <x v="0"/>
    <x v="2"/>
    <x v="0"/>
    <s v="Campus"/>
    <x v="2"/>
    <s v="Sara Ali"/>
    <n v="122956"/>
    <n v="8621"/>
    <n v="88.8"/>
    <n v="10"/>
    <n v="4"/>
    <n v="1"/>
    <n v="33"/>
    <n v="87"/>
    <x v="0"/>
    <x v="0"/>
  </r>
  <r>
    <s v="EMP01290"/>
    <x v="53"/>
    <x v="0"/>
    <n v="29"/>
    <x v="4"/>
    <x v="0"/>
    <x v="575"/>
    <x v="1"/>
    <x v="2"/>
    <x v="0"/>
    <s v="Website"/>
    <x v="7"/>
    <s v="Bilal Khan"/>
    <n v="158052"/>
    <n v="9476"/>
    <n v="96.7"/>
    <n v="10"/>
    <n v="20"/>
    <n v="1"/>
    <n v="19"/>
    <n v="92"/>
    <x v="0"/>
    <x v="4"/>
  </r>
  <r>
    <s v="EMP00601"/>
    <x v="165"/>
    <x v="1"/>
    <n v="24"/>
    <x v="7"/>
    <x v="4"/>
    <x v="576"/>
    <x v="0"/>
    <x v="2"/>
    <x v="1"/>
    <s v="Linkedin"/>
    <x v="7"/>
    <s v="Bilal Khan"/>
    <n v="230815"/>
    <n v="32895"/>
    <n v="90.2"/>
    <n v="8"/>
    <n v="0"/>
    <n v="1"/>
    <n v="18"/>
    <n v="94"/>
    <x v="0"/>
    <x v="0"/>
  </r>
  <r>
    <s v="EMP01326"/>
    <x v="171"/>
    <x v="0"/>
    <n v="47"/>
    <x v="1"/>
    <x v="7"/>
    <x v="576"/>
    <x v="0"/>
    <x v="0"/>
    <x v="0"/>
    <s v="Referral"/>
    <x v="1"/>
    <s v="Sara Ali"/>
    <n v="237964"/>
    <n v="24426"/>
    <n v="98.6"/>
    <n v="8"/>
    <n v="20"/>
    <n v="3"/>
    <n v="5"/>
    <n v="75"/>
    <x v="1"/>
    <x v="0"/>
  </r>
  <r>
    <s v="EMP00670"/>
    <x v="65"/>
    <x v="1"/>
    <n v="40"/>
    <x v="0"/>
    <x v="5"/>
    <x v="577"/>
    <x v="0"/>
    <x v="1"/>
    <x v="1"/>
    <s v="Website"/>
    <x v="5"/>
    <s v="Ahmed Raza"/>
    <n v="226785"/>
    <n v="13765"/>
    <n v="86.4"/>
    <n v="7"/>
    <n v="15"/>
    <n v="4"/>
    <n v="18"/>
    <n v="84"/>
    <x v="0"/>
    <x v="0"/>
  </r>
  <r>
    <s v="EMP00040"/>
    <x v="119"/>
    <x v="0"/>
    <n v="37"/>
    <x v="0"/>
    <x v="3"/>
    <x v="578"/>
    <x v="0"/>
    <x v="1"/>
    <x v="2"/>
    <s v="Website"/>
    <x v="0"/>
    <s v="Fatima Noor"/>
    <n v="36569"/>
    <n v="11506"/>
    <n v="81.900000000000006"/>
    <n v="2"/>
    <n v="22"/>
    <n v="1"/>
    <n v="18"/>
    <n v="96"/>
    <x v="1"/>
    <x v="0"/>
  </r>
  <r>
    <s v="EMP00401"/>
    <x v="133"/>
    <x v="0"/>
    <n v="60"/>
    <x v="0"/>
    <x v="5"/>
    <x v="578"/>
    <x v="0"/>
    <x v="2"/>
    <x v="2"/>
    <s v="Referral"/>
    <x v="6"/>
    <s v="Bilal Khan"/>
    <n v="39953"/>
    <n v="41910"/>
    <n v="96"/>
    <n v="7"/>
    <n v="29"/>
    <n v="5"/>
    <n v="40"/>
    <n v="81"/>
    <x v="0"/>
    <x v="0"/>
  </r>
  <r>
    <s v="EMP01098"/>
    <x v="43"/>
    <x v="0"/>
    <n v="56"/>
    <x v="0"/>
    <x v="2"/>
    <x v="578"/>
    <x v="0"/>
    <x v="0"/>
    <x v="3"/>
    <s v="Campus"/>
    <x v="0"/>
    <s v="Bilal Khan"/>
    <n v="57808"/>
    <n v="12262"/>
    <n v="91.9"/>
    <n v="0"/>
    <n v="3"/>
    <n v="5"/>
    <n v="15"/>
    <n v="74"/>
    <x v="0"/>
    <x v="0"/>
  </r>
  <r>
    <s v="EMP01493"/>
    <x v="162"/>
    <x v="0"/>
    <n v="45"/>
    <x v="7"/>
    <x v="3"/>
    <x v="578"/>
    <x v="0"/>
    <x v="0"/>
    <x v="2"/>
    <s v="Linkedin"/>
    <x v="5"/>
    <s v="Sara Ali"/>
    <n v="67937"/>
    <n v="27083"/>
    <n v="99.6"/>
    <n v="3"/>
    <n v="15"/>
    <n v="2"/>
    <n v="27"/>
    <n v="99"/>
    <x v="0"/>
    <x v="0"/>
  </r>
  <r>
    <s v="EMP00241"/>
    <x v="138"/>
    <x v="0"/>
    <n v="51"/>
    <x v="6"/>
    <x v="5"/>
    <x v="579"/>
    <x v="0"/>
    <x v="0"/>
    <x v="3"/>
    <s v="Referral"/>
    <x v="2"/>
    <s v="Fatima Noor"/>
    <n v="249758"/>
    <n v="29888"/>
    <n v="97.8"/>
    <n v="6"/>
    <n v="30"/>
    <n v="2"/>
    <n v="17"/>
    <n v="85"/>
    <x v="0"/>
    <x v="0"/>
  </r>
  <r>
    <s v="EMP00504"/>
    <x v="29"/>
    <x v="1"/>
    <n v="40"/>
    <x v="4"/>
    <x v="3"/>
    <x v="579"/>
    <x v="0"/>
    <x v="2"/>
    <x v="4"/>
    <s v="Linkedin"/>
    <x v="6"/>
    <s v="Usman Tariq"/>
    <n v="94037"/>
    <n v="17067"/>
    <n v="80.7"/>
    <n v="7"/>
    <n v="21"/>
    <n v="3"/>
    <n v="0"/>
    <n v="66"/>
    <x v="1"/>
    <x v="0"/>
  </r>
  <r>
    <s v="EMP01332"/>
    <x v="44"/>
    <x v="1"/>
    <n v="26"/>
    <x v="4"/>
    <x v="7"/>
    <x v="579"/>
    <x v="0"/>
    <x v="1"/>
    <x v="2"/>
    <s v="Agency"/>
    <x v="6"/>
    <s v="Usman Tariq"/>
    <n v="126808"/>
    <n v="21667"/>
    <n v="82.1"/>
    <n v="0"/>
    <n v="17"/>
    <n v="4"/>
    <n v="24"/>
    <n v="99"/>
    <x v="0"/>
    <x v="0"/>
  </r>
  <r>
    <s v="EMP00087"/>
    <x v="26"/>
    <x v="1"/>
    <n v="31"/>
    <x v="0"/>
    <x v="6"/>
    <x v="580"/>
    <x v="0"/>
    <x v="1"/>
    <x v="4"/>
    <s v="Referral"/>
    <x v="6"/>
    <s v="Sara Ali"/>
    <n v="179965"/>
    <n v="28783"/>
    <n v="86.8"/>
    <n v="7"/>
    <n v="11"/>
    <n v="3"/>
    <n v="1"/>
    <n v="66"/>
    <x v="0"/>
    <x v="0"/>
  </r>
  <r>
    <s v="EMP01419"/>
    <x v="20"/>
    <x v="0"/>
    <n v="36"/>
    <x v="8"/>
    <x v="7"/>
    <x v="580"/>
    <x v="0"/>
    <x v="1"/>
    <x v="2"/>
    <s v="Website"/>
    <x v="0"/>
    <s v="Ahmed Raza"/>
    <n v="213682"/>
    <n v="45014"/>
    <n v="96.7"/>
    <n v="0"/>
    <n v="1"/>
    <n v="5"/>
    <n v="36"/>
    <n v="95"/>
    <x v="0"/>
    <x v="0"/>
  </r>
  <r>
    <s v="EMP00907"/>
    <x v="101"/>
    <x v="1"/>
    <n v="39"/>
    <x v="3"/>
    <x v="5"/>
    <x v="581"/>
    <x v="0"/>
    <x v="0"/>
    <x v="0"/>
    <s v="Linkedin"/>
    <x v="2"/>
    <s v="Sara Ali"/>
    <n v="245515"/>
    <n v="10142"/>
    <n v="82.6"/>
    <n v="10"/>
    <n v="24"/>
    <n v="3"/>
    <n v="10"/>
    <n v="96"/>
    <x v="0"/>
    <x v="0"/>
  </r>
  <r>
    <s v="EMP01007"/>
    <x v="195"/>
    <x v="0"/>
    <n v="41"/>
    <x v="1"/>
    <x v="4"/>
    <x v="581"/>
    <x v="0"/>
    <x v="0"/>
    <x v="1"/>
    <s v="Referral"/>
    <x v="4"/>
    <s v="Ahmed Raza"/>
    <n v="160678"/>
    <n v="15649"/>
    <n v="95.1"/>
    <n v="5"/>
    <n v="23"/>
    <n v="4"/>
    <n v="36"/>
    <n v="89"/>
    <x v="0"/>
    <x v="0"/>
  </r>
  <r>
    <s v="EMP01638"/>
    <x v="117"/>
    <x v="1"/>
    <n v="53"/>
    <x v="3"/>
    <x v="0"/>
    <x v="581"/>
    <x v="0"/>
    <x v="0"/>
    <x v="2"/>
    <s v="Campus"/>
    <x v="2"/>
    <s v="Sara Ali"/>
    <n v="60751"/>
    <n v="6235"/>
    <n v="91.7"/>
    <n v="6"/>
    <n v="28"/>
    <n v="2"/>
    <n v="10"/>
    <n v="72"/>
    <x v="0"/>
    <x v="0"/>
  </r>
  <r>
    <s v="EMP00494"/>
    <x v="56"/>
    <x v="0"/>
    <n v="30"/>
    <x v="0"/>
    <x v="5"/>
    <x v="582"/>
    <x v="1"/>
    <x v="1"/>
    <x v="2"/>
    <s v="Referral"/>
    <x v="2"/>
    <s v="Fatima Noor"/>
    <n v="93934"/>
    <n v="30438"/>
    <n v="89.4"/>
    <n v="0"/>
    <n v="20"/>
    <n v="2"/>
    <n v="38"/>
    <n v="73"/>
    <x v="0"/>
    <x v="5"/>
  </r>
  <r>
    <s v="EMP00891"/>
    <x v="7"/>
    <x v="0"/>
    <n v="31"/>
    <x v="3"/>
    <x v="5"/>
    <x v="582"/>
    <x v="0"/>
    <x v="2"/>
    <x v="3"/>
    <s v="Campus"/>
    <x v="4"/>
    <s v="Usman Tariq"/>
    <n v="142435"/>
    <n v="28904"/>
    <n v="95.3"/>
    <n v="7"/>
    <n v="23"/>
    <n v="2"/>
    <n v="15"/>
    <n v="84"/>
    <x v="0"/>
    <x v="0"/>
  </r>
  <r>
    <s v="EMP00080"/>
    <x v="64"/>
    <x v="0"/>
    <n v="43"/>
    <x v="5"/>
    <x v="4"/>
    <x v="583"/>
    <x v="0"/>
    <x v="0"/>
    <x v="0"/>
    <s v="Campus"/>
    <x v="3"/>
    <s v="Usman Tariq"/>
    <n v="220014"/>
    <n v="20740"/>
    <n v="90.5"/>
    <n v="10"/>
    <n v="20"/>
    <n v="4"/>
    <n v="6"/>
    <n v="76"/>
    <x v="0"/>
    <x v="0"/>
  </r>
  <r>
    <s v="EMP00274"/>
    <x v="34"/>
    <x v="0"/>
    <n v="21"/>
    <x v="4"/>
    <x v="5"/>
    <x v="583"/>
    <x v="0"/>
    <x v="0"/>
    <x v="0"/>
    <s v="Referral"/>
    <x v="2"/>
    <s v="Bilal Khan"/>
    <n v="113922"/>
    <n v="30752"/>
    <n v="81.2"/>
    <n v="7"/>
    <n v="15"/>
    <n v="2"/>
    <n v="34"/>
    <n v="81"/>
    <x v="1"/>
    <x v="0"/>
  </r>
  <r>
    <s v="EMP00899"/>
    <x v="199"/>
    <x v="1"/>
    <n v="42"/>
    <x v="8"/>
    <x v="2"/>
    <x v="583"/>
    <x v="0"/>
    <x v="1"/>
    <x v="4"/>
    <s v="Linkedin"/>
    <x v="7"/>
    <s v="Fatima Noor"/>
    <n v="160887"/>
    <n v="18433"/>
    <n v="96.3"/>
    <n v="3"/>
    <n v="17"/>
    <n v="5"/>
    <n v="24"/>
    <n v="82"/>
    <x v="0"/>
    <x v="0"/>
  </r>
  <r>
    <s v="EMP01152"/>
    <x v="147"/>
    <x v="0"/>
    <n v="51"/>
    <x v="7"/>
    <x v="1"/>
    <x v="583"/>
    <x v="0"/>
    <x v="1"/>
    <x v="3"/>
    <s v="Agency"/>
    <x v="0"/>
    <s v="Ahmed Raza"/>
    <n v="200820"/>
    <n v="22473"/>
    <n v="94.5"/>
    <n v="4"/>
    <n v="27"/>
    <n v="5"/>
    <n v="37"/>
    <n v="100"/>
    <x v="1"/>
    <x v="0"/>
  </r>
  <r>
    <s v="EMP01383"/>
    <x v="112"/>
    <x v="0"/>
    <n v="34"/>
    <x v="1"/>
    <x v="0"/>
    <x v="583"/>
    <x v="0"/>
    <x v="1"/>
    <x v="1"/>
    <s v="Linkedin"/>
    <x v="1"/>
    <s v="Bilal Khan"/>
    <n v="35438"/>
    <n v="31694"/>
    <n v="81.900000000000006"/>
    <n v="4"/>
    <n v="22"/>
    <n v="1"/>
    <n v="11"/>
    <n v="93"/>
    <x v="0"/>
    <x v="0"/>
  </r>
  <r>
    <s v="EMP00260"/>
    <x v="160"/>
    <x v="1"/>
    <n v="22"/>
    <x v="6"/>
    <x v="0"/>
    <x v="584"/>
    <x v="0"/>
    <x v="0"/>
    <x v="3"/>
    <s v="Linkedin"/>
    <x v="5"/>
    <s v="Sara Ali"/>
    <n v="40175"/>
    <n v="8875"/>
    <n v="89.5"/>
    <n v="3"/>
    <n v="3"/>
    <n v="5"/>
    <n v="17"/>
    <n v="89"/>
    <x v="0"/>
    <x v="0"/>
  </r>
  <r>
    <s v="EMP00738"/>
    <x v="82"/>
    <x v="0"/>
    <n v="59"/>
    <x v="8"/>
    <x v="1"/>
    <x v="584"/>
    <x v="0"/>
    <x v="2"/>
    <x v="1"/>
    <s v="Referral"/>
    <x v="6"/>
    <s v="Ahmed Raza"/>
    <n v="63109"/>
    <n v="44925"/>
    <n v="90.9"/>
    <n v="6"/>
    <n v="7"/>
    <n v="3"/>
    <n v="40"/>
    <n v="98"/>
    <x v="1"/>
    <x v="0"/>
  </r>
  <r>
    <s v="EMP00934"/>
    <x v="131"/>
    <x v="1"/>
    <n v="29"/>
    <x v="2"/>
    <x v="1"/>
    <x v="584"/>
    <x v="0"/>
    <x v="0"/>
    <x v="4"/>
    <s v="Linkedin"/>
    <x v="0"/>
    <s v="Fatima Noor"/>
    <n v="98937"/>
    <n v="24626"/>
    <n v="83"/>
    <n v="6"/>
    <n v="17"/>
    <n v="1"/>
    <n v="1"/>
    <n v="84"/>
    <x v="0"/>
    <x v="0"/>
  </r>
  <r>
    <s v="EMP01260"/>
    <x v="137"/>
    <x v="0"/>
    <n v="28"/>
    <x v="2"/>
    <x v="4"/>
    <x v="584"/>
    <x v="0"/>
    <x v="1"/>
    <x v="2"/>
    <s v="Linkedin"/>
    <x v="7"/>
    <s v="Fatima Noor"/>
    <n v="103566"/>
    <n v="18490"/>
    <n v="82"/>
    <n v="6"/>
    <n v="13"/>
    <n v="4"/>
    <n v="35"/>
    <n v="64"/>
    <x v="1"/>
    <x v="0"/>
  </r>
  <r>
    <s v="EMP01435"/>
    <x v="44"/>
    <x v="1"/>
    <n v="21"/>
    <x v="8"/>
    <x v="7"/>
    <x v="584"/>
    <x v="0"/>
    <x v="2"/>
    <x v="1"/>
    <s v="Linkedin"/>
    <x v="2"/>
    <s v="Ahmed Raza"/>
    <n v="223777"/>
    <n v="43675"/>
    <n v="87.6"/>
    <n v="4"/>
    <n v="17"/>
    <n v="2"/>
    <n v="31"/>
    <n v="79"/>
    <x v="1"/>
    <x v="0"/>
  </r>
  <r>
    <s v="EMP01984"/>
    <x v="112"/>
    <x v="0"/>
    <n v="39"/>
    <x v="8"/>
    <x v="2"/>
    <x v="584"/>
    <x v="1"/>
    <x v="0"/>
    <x v="1"/>
    <s v="Campus"/>
    <x v="7"/>
    <s v="Bilal Khan"/>
    <n v="50743"/>
    <n v="47635"/>
    <n v="92"/>
    <n v="5"/>
    <n v="3"/>
    <n v="5"/>
    <n v="39"/>
    <n v="89"/>
    <x v="0"/>
    <x v="5"/>
  </r>
  <r>
    <s v="EMP00794"/>
    <x v="94"/>
    <x v="0"/>
    <n v="30"/>
    <x v="6"/>
    <x v="2"/>
    <x v="585"/>
    <x v="0"/>
    <x v="1"/>
    <x v="2"/>
    <s v="Linkedin"/>
    <x v="6"/>
    <s v="Ahmed Raza"/>
    <n v="71157"/>
    <n v="36876"/>
    <n v="99.5"/>
    <n v="6"/>
    <n v="25"/>
    <n v="2"/>
    <n v="10"/>
    <n v="81"/>
    <x v="0"/>
    <x v="0"/>
  </r>
  <r>
    <s v="EMP00044"/>
    <x v="130"/>
    <x v="1"/>
    <n v="33"/>
    <x v="8"/>
    <x v="3"/>
    <x v="586"/>
    <x v="0"/>
    <x v="0"/>
    <x v="2"/>
    <s v="Linkedin"/>
    <x v="3"/>
    <s v="Fatima Noor"/>
    <n v="104663"/>
    <n v="39431"/>
    <n v="92.4"/>
    <n v="9"/>
    <n v="14"/>
    <n v="3"/>
    <n v="15"/>
    <n v="97"/>
    <x v="0"/>
    <x v="0"/>
  </r>
  <r>
    <s v="EMP01235"/>
    <x v="69"/>
    <x v="0"/>
    <n v="39"/>
    <x v="8"/>
    <x v="7"/>
    <x v="586"/>
    <x v="0"/>
    <x v="0"/>
    <x v="4"/>
    <s v="Agency"/>
    <x v="2"/>
    <s v="Bilal Khan"/>
    <n v="56780"/>
    <n v="43483"/>
    <n v="92.2"/>
    <n v="4"/>
    <n v="9"/>
    <n v="3"/>
    <n v="20"/>
    <n v="84"/>
    <x v="0"/>
    <x v="0"/>
  </r>
  <r>
    <s v="EMP01342"/>
    <x v="71"/>
    <x v="1"/>
    <n v="27"/>
    <x v="7"/>
    <x v="7"/>
    <x v="586"/>
    <x v="0"/>
    <x v="1"/>
    <x v="4"/>
    <s v="Agency"/>
    <x v="5"/>
    <s v="Usman Tariq"/>
    <n v="52444"/>
    <n v="49613"/>
    <n v="82"/>
    <n v="4"/>
    <n v="23"/>
    <n v="4"/>
    <n v="32"/>
    <n v="80"/>
    <x v="1"/>
    <x v="0"/>
  </r>
  <r>
    <s v="EMP00205"/>
    <x v="127"/>
    <x v="0"/>
    <n v="52"/>
    <x v="4"/>
    <x v="5"/>
    <x v="587"/>
    <x v="0"/>
    <x v="2"/>
    <x v="1"/>
    <s v="Linkedin"/>
    <x v="6"/>
    <s v="Ahmed Raza"/>
    <n v="196686"/>
    <n v="34292"/>
    <n v="94.7"/>
    <n v="6"/>
    <n v="19"/>
    <n v="2"/>
    <n v="40"/>
    <n v="75"/>
    <x v="0"/>
    <x v="0"/>
  </r>
  <r>
    <s v="EMP00609"/>
    <x v="54"/>
    <x v="0"/>
    <n v="27"/>
    <x v="3"/>
    <x v="6"/>
    <x v="587"/>
    <x v="0"/>
    <x v="1"/>
    <x v="0"/>
    <s v="Campus"/>
    <x v="6"/>
    <s v="Ahmed Raza"/>
    <n v="161800"/>
    <n v="6696"/>
    <n v="84.6"/>
    <n v="1"/>
    <n v="13"/>
    <n v="4"/>
    <n v="6"/>
    <n v="82"/>
    <x v="1"/>
    <x v="0"/>
  </r>
  <r>
    <s v="EMP00790"/>
    <x v="81"/>
    <x v="0"/>
    <n v="32"/>
    <x v="0"/>
    <x v="2"/>
    <x v="587"/>
    <x v="1"/>
    <x v="2"/>
    <x v="3"/>
    <s v="Website"/>
    <x v="7"/>
    <s v="Bilal Khan"/>
    <n v="53884"/>
    <n v="22034"/>
    <n v="93.1"/>
    <n v="1"/>
    <n v="23"/>
    <n v="3"/>
    <n v="3"/>
    <n v="66"/>
    <x v="0"/>
    <x v="2"/>
  </r>
  <r>
    <s v="EMP01286"/>
    <x v="8"/>
    <x v="1"/>
    <n v="45"/>
    <x v="4"/>
    <x v="0"/>
    <x v="587"/>
    <x v="0"/>
    <x v="2"/>
    <x v="0"/>
    <s v="Campus"/>
    <x v="7"/>
    <s v="Sara Ali"/>
    <n v="93620"/>
    <n v="45422"/>
    <n v="98.5"/>
    <n v="7"/>
    <n v="4"/>
    <n v="3"/>
    <n v="3"/>
    <n v="66"/>
    <x v="1"/>
    <x v="0"/>
  </r>
  <r>
    <s v="EMP01442"/>
    <x v="104"/>
    <x v="0"/>
    <n v="51"/>
    <x v="1"/>
    <x v="7"/>
    <x v="587"/>
    <x v="0"/>
    <x v="0"/>
    <x v="0"/>
    <s v="Agency"/>
    <x v="7"/>
    <s v="Ahmed Raza"/>
    <n v="123340"/>
    <n v="43473"/>
    <n v="94.3"/>
    <n v="5"/>
    <n v="22"/>
    <n v="4"/>
    <n v="20"/>
    <n v="78"/>
    <x v="0"/>
    <x v="0"/>
  </r>
  <r>
    <s v="EMP01456"/>
    <x v="167"/>
    <x v="1"/>
    <n v="24"/>
    <x v="6"/>
    <x v="7"/>
    <x v="587"/>
    <x v="0"/>
    <x v="1"/>
    <x v="0"/>
    <s v="Referral"/>
    <x v="5"/>
    <s v="Ahmed Raza"/>
    <n v="169442"/>
    <n v="38349"/>
    <n v="94.5"/>
    <n v="5"/>
    <n v="17"/>
    <n v="4"/>
    <n v="13"/>
    <n v="98"/>
    <x v="0"/>
    <x v="0"/>
  </r>
  <r>
    <s v="EMP01496"/>
    <x v="50"/>
    <x v="1"/>
    <n v="38"/>
    <x v="2"/>
    <x v="0"/>
    <x v="587"/>
    <x v="0"/>
    <x v="1"/>
    <x v="2"/>
    <s v="Referral"/>
    <x v="4"/>
    <s v="Sara Ali"/>
    <n v="107231"/>
    <n v="27268"/>
    <n v="95.1"/>
    <n v="4"/>
    <n v="20"/>
    <n v="3"/>
    <n v="22"/>
    <n v="76"/>
    <x v="0"/>
    <x v="0"/>
  </r>
  <r>
    <s v="EMP01498"/>
    <x v="15"/>
    <x v="0"/>
    <n v="39"/>
    <x v="1"/>
    <x v="1"/>
    <x v="587"/>
    <x v="0"/>
    <x v="2"/>
    <x v="2"/>
    <s v="Website"/>
    <x v="2"/>
    <s v="Fatima Noor"/>
    <n v="123881"/>
    <n v="49616"/>
    <n v="81.2"/>
    <n v="4"/>
    <n v="23"/>
    <n v="3"/>
    <n v="38"/>
    <n v="65"/>
    <x v="0"/>
    <x v="0"/>
  </r>
  <r>
    <s v="EMP01837"/>
    <x v="156"/>
    <x v="0"/>
    <n v="33"/>
    <x v="3"/>
    <x v="2"/>
    <x v="587"/>
    <x v="0"/>
    <x v="1"/>
    <x v="3"/>
    <s v="Agency"/>
    <x v="6"/>
    <s v="Ahmed Raza"/>
    <n v="246772"/>
    <n v="19427"/>
    <n v="95.4"/>
    <n v="9"/>
    <n v="26"/>
    <n v="5"/>
    <n v="1"/>
    <n v="82"/>
    <x v="0"/>
    <x v="0"/>
  </r>
  <r>
    <s v="EMP00782"/>
    <x v="20"/>
    <x v="0"/>
    <n v="56"/>
    <x v="6"/>
    <x v="1"/>
    <x v="588"/>
    <x v="0"/>
    <x v="1"/>
    <x v="3"/>
    <s v="Campus"/>
    <x v="3"/>
    <s v="Fatima Noor"/>
    <n v="242476"/>
    <n v="25063"/>
    <n v="89.9"/>
    <n v="1"/>
    <n v="4"/>
    <n v="2"/>
    <n v="19"/>
    <n v="65"/>
    <x v="0"/>
    <x v="0"/>
  </r>
  <r>
    <s v="EMP01182"/>
    <x v="31"/>
    <x v="0"/>
    <n v="58"/>
    <x v="5"/>
    <x v="6"/>
    <x v="588"/>
    <x v="0"/>
    <x v="1"/>
    <x v="4"/>
    <s v="Website"/>
    <x v="4"/>
    <s v="Ahmed Raza"/>
    <n v="38584"/>
    <n v="32399"/>
    <n v="82.5"/>
    <n v="3"/>
    <n v="13"/>
    <n v="5"/>
    <n v="23"/>
    <n v="93"/>
    <x v="0"/>
    <x v="0"/>
  </r>
  <r>
    <s v="EMP00545"/>
    <x v="139"/>
    <x v="1"/>
    <n v="48"/>
    <x v="7"/>
    <x v="1"/>
    <x v="589"/>
    <x v="0"/>
    <x v="0"/>
    <x v="1"/>
    <s v="Website"/>
    <x v="7"/>
    <s v="Fatima Noor"/>
    <n v="97822"/>
    <n v="42773"/>
    <n v="86.3"/>
    <n v="9"/>
    <n v="14"/>
    <n v="1"/>
    <n v="4"/>
    <n v="72"/>
    <x v="1"/>
    <x v="0"/>
  </r>
  <r>
    <s v="EMP01088"/>
    <x v="145"/>
    <x v="0"/>
    <n v="36"/>
    <x v="7"/>
    <x v="1"/>
    <x v="589"/>
    <x v="0"/>
    <x v="2"/>
    <x v="3"/>
    <s v="Campus"/>
    <x v="2"/>
    <s v="Ahmed Raza"/>
    <n v="199007"/>
    <n v="41824"/>
    <n v="85.5"/>
    <n v="10"/>
    <n v="26"/>
    <n v="3"/>
    <n v="2"/>
    <n v="70"/>
    <x v="0"/>
    <x v="0"/>
  </r>
  <r>
    <s v="EMP01166"/>
    <x v="161"/>
    <x v="0"/>
    <n v="53"/>
    <x v="7"/>
    <x v="7"/>
    <x v="589"/>
    <x v="1"/>
    <x v="2"/>
    <x v="1"/>
    <s v="Campus"/>
    <x v="2"/>
    <s v="Sara Ali"/>
    <n v="196440"/>
    <n v="31790"/>
    <n v="83.9"/>
    <n v="7"/>
    <n v="2"/>
    <n v="2"/>
    <n v="26"/>
    <n v="67"/>
    <x v="0"/>
    <x v="3"/>
  </r>
  <r>
    <s v="EMP01587"/>
    <x v="163"/>
    <x v="1"/>
    <n v="29"/>
    <x v="0"/>
    <x v="0"/>
    <x v="589"/>
    <x v="0"/>
    <x v="0"/>
    <x v="1"/>
    <s v="Referral"/>
    <x v="3"/>
    <s v="Sara Ali"/>
    <n v="61363"/>
    <n v="7910"/>
    <n v="86.9"/>
    <n v="1"/>
    <n v="6"/>
    <n v="3"/>
    <n v="32"/>
    <n v="98"/>
    <x v="1"/>
    <x v="0"/>
  </r>
  <r>
    <s v="EMP01600"/>
    <x v="38"/>
    <x v="0"/>
    <n v="22"/>
    <x v="8"/>
    <x v="7"/>
    <x v="589"/>
    <x v="0"/>
    <x v="1"/>
    <x v="3"/>
    <s v="Campus"/>
    <x v="6"/>
    <s v="Sara Ali"/>
    <n v="154944"/>
    <n v="34799"/>
    <n v="87"/>
    <n v="9"/>
    <n v="18"/>
    <n v="2"/>
    <n v="27"/>
    <n v="77"/>
    <x v="0"/>
    <x v="0"/>
  </r>
  <r>
    <s v="EMP01614"/>
    <x v="81"/>
    <x v="1"/>
    <n v="33"/>
    <x v="3"/>
    <x v="4"/>
    <x v="589"/>
    <x v="0"/>
    <x v="0"/>
    <x v="2"/>
    <s v="Website"/>
    <x v="0"/>
    <s v="Ahmed Raza"/>
    <n v="142922"/>
    <n v="44271"/>
    <n v="98.5"/>
    <n v="8"/>
    <n v="27"/>
    <n v="3"/>
    <n v="13"/>
    <n v="77"/>
    <x v="1"/>
    <x v="0"/>
  </r>
  <r>
    <s v="EMP00141"/>
    <x v="159"/>
    <x v="0"/>
    <n v="31"/>
    <x v="4"/>
    <x v="2"/>
    <x v="590"/>
    <x v="0"/>
    <x v="2"/>
    <x v="3"/>
    <s v="Linkedin"/>
    <x v="6"/>
    <s v="Ahmed Raza"/>
    <n v="171023"/>
    <n v="38709"/>
    <n v="95.8"/>
    <n v="3"/>
    <n v="29"/>
    <n v="2"/>
    <n v="17"/>
    <n v="60"/>
    <x v="0"/>
    <x v="0"/>
  </r>
  <r>
    <s v="EMP00178"/>
    <x v="169"/>
    <x v="1"/>
    <n v="33"/>
    <x v="1"/>
    <x v="0"/>
    <x v="590"/>
    <x v="0"/>
    <x v="0"/>
    <x v="1"/>
    <s v="Agency"/>
    <x v="1"/>
    <s v="Usman Tariq"/>
    <n v="84587"/>
    <n v="27872"/>
    <n v="99.9"/>
    <n v="2"/>
    <n v="1"/>
    <n v="4"/>
    <n v="9"/>
    <n v="69"/>
    <x v="0"/>
    <x v="0"/>
  </r>
  <r>
    <s v="EMP01295"/>
    <x v="146"/>
    <x v="0"/>
    <n v="24"/>
    <x v="7"/>
    <x v="2"/>
    <x v="590"/>
    <x v="0"/>
    <x v="0"/>
    <x v="2"/>
    <s v="Website"/>
    <x v="4"/>
    <s v="Sara Ali"/>
    <n v="233334"/>
    <n v="30438"/>
    <n v="95.8"/>
    <n v="3"/>
    <n v="10"/>
    <n v="5"/>
    <n v="21"/>
    <n v="77"/>
    <x v="1"/>
    <x v="0"/>
  </r>
  <r>
    <s v="EMP01983"/>
    <x v="90"/>
    <x v="1"/>
    <n v="48"/>
    <x v="5"/>
    <x v="2"/>
    <x v="590"/>
    <x v="0"/>
    <x v="2"/>
    <x v="2"/>
    <s v="Agency"/>
    <x v="6"/>
    <s v="Bilal Khan"/>
    <n v="221669"/>
    <n v="32731"/>
    <n v="88.1"/>
    <n v="5"/>
    <n v="1"/>
    <n v="1"/>
    <n v="0"/>
    <n v="68"/>
    <x v="0"/>
    <x v="0"/>
  </r>
  <r>
    <s v="EMP01171"/>
    <x v="103"/>
    <x v="1"/>
    <n v="21"/>
    <x v="6"/>
    <x v="0"/>
    <x v="591"/>
    <x v="0"/>
    <x v="2"/>
    <x v="4"/>
    <s v="Campus"/>
    <x v="7"/>
    <s v="Ahmed Raza"/>
    <n v="35853"/>
    <n v="45257"/>
    <n v="80.2"/>
    <n v="7"/>
    <n v="6"/>
    <n v="3"/>
    <n v="6"/>
    <n v="62"/>
    <x v="0"/>
    <x v="0"/>
  </r>
  <r>
    <s v="EMP01270"/>
    <x v="103"/>
    <x v="1"/>
    <n v="24"/>
    <x v="6"/>
    <x v="1"/>
    <x v="591"/>
    <x v="0"/>
    <x v="1"/>
    <x v="0"/>
    <s v="Referral"/>
    <x v="2"/>
    <s v="Ahmed Raza"/>
    <n v="231584"/>
    <n v="39019"/>
    <n v="82.4"/>
    <n v="2"/>
    <n v="30"/>
    <n v="2"/>
    <n v="32"/>
    <n v="85"/>
    <x v="1"/>
    <x v="0"/>
  </r>
  <r>
    <s v="EMP00022"/>
    <x v="137"/>
    <x v="0"/>
    <n v="58"/>
    <x v="6"/>
    <x v="0"/>
    <x v="592"/>
    <x v="0"/>
    <x v="0"/>
    <x v="2"/>
    <s v="Website"/>
    <x v="1"/>
    <s v="Sara Ali"/>
    <n v="83052"/>
    <n v="37957"/>
    <n v="91.7"/>
    <n v="3"/>
    <n v="30"/>
    <n v="3"/>
    <n v="8"/>
    <n v="85"/>
    <x v="0"/>
    <x v="0"/>
  </r>
  <r>
    <s v="EMP00465"/>
    <x v="76"/>
    <x v="0"/>
    <n v="33"/>
    <x v="3"/>
    <x v="2"/>
    <x v="592"/>
    <x v="0"/>
    <x v="2"/>
    <x v="3"/>
    <s v="Referral"/>
    <x v="2"/>
    <s v="Fatima Noor"/>
    <n v="203793"/>
    <n v="34062"/>
    <n v="87.1"/>
    <n v="7"/>
    <n v="28"/>
    <n v="4"/>
    <n v="19"/>
    <n v="65"/>
    <x v="0"/>
    <x v="0"/>
  </r>
  <r>
    <s v="EMP01742"/>
    <x v="79"/>
    <x v="1"/>
    <n v="43"/>
    <x v="3"/>
    <x v="7"/>
    <x v="592"/>
    <x v="0"/>
    <x v="2"/>
    <x v="2"/>
    <s v="Referral"/>
    <x v="1"/>
    <s v="Bilal Khan"/>
    <n v="68612"/>
    <n v="11066"/>
    <n v="88.2"/>
    <n v="1"/>
    <n v="29"/>
    <n v="3"/>
    <n v="33"/>
    <n v="100"/>
    <x v="0"/>
    <x v="0"/>
  </r>
  <r>
    <s v="EMP00034"/>
    <x v="142"/>
    <x v="1"/>
    <n v="50"/>
    <x v="0"/>
    <x v="1"/>
    <x v="593"/>
    <x v="0"/>
    <x v="2"/>
    <x v="3"/>
    <s v="Agency"/>
    <x v="4"/>
    <s v="Usman Tariq"/>
    <n v="133852"/>
    <n v="41180"/>
    <n v="99.1"/>
    <n v="6"/>
    <n v="14"/>
    <n v="2"/>
    <n v="21"/>
    <n v="78"/>
    <x v="0"/>
    <x v="0"/>
  </r>
  <r>
    <s v="EMP00882"/>
    <x v="172"/>
    <x v="1"/>
    <n v="59"/>
    <x v="0"/>
    <x v="2"/>
    <x v="593"/>
    <x v="0"/>
    <x v="1"/>
    <x v="3"/>
    <s v="Campus"/>
    <x v="6"/>
    <s v="Bilal Khan"/>
    <n v="210378"/>
    <n v="40670"/>
    <n v="92.4"/>
    <n v="0"/>
    <n v="5"/>
    <n v="1"/>
    <n v="4"/>
    <n v="92"/>
    <x v="0"/>
    <x v="0"/>
  </r>
  <r>
    <s v="EMP01125"/>
    <x v="34"/>
    <x v="0"/>
    <n v="27"/>
    <x v="1"/>
    <x v="4"/>
    <x v="593"/>
    <x v="0"/>
    <x v="1"/>
    <x v="0"/>
    <s v="Referral"/>
    <x v="7"/>
    <s v="Sara Ali"/>
    <n v="189548"/>
    <n v="35582"/>
    <n v="91.2"/>
    <n v="0"/>
    <n v="26"/>
    <n v="2"/>
    <n v="0"/>
    <n v="61"/>
    <x v="0"/>
    <x v="0"/>
  </r>
  <r>
    <s v="EMP00548"/>
    <x v="161"/>
    <x v="1"/>
    <n v="52"/>
    <x v="0"/>
    <x v="4"/>
    <x v="594"/>
    <x v="1"/>
    <x v="0"/>
    <x v="4"/>
    <s v="Agency"/>
    <x v="0"/>
    <s v="Ahmed Raza"/>
    <n v="67808"/>
    <n v="40826"/>
    <n v="86.5"/>
    <n v="1"/>
    <n v="4"/>
    <n v="1"/>
    <n v="12"/>
    <n v="74"/>
    <x v="0"/>
    <x v="2"/>
  </r>
  <r>
    <s v="EMP00621"/>
    <x v="112"/>
    <x v="1"/>
    <n v="52"/>
    <x v="8"/>
    <x v="2"/>
    <x v="594"/>
    <x v="0"/>
    <x v="0"/>
    <x v="0"/>
    <s v="Linkedin"/>
    <x v="2"/>
    <s v="Fatima Noor"/>
    <n v="150465"/>
    <n v="14829"/>
    <n v="99.9"/>
    <n v="9"/>
    <n v="10"/>
    <n v="5"/>
    <n v="29"/>
    <n v="63"/>
    <x v="1"/>
    <x v="0"/>
  </r>
  <r>
    <s v="EMP00713"/>
    <x v="194"/>
    <x v="1"/>
    <n v="32"/>
    <x v="0"/>
    <x v="1"/>
    <x v="594"/>
    <x v="0"/>
    <x v="0"/>
    <x v="3"/>
    <s v="Referral"/>
    <x v="1"/>
    <s v="Fatima Noor"/>
    <n v="55633"/>
    <n v="31632"/>
    <n v="92.7"/>
    <n v="9"/>
    <n v="27"/>
    <n v="5"/>
    <n v="4"/>
    <n v="96"/>
    <x v="0"/>
    <x v="0"/>
  </r>
  <r>
    <s v="EMP00978"/>
    <x v="179"/>
    <x v="1"/>
    <n v="52"/>
    <x v="2"/>
    <x v="3"/>
    <x v="594"/>
    <x v="0"/>
    <x v="0"/>
    <x v="4"/>
    <s v="Website"/>
    <x v="5"/>
    <s v="Fatima Noor"/>
    <n v="182555"/>
    <n v="41055"/>
    <n v="88.8"/>
    <n v="0"/>
    <n v="17"/>
    <n v="3"/>
    <n v="5"/>
    <n v="76"/>
    <x v="0"/>
    <x v="0"/>
  </r>
  <r>
    <s v="EMP01787"/>
    <x v="48"/>
    <x v="1"/>
    <n v="26"/>
    <x v="4"/>
    <x v="2"/>
    <x v="594"/>
    <x v="0"/>
    <x v="0"/>
    <x v="2"/>
    <s v="Agency"/>
    <x v="2"/>
    <s v="Ahmed Raza"/>
    <n v="97778"/>
    <n v="33548"/>
    <n v="87.4"/>
    <n v="1"/>
    <n v="10"/>
    <n v="2"/>
    <n v="19"/>
    <n v="61"/>
    <x v="0"/>
    <x v="0"/>
  </r>
  <r>
    <s v="EMP00162"/>
    <x v="46"/>
    <x v="0"/>
    <n v="38"/>
    <x v="1"/>
    <x v="4"/>
    <x v="595"/>
    <x v="0"/>
    <x v="2"/>
    <x v="2"/>
    <s v="Agency"/>
    <x v="1"/>
    <s v="Bilal Khan"/>
    <n v="86266"/>
    <n v="25754"/>
    <n v="89.3"/>
    <n v="0"/>
    <n v="3"/>
    <n v="4"/>
    <n v="10"/>
    <n v="90"/>
    <x v="0"/>
    <x v="0"/>
  </r>
  <r>
    <s v="EMP00835"/>
    <x v="139"/>
    <x v="0"/>
    <n v="31"/>
    <x v="5"/>
    <x v="4"/>
    <x v="595"/>
    <x v="0"/>
    <x v="1"/>
    <x v="0"/>
    <s v="Linkedin"/>
    <x v="6"/>
    <s v="Usman Tariq"/>
    <n v="242975"/>
    <n v="39112"/>
    <n v="96.8"/>
    <n v="10"/>
    <n v="25"/>
    <n v="3"/>
    <n v="39"/>
    <n v="88"/>
    <x v="0"/>
    <x v="0"/>
  </r>
  <r>
    <s v="EMP01001"/>
    <x v="127"/>
    <x v="0"/>
    <n v="22"/>
    <x v="5"/>
    <x v="2"/>
    <x v="595"/>
    <x v="0"/>
    <x v="2"/>
    <x v="1"/>
    <s v="Referral"/>
    <x v="0"/>
    <s v="Bilal Khan"/>
    <n v="67086"/>
    <n v="17598"/>
    <n v="89.5"/>
    <n v="3"/>
    <n v="29"/>
    <n v="1"/>
    <n v="23"/>
    <n v="95"/>
    <x v="0"/>
    <x v="0"/>
  </r>
  <r>
    <s v="EMP01160"/>
    <x v="70"/>
    <x v="1"/>
    <n v="53"/>
    <x v="3"/>
    <x v="6"/>
    <x v="595"/>
    <x v="0"/>
    <x v="1"/>
    <x v="2"/>
    <s v="Campus"/>
    <x v="4"/>
    <s v="Usman Tariq"/>
    <n v="120662"/>
    <n v="45790"/>
    <n v="94.3"/>
    <n v="0"/>
    <n v="6"/>
    <n v="5"/>
    <n v="35"/>
    <n v="66"/>
    <x v="0"/>
    <x v="0"/>
  </r>
  <r>
    <s v="EMP01433"/>
    <x v="145"/>
    <x v="0"/>
    <n v="51"/>
    <x v="8"/>
    <x v="5"/>
    <x v="595"/>
    <x v="0"/>
    <x v="2"/>
    <x v="2"/>
    <s v="Campus"/>
    <x v="6"/>
    <s v="Bilal Khan"/>
    <n v="214554"/>
    <n v="31736"/>
    <n v="93.5"/>
    <n v="9"/>
    <n v="17"/>
    <n v="2"/>
    <n v="38"/>
    <n v="88"/>
    <x v="0"/>
    <x v="0"/>
  </r>
  <r>
    <s v="EMP01634"/>
    <x v="14"/>
    <x v="1"/>
    <n v="40"/>
    <x v="1"/>
    <x v="2"/>
    <x v="595"/>
    <x v="0"/>
    <x v="0"/>
    <x v="0"/>
    <s v="Agency"/>
    <x v="5"/>
    <s v="Sara Ali"/>
    <n v="117215"/>
    <n v="5759"/>
    <n v="91.3"/>
    <n v="8"/>
    <n v="29"/>
    <n v="5"/>
    <n v="38"/>
    <n v="68"/>
    <x v="0"/>
    <x v="0"/>
  </r>
  <r>
    <s v="EMP01713"/>
    <x v="59"/>
    <x v="1"/>
    <n v="54"/>
    <x v="6"/>
    <x v="2"/>
    <x v="595"/>
    <x v="0"/>
    <x v="0"/>
    <x v="0"/>
    <s v="Referral"/>
    <x v="6"/>
    <s v="Sara Ali"/>
    <n v="105740"/>
    <n v="36375"/>
    <n v="89.9"/>
    <n v="2"/>
    <n v="3"/>
    <n v="2"/>
    <n v="4"/>
    <n v="90"/>
    <x v="0"/>
    <x v="0"/>
  </r>
  <r>
    <s v="EMP00049"/>
    <x v="86"/>
    <x v="1"/>
    <n v="44"/>
    <x v="6"/>
    <x v="0"/>
    <x v="596"/>
    <x v="0"/>
    <x v="2"/>
    <x v="3"/>
    <s v="Referral"/>
    <x v="7"/>
    <s v="Fatima Noor"/>
    <n v="110586"/>
    <n v="27656"/>
    <n v="86.3"/>
    <n v="3"/>
    <n v="6"/>
    <n v="2"/>
    <n v="36"/>
    <n v="85"/>
    <x v="0"/>
    <x v="0"/>
  </r>
  <r>
    <s v="EMP00257"/>
    <x v="172"/>
    <x v="0"/>
    <n v="24"/>
    <x v="2"/>
    <x v="1"/>
    <x v="596"/>
    <x v="0"/>
    <x v="1"/>
    <x v="3"/>
    <s v="Agency"/>
    <x v="2"/>
    <s v="Bilal Khan"/>
    <n v="86526"/>
    <n v="49409"/>
    <n v="87.9"/>
    <n v="9"/>
    <n v="17"/>
    <n v="3"/>
    <n v="2"/>
    <n v="87"/>
    <x v="0"/>
    <x v="0"/>
  </r>
  <r>
    <s v="EMP00567"/>
    <x v="9"/>
    <x v="1"/>
    <n v="35"/>
    <x v="4"/>
    <x v="7"/>
    <x v="596"/>
    <x v="0"/>
    <x v="1"/>
    <x v="4"/>
    <s v="Linkedin"/>
    <x v="6"/>
    <s v="Sara Ali"/>
    <n v="40743"/>
    <n v="19014"/>
    <n v="84.9"/>
    <n v="2"/>
    <n v="1"/>
    <n v="5"/>
    <n v="24"/>
    <n v="70"/>
    <x v="0"/>
    <x v="0"/>
  </r>
  <r>
    <s v="EMP01148"/>
    <x v="165"/>
    <x v="1"/>
    <n v="39"/>
    <x v="2"/>
    <x v="1"/>
    <x v="596"/>
    <x v="0"/>
    <x v="2"/>
    <x v="3"/>
    <s v="Referral"/>
    <x v="0"/>
    <s v="Fatima Noor"/>
    <n v="69191"/>
    <n v="24011"/>
    <n v="94.7"/>
    <n v="8"/>
    <n v="8"/>
    <n v="5"/>
    <n v="38"/>
    <n v="95"/>
    <x v="1"/>
    <x v="0"/>
  </r>
  <r>
    <s v="EMP01183"/>
    <x v="155"/>
    <x v="0"/>
    <n v="29"/>
    <x v="4"/>
    <x v="7"/>
    <x v="596"/>
    <x v="0"/>
    <x v="0"/>
    <x v="0"/>
    <s v="Referral"/>
    <x v="1"/>
    <s v="Fatima Noor"/>
    <n v="76559"/>
    <n v="12529"/>
    <n v="86.6"/>
    <n v="10"/>
    <n v="27"/>
    <n v="4"/>
    <n v="9"/>
    <n v="77"/>
    <x v="0"/>
    <x v="0"/>
  </r>
  <r>
    <s v="EMP01396"/>
    <x v="40"/>
    <x v="1"/>
    <n v="33"/>
    <x v="3"/>
    <x v="3"/>
    <x v="596"/>
    <x v="0"/>
    <x v="2"/>
    <x v="1"/>
    <s v="Agency"/>
    <x v="2"/>
    <s v="Ahmed Raza"/>
    <n v="61712"/>
    <n v="32629"/>
    <n v="99.8"/>
    <n v="10"/>
    <n v="3"/>
    <n v="4"/>
    <n v="5"/>
    <n v="73"/>
    <x v="0"/>
    <x v="0"/>
  </r>
  <r>
    <s v="EMP01402"/>
    <x v="62"/>
    <x v="1"/>
    <n v="41"/>
    <x v="1"/>
    <x v="2"/>
    <x v="596"/>
    <x v="0"/>
    <x v="2"/>
    <x v="3"/>
    <s v="Website"/>
    <x v="5"/>
    <s v="Fatima Noor"/>
    <n v="140179"/>
    <n v="19107"/>
    <n v="99.9"/>
    <n v="1"/>
    <n v="30"/>
    <n v="4"/>
    <n v="40"/>
    <n v="97"/>
    <x v="0"/>
    <x v="0"/>
  </r>
  <r>
    <s v="EMP00068"/>
    <x v="70"/>
    <x v="1"/>
    <n v="51"/>
    <x v="4"/>
    <x v="7"/>
    <x v="597"/>
    <x v="0"/>
    <x v="1"/>
    <x v="0"/>
    <s v="Campus"/>
    <x v="7"/>
    <s v="Sara Ali"/>
    <n v="244483"/>
    <n v="22983"/>
    <n v="87.6"/>
    <n v="3"/>
    <n v="10"/>
    <n v="3"/>
    <n v="5"/>
    <n v="90"/>
    <x v="0"/>
    <x v="0"/>
  </r>
  <r>
    <s v="EMP00632"/>
    <x v="110"/>
    <x v="1"/>
    <n v="29"/>
    <x v="6"/>
    <x v="1"/>
    <x v="597"/>
    <x v="0"/>
    <x v="0"/>
    <x v="0"/>
    <s v="Linkedin"/>
    <x v="7"/>
    <s v="Ahmed Raza"/>
    <n v="120339"/>
    <n v="40573"/>
    <n v="97.9"/>
    <n v="10"/>
    <n v="7"/>
    <n v="3"/>
    <n v="14"/>
    <n v="88"/>
    <x v="0"/>
    <x v="0"/>
  </r>
  <r>
    <s v="EMP01735"/>
    <x v="177"/>
    <x v="1"/>
    <n v="44"/>
    <x v="7"/>
    <x v="5"/>
    <x v="597"/>
    <x v="1"/>
    <x v="0"/>
    <x v="4"/>
    <s v="Linkedin"/>
    <x v="3"/>
    <s v="Sara Ali"/>
    <n v="192600"/>
    <n v="41507"/>
    <n v="93.1"/>
    <n v="10"/>
    <n v="14"/>
    <n v="1"/>
    <n v="29"/>
    <n v="90"/>
    <x v="0"/>
    <x v="5"/>
  </r>
  <r>
    <s v="EMP00556"/>
    <x v="24"/>
    <x v="0"/>
    <n v="23"/>
    <x v="0"/>
    <x v="2"/>
    <x v="598"/>
    <x v="0"/>
    <x v="2"/>
    <x v="1"/>
    <s v="Agency"/>
    <x v="3"/>
    <s v="Sara Ali"/>
    <n v="97785"/>
    <n v="47538"/>
    <n v="98.8"/>
    <n v="4"/>
    <n v="9"/>
    <n v="4"/>
    <n v="2"/>
    <n v="62"/>
    <x v="0"/>
    <x v="0"/>
  </r>
  <r>
    <s v="EMP01648"/>
    <x v="41"/>
    <x v="1"/>
    <n v="43"/>
    <x v="5"/>
    <x v="4"/>
    <x v="598"/>
    <x v="0"/>
    <x v="2"/>
    <x v="4"/>
    <s v="Linkedin"/>
    <x v="3"/>
    <s v="Usman Tariq"/>
    <n v="71443"/>
    <n v="47743"/>
    <n v="97.1"/>
    <n v="3"/>
    <n v="4"/>
    <n v="1"/>
    <n v="7"/>
    <n v="99"/>
    <x v="0"/>
    <x v="0"/>
  </r>
  <r>
    <s v="EMP01758"/>
    <x v="178"/>
    <x v="1"/>
    <n v="43"/>
    <x v="4"/>
    <x v="0"/>
    <x v="598"/>
    <x v="0"/>
    <x v="1"/>
    <x v="0"/>
    <s v="Website"/>
    <x v="0"/>
    <s v="Sara Ali"/>
    <n v="74516"/>
    <n v="43869"/>
    <n v="91.5"/>
    <n v="10"/>
    <n v="19"/>
    <n v="5"/>
    <n v="26"/>
    <n v="100"/>
    <x v="1"/>
    <x v="0"/>
  </r>
  <r>
    <s v="EMP01988"/>
    <x v="112"/>
    <x v="0"/>
    <n v="60"/>
    <x v="8"/>
    <x v="3"/>
    <x v="598"/>
    <x v="0"/>
    <x v="0"/>
    <x v="3"/>
    <s v="Campus"/>
    <x v="3"/>
    <s v="Sara Ali"/>
    <n v="110416"/>
    <n v="10444"/>
    <n v="86.7"/>
    <n v="2"/>
    <n v="28"/>
    <n v="3"/>
    <n v="10"/>
    <n v="90"/>
    <x v="0"/>
    <x v="0"/>
  </r>
  <r>
    <s v="EMP00108"/>
    <x v="25"/>
    <x v="0"/>
    <n v="38"/>
    <x v="7"/>
    <x v="4"/>
    <x v="599"/>
    <x v="0"/>
    <x v="0"/>
    <x v="1"/>
    <s v="Campus"/>
    <x v="0"/>
    <s v="Ahmed Raza"/>
    <n v="70337"/>
    <n v="10556"/>
    <n v="98.9"/>
    <n v="4"/>
    <n v="2"/>
    <n v="4"/>
    <n v="5"/>
    <n v="63"/>
    <x v="0"/>
    <x v="0"/>
  </r>
  <r>
    <s v="EMP00515"/>
    <x v="162"/>
    <x v="1"/>
    <n v="28"/>
    <x v="7"/>
    <x v="4"/>
    <x v="600"/>
    <x v="0"/>
    <x v="0"/>
    <x v="4"/>
    <s v="Campus"/>
    <x v="1"/>
    <s v="Sara Ali"/>
    <n v="83169"/>
    <n v="12353"/>
    <n v="92.4"/>
    <n v="4"/>
    <n v="29"/>
    <n v="5"/>
    <n v="28"/>
    <n v="77"/>
    <x v="0"/>
    <x v="0"/>
  </r>
  <r>
    <s v="EMP01184"/>
    <x v="22"/>
    <x v="1"/>
    <n v="40"/>
    <x v="6"/>
    <x v="0"/>
    <x v="600"/>
    <x v="1"/>
    <x v="2"/>
    <x v="2"/>
    <s v="Website"/>
    <x v="7"/>
    <s v="Usman Tariq"/>
    <n v="140582"/>
    <n v="49975"/>
    <n v="88.8"/>
    <n v="8"/>
    <n v="16"/>
    <n v="4"/>
    <n v="25"/>
    <n v="92"/>
    <x v="0"/>
    <x v="4"/>
  </r>
  <r>
    <s v="EMP01204"/>
    <x v="110"/>
    <x v="1"/>
    <n v="40"/>
    <x v="8"/>
    <x v="0"/>
    <x v="600"/>
    <x v="1"/>
    <x v="1"/>
    <x v="2"/>
    <s v="Linkedin"/>
    <x v="0"/>
    <s v="Bilal Khan"/>
    <n v="80898"/>
    <n v="46061"/>
    <n v="83.7"/>
    <n v="5"/>
    <n v="9"/>
    <n v="1"/>
    <n v="10"/>
    <n v="69"/>
    <x v="0"/>
    <x v="4"/>
  </r>
  <r>
    <s v="EMP00497"/>
    <x v="58"/>
    <x v="0"/>
    <n v="49"/>
    <x v="1"/>
    <x v="6"/>
    <x v="601"/>
    <x v="0"/>
    <x v="1"/>
    <x v="1"/>
    <s v="Website"/>
    <x v="3"/>
    <s v="Sara Ali"/>
    <n v="48844"/>
    <n v="30373"/>
    <n v="95.2"/>
    <n v="4"/>
    <n v="29"/>
    <n v="4"/>
    <n v="37"/>
    <n v="95"/>
    <x v="0"/>
    <x v="0"/>
  </r>
  <r>
    <s v="EMP00749"/>
    <x v="17"/>
    <x v="0"/>
    <n v="28"/>
    <x v="3"/>
    <x v="6"/>
    <x v="601"/>
    <x v="0"/>
    <x v="0"/>
    <x v="2"/>
    <s v="Campus"/>
    <x v="6"/>
    <s v="Usman Tariq"/>
    <n v="126814"/>
    <n v="41629"/>
    <n v="94"/>
    <n v="4"/>
    <n v="26"/>
    <n v="3"/>
    <n v="13"/>
    <n v="60"/>
    <x v="0"/>
    <x v="0"/>
  </r>
  <r>
    <s v="EMP00570"/>
    <x v="85"/>
    <x v="0"/>
    <n v="54"/>
    <x v="8"/>
    <x v="5"/>
    <x v="602"/>
    <x v="1"/>
    <x v="2"/>
    <x v="0"/>
    <s v="Website"/>
    <x v="3"/>
    <s v="Usman Tariq"/>
    <n v="236687"/>
    <n v="43955"/>
    <n v="85.8"/>
    <n v="1"/>
    <n v="16"/>
    <n v="5"/>
    <n v="24"/>
    <n v="69"/>
    <x v="0"/>
    <x v="4"/>
  </r>
  <r>
    <s v="EMP00956"/>
    <x v="115"/>
    <x v="1"/>
    <n v="23"/>
    <x v="1"/>
    <x v="7"/>
    <x v="602"/>
    <x v="0"/>
    <x v="0"/>
    <x v="2"/>
    <s v="Campus"/>
    <x v="0"/>
    <s v="Usman Tariq"/>
    <n v="194850"/>
    <n v="12991"/>
    <n v="91.1"/>
    <n v="5"/>
    <n v="26"/>
    <n v="1"/>
    <n v="8"/>
    <n v="100"/>
    <x v="0"/>
    <x v="0"/>
  </r>
  <r>
    <s v="EMP01050"/>
    <x v="173"/>
    <x v="0"/>
    <n v="21"/>
    <x v="5"/>
    <x v="2"/>
    <x v="602"/>
    <x v="1"/>
    <x v="2"/>
    <x v="4"/>
    <s v="Website"/>
    <x v="7"/>
    <s v="Ahmed Raza"/>
    <n v="166371"/>
    <n v="36111"/>
    <n v="98.6"/>
    <n v="7"/>
    <n v="9"/>
    <n v="1"/>
    <n v="11"/>
    <n v="75"/>
    <x v="1"/>
    <x v="3"/>
  </r>
  <r>
    <s v="EMP01416"/>
    <x v="103"/>
    <x v="0"/>
    <n v="51"/>
    <x v="4"/>
    <x v="0"/>
    <x v="602"/>
    <x v="0"/>
    <x v="1"/>
    <x v="1"/>
    <s v="Website"/>
    <x v="0"/>
    <s v="Ahmed Raza"/>
    <n v="141642"/>
    <n v="5267"/>
    <n v="97.7"/>
    <n v="1"/>
    <n v="3"/>
    <n v="3"/>
    <n v="0"/>
    <n v="61"/>
    <x v="1"/>
    <x v="0"/>
  </r>
  <r>
    <s v="EMP01585"/>
    <x v="50"/>
    <x v="0"/>
    <n v="39"/>
    <x v="2"/>
    <x v="5"/>
    <x v="602"/>
    <x v="0"/>
    <x v="0"/>
    <x v="2"/>
    <s v="Campus"/>
    <x v="3"/>
    <s v="Fatima Noor"/>
    <n v="58234"/>
    <n v="26321"/>
    <n v="97.9"/>
    <n v="5"/>
    <n v="18"/>
    <n v="4"/>
    <n v="33"/>
    <n v="80"/>
    <x v="0"/>
    <x v="0"/>
  </r>
  <r>
    <s v="EMP01793"/>
    <x v="163"/>
    <x v="0"/>
    <n v="56"/>
    <x v="3"/>
    <x v="4"/>
    <x v="602"/>
    <x v="0"/>
    <x v="1"/>
    <x v="4"/>
    <s v="Linkedin"/>
    <x v="1"/>
    <s v="Usman Tariq"/>
    <n v="168753"/>
    <n v="20271"/>
    <n v="87.3"/>
    <n v="0"/>
    <n v="8"/>
    <n v="2"/>
    <n v="4"/>
    <n v="62"/>
    <x v="0"/>
    <x v="0"/>
  </r>
  <r>
    <s v="EMP00362"/>
    <x v="159"/>
    <x v="1"/>
    <n v="41"/>
    <x v="5"/>
    <x v="4"/>
    <x v="603"/>
    <x v="0"/>
    <x v="1"/>
    <x v="1"/>
    <s v="Campus"/>
    <x v="5"/>
    <s v="Usman Tariq"/>
    <n v="66110"/>
    <n v="27030"/>
    <n v="89.2"/>
    <n v="0"/>
    <n v="20"/>
    <n v="2"/>
    <n v="14"/>
    <n v="66"/>
    <x v="0"/>
    <x v="0"/>
  </r>
  <r>
    <s v="EMP00410"/>
    <x v="43"/>
    <x v="1"/>
    <n v="49"/>
    <x v="2"/>
    <x v="2"/>
    <x v="603"/>
    <x v="0"/>
    <x v="0"/>
    <x v="3"/>
    <s v="Referral"/>
    <x v="0"/>
    <s v="Bilal Khan"/>
    <n v="124760"/>
    <n v="17127"/>
    <n v="91.3"/>
    <n v="9"/>
    <n v="8"/>
    <n v="1"/>
    <n v="30"/>
    <n v="62"/>
    <x v="0"/>
    <x v="0"/>
  </r>
  <r>
    <s v="EMP00452"/>
    <x v="56"/>
    <x v="0"/>
    <n v="59"/>
    <x v="0"/>
    <x v="3"/>
    <x v="603"/>
    <x v="0"/>
    <x v="0"/>
    <x v="1"/>
    <s v="Referral"/>
    <x v="7"/>
    <s v="Sara Ali"/>
    <n v="130999"/>
    <n v="25806"/>
    <n v="82.4"/>
    <n v="4"/>
    <n v="16"/>
    <n v="3"/>
    <n v="34"/>
    <n v="72"/>
    <x v="0"/>
    <x v="0"/>
  </r>
  <r>
    <s v="EMP01798"/>
    <x v="43"/>
    <x v="1"/>
    <n v="37"/>
    <x v="6"/>
    <x v="2"/>
    <x v="603"/>
    <x v="0"/>
    <x v="0"/>
    <x v="1"/>
    <s v="Linkedin"/>
    <x v="6"/>
    <s v="Ahmed Raza"/>
    <n v="48744"/>
    <n v="8327"/>
    <n v="99.8"/>
    <n v="10"/>
    <n v="10"/>
    <n v="4"/>
    <n v="31"/>
    <n v="74"/>
    <x v="0"/>
    <x v="0"/>
  </r>
  <r>
    <s v="EMP00208"/>
    <x v="83"/>
    <x v="0"/>
    <n v="54"/>
    <x v="8"/>
    <x v="2"/>
    <x v="604"/>
    <x v="0"/>
    <x v="0"/>
    <x v="4"/>
    <s v="Agency"/>
    <x v="3"/>
    <s v="Sara Ali"/>
    <n v="79980"/>
    <n v="13988"/>
    <n v="83.3"/>
    <n v="4"/>
    <n v="30"/>
    <n v="1"/>
    <n v="5"/>
    <n v="98"/>
    <x v="0"/>
    <x v="0"/>
  </r>
  <r>
    <s v="EMP00802"/>
    <x v="127"/>
    <x v="1"/>
    <n v="30"/>
    <x v="2"/>
    <x v="1"/>
    <x v="604"/>
    <x v="0"/>
    <x v="1"/>
    <x v="4"/>
    <s v="Referral"/>
    <x v="3"/>
    <s v="Sara Ali"/>
    <n v="98118"/>
    <n v="39790"/>
    <n v="81.2"/>
    <n v="6"/>
    <n v="20"/>
    <n v="2"/>
    <n v="9"/>
    <n v="89"/>
    <x v="0"/>
    <x v="0"/>
  </r>
  <r>
    <s v="EMP00616"/>
    <x v="90"/>
    <x v="1"/>
    <n v="31"/>
    <x v="5"/>
    <x v="1"/>
    <x v="605"/>
    <x v="1"/>
    <x v="0"/>
    <x v="4"/>
    <s v="Referral"/>
    <x v="6"/>
    <s v="Usman Tariq"/>
    <n v="199508"/>
    <n v="9615"/>
    <n v="84.2"/>
    <n v="2"/>
    <n v="25"/>
    <n v="2"/>
    <n v="27"/>
    <n v="80"/>
    <x v="0"/>
    <x v="5"/>
  </r>
  <r>
    <s v="EMP00765"/>
    <x v="3"/>
    <x v="1"/>
    <n v="36"/>
    <x v="0"/>
    <x v="4"/>
    <x v="605"/>
    <x v="1"/>
    <x v="2"/>
    <x v="2"/>
    <s v="Linkedin"/>
    <x v="1"/>
    <s v="Bilal Khan"/>
    <n v="111707"/>
    <n v="25744"/>
    <n v="94.7"/>
    <n v="5"/>
    <n v="15"/>
    <n v="5"/>
    <n v="1"/>
    <n v="95"/>
    <x v="0"/>
    <x v="5"/>
  </r>
  <r>
    <s v="EMP00352"/>
    <x v="63"/>
    <x v="0"/>
    <n v="21"/>
    <x v="4"/>
    <x v="7"/>
    <x v="606"/>
    <x v="0"/>
    <x v="0"/>
    <x v="2"/>
    <s v="Website"/>
    <x v="6"/>
    <s v="Usman Tariq"/>
    <n v="37011"/>
    <n v="34077"/>
    <n v="90.8"/>
    <n v="5"/>
    <n v="16"/>
    <n v="5"/>
    <n v="6"/>
    <n v="66"/>
    <x v="0"/>
    <x v="0"/>
  </r>
  <r>
    <s v="EMP00445"/>
    <x v="106"/>
    <x v="0"/>
    <n v="34"/>
    <x v="2"/>
    <x v="7"/>
    <x v="606"/>
    <x v="0"/>
    <x v="0"/>
    <x v="1"/>
    <s v="Linkedin"/>
    <x v="4"/>
    <s v="Sara Ali"/>
    <n v="66483"/>
    <n v="22062"/>
    <n v="91.5"/>
    <n v="0"/>
    <n v="25"/>
    <n v="2"/>
    <n v="17"/>
    <n v="93"/>
    <x v="0"/>
    <x v="0"/>
  </r>
  <r>
    <s v="EMP01097"/>
    <x v="11"/>
    <x v="1"/>
    <n v="50"/>
    <x v="4"/>
    <x v="3"/>
    <x v="606"/>
    <x v="0"/>
    <x v="1"/>
    <x v="1"/>
    <s v="Linkedin"/>
    <x v="2"/>
    <s v="Sara Ali"/>
    <n v="164776"/>
    <n v="22625"/>
    <n v="92.9"/>
    <n v="5"/>
    <n v="8"/>
    <n v="5"/>
    <n v="23"/>
    <n v="93"/>
    <x v="0"/>
    <x v="0"/>
  </r>
  <r>
    <s v="EMP01705"/>
    <x v="34"/>
    <x v="0"/>
    <n v="46"/>
    <x v="4"/>
    <x v="3"/>
    <x v="606"/>
    <x v="0"/>
    <x v="2"/>
    <x v="3"/>
    <s v="Linkedin"/>
    <x v="3"/>
    <s v="Usman Tariq"/>
    <n v="185301"/>
    <n v="27319"/>
    <n v="81.3"/>
    <n v="8"/>
    <n v="1"/>
    <n v="3"/>
    <n v="28"/>
    <n v="83"/>
    <x v="0"/>
    <x v="0"/>
  </r>
  <r>
    <s v="EMP01220"/>
    <x v="91"/>
    <x v="0"/>
    <n v="22"/>
    <x v="3"/>
    <x v="1"/>
    <x v="607"/>
    <x v="0"/>
    <x v="2"/>
    <x v="4"/>
    <s v="Campus"/>
    <x v="2"/>
    <s v="Sara Ali"/>
    <n v="137222"/>
    <n v="39592"/>
    <n v="96.1"/>
    <n v="0"/>
    <n v="25"/>
    <n v="1"/>
    <n v="25"/>
    <n v="100"/>
    <x v="0"/>
    <x v="0"/>
  </r>
  <r>
    <s v="EMP01704"/>
    <x v="182"/>
    <x v="1"/>
    <n v="40"/>
    <x v="7"/>
    <x v="7"/>
    <x v="607"/>
    <x v="0"/>
    <x v="1"/>
    <x v="1"/>
    <s v="Campus"/>
    <x v="7"/>
    <s v="Sara Ali"/>
    <n v="213602"/>
    <n v="30754"/>
    <n v="83.9"/>
    <n v="6"/>
    <n v="25"/>
    <n v="4"/>
    <n v="22"/>
    <n v="76"/>
    <x v="0"/>
    <x v="0"/>
  </r>
  <r>
    <s v="EMP00200"/>
    <x v="56"/>
    <x v="1"/>
    <n v="31"/>
    <x v="0"/>
    <x v="2"/>
    <x v="608"/>
    <x v="0"/>
    <x v="0"/>
    <x v="2"/>
    <s v="Linkedin"/>
    <x v="3"/>
    <s v="Usman Tariq"/>
    <n v="91692"/>
    <n v="34058"/>
    <n v="91.8"/>
    <n v="3"/>
    <n v="20"/>
    <n v="3"/>
    <n v="21"/>
    <n v="79"/>
    <x v="0"/>
    <x v="0"/>
  </r>
  <r>
    <s v="EMP01099"/>
    <x v="141"/>
    <x v="0"/>
    <n v="40"/>
    <x v="2"/>
    <x v="7"/>
    <x v="608"/>
    <x v="0"/>
    <x v="0"/>
    <x v="3"/>
    <s v="Referral"/>
    <x v="3"/>
    <s v="Sara Ali"/>
    <n v="225044"/>
    <n v="29724"/>
    <n v="93.8"/>
    <n v="4"/>
    <n v="30"/>
    <n v="4"/>
    <n v="32"/>
    <n v="82"/>
    <x v="0"/>
    <x v="0"/>
  </r>
  <r>
    <s v="EMP01261"/>
    <x v="81"/>
    <x v="0"/>
    <n v="43"/>
    <x v="1"/>
    <x v="4"/>
    <x v="608"/>
    <x v="0"/>
    <x v="0"/>
    <x v="4"/>
    <s v="Agency"/>
    <x v="4"/>
    <s v="Ahmed Raza"/>
    <n v="35356"/>
    <n v="10167"/>
    <n v="94.1"/>
    <n v="5"/>
    <n v="19"/>
    <n v="1"/>
    <n v="38"/>
    <n v="61"/>
    <x v="0"/>
    <x v="0"/>
  </r>
  <r>
    <s v="EMP01437"/>
    <x v="136"/>
    <x v="0"/>
    <n v="37"/>
    <x v="2"/>
    <x v="0"/>
    <x v="609"/>
    <x v="0"/>
    <x v="1"/>
    <x v="3"/>
    <s v="Campus"/>
    <x v="5"/>
    <s v="Bilal Khan"/>
    <n v="36134"/>
    <n v="44562"/>
    <n v="92.5"/>
    <n v="2"/>
    <n v="22"/>
    <n v="2"/>
    <n v="10"/>
    <n v="96"/>
    <x v="0"/>
    <x v="0"/>
  </r>
  <r>
    <s v="EMP00265"/>
    <x v="161"/>
    <x v="0"/>
    <n v="33"/>
    <x v="2"/>
    <x v="1"/>
    <x v="610"/>
    <x v="0"/>
    <x v="0"/>
    <x v="1"/>
    <s v="Referral"/>
    <x v="4"/>
    <s v="Usman Tariq"/>
    <n v="57302"/>
    <n v="36118"/>
    <n v="89.5"/>
    <n v="8"/>
    <n v="13"/>
    <n v="2"/>
    <n v="28"/>
    <n v="100"/>
    <x v="0"/>
    <x v="0"/>
  </r>
  <r>
    <s v="EMP01412"/>
    <x v="139"/>
    <x v="0"/>
    <n v="34"/>
    <x v="3"/>
    <x v="7"/>
    <x v="610"/>
    <x v="0"/>
    <x v="0"/>
    <x v="4"/>
    <s v="Referral"/>
    <x v="2"/>
    <s v="Usman Tariq"/>
    <n v="75842"/>
    <n v="21152"/>
    <n v="85.2"/>
    <n v="5"/>
    <n v="2"/>
    <n v="1"/>
    <n v="9"/>
    <n v="70"/>
    <x v="1"/>
    <x v="0"/>
  </r>
  <r>
    <s v="EMP00175"/>
    <x v="30"/>
    <x v="1"/>
    <n v="58"/>
    <x v="7"/>
    <x v="1"/>
    <x v="611"/>
    <x v="0"/>
    <x v="2"/>
    <x v="2"/>
    <s v="Agency"/>
    <x v="6"/>
    <s v="Bilal Khan"/>
    <n v="127708"/>
    <n v="36639"/>
    <n v="98.5"/>
    <n v="5"/>
    <n v="0"/>
    <n v="2"/>
    <n v="15"/>
    <n v="71"/>
    <x v="1"/>
    <x v="0"/>
  </r>
  <r>
    <s v="EMP00201"/>
    <x v="19"/>
    <x v="0"/>
    <n v="31"/>
    <x v="4"/>
    <x v="6"/>
    <x v="611"/>
    <x v="0"/>
    <x v="2"/>
    <x v="1"/>
    <s v="Website"/>
    <x v="3"/>
    <s v="Fatima Noor"/>
    <n v="167587"/>
    <n v="27490"/>
    <n v="80.099999999999994"/>
    <n v="5"/>
    <n v="0"/>
    <n v="1"/>
    <n v="11"/>
    <n v="95"/>
    <x v="0"/>
    <x v="0"/>
  </r>
  <r>
    <s v="EMP01766"/>
    <x v="70"/>
    <x v="1"/>
    <n v="42"/>
    <x v="1"/>
    <x v="5"/>
    <x v="611"/>
    <x v="0"/>
    <x v="1"/>
    <x v="3"/>
    <s v="Referral"/>
    <x v="4"/>
    <s v="Sara Ali"/>
    <n v="134621"/>
    <n v="5260"/>
    <n v="86.6"/>
    <n v="1"/>
    <n v="9"/>
    <n v="5"/>
    <n v="5"/>
    <n v="99"/>
    <x v="0"/>
    <x v="0"/>
  </r>
  <r>
    <s v="EMP01950"/>
    <x v="148"/>
    <x v="0"/>
    <n v="48"/>
    <x v="2"/>
    <x v="3"/>
    <x v="611"/>
    <x v="0"/>
    <x v="1"/>
    <x v="0"/>
    <s v="Campus"/>
    <x v="4"/>
    <s v="Ahmed Raza"/>
    <n v="103804"/>
    <n v="28166"/>
    <n v="81.900000000000006"/>
    <n v="10"/>
    <n v="18"/>
    <n v="3"/>
    <n v="33"/>
    <n v="75"/>
    <x v="0"/>
    <x v="0"/>
  </r>
  <r>
    <s v="EMP00134"/>
    <x v="51"/>
    <x v="0"/>
    <n v="57"/>
    <x v="3"/>
    <x v="7"/>
    <x v="612"/>
    <x v="0"/>
    <x v="1"/>
    <x v="4"/>
    <s v="Campus"/>
    <x v="2"/>
    <s v="Usman Tariq"/>
    <n v="35382"/>
    <n v="47186"/>
    <n v="99.9"/>
    <n v="5"/>
    <n v="18"/>
    <n v="1"/>
    <n v="39"/>
    <n v="94"/>
    <x v="0"/>
    <x v="0"/>
  </r>
  <r>
    <s v="EMP00379"/>
    <x v="66"/>
    <x v="1"/>
    <n v="35"/>
    <x v="4"/>
    <x v="2"/>
    <x v="612"/>
    <x v="0"/>
    <x v="2"/>
    <x v="4"/>
    <s v="Campus"/>
    <x v="5"/>
    <s v="Usman Tariq"/>
    <n v="178761"/>
    <n v="46462"/>
    <n v="93.2"/>
    <n v="6"/>
    <n v="27"/>
    <n v="3"/>
    <n v="17"/>
    <n v="70"/>
    <x v="0"/>
    <x v="0"/>
  </r>
  <r>
    <s v="EMP01010"/>
    <x v="128"/>
    <x v="0"/>
    <n v="59"/>
    <x v="6"/>
    <x v="7"/>
    <x v="612"/>
    <x v="0"/>
    <x v="0"/>
    <x v="3"/>
    <s v="Referral"/>
    <x v="4"/>
    <s v="Sara Ali"/>
    <n v="224267"/>
    <n v="19921"/>
    <n v="87.6"/>
    <n v="1"/>
    <n v="14"/>
    <n v="3"/>
    <n v="16"/>
    <n v="61"/>
    <x v="0"/>
    <x v="0"/>
  </r>
  <r>
    <s v="EMP01588"/>
    <x v="66"/>
    <x v="1"/>
    <n v="33"/>
    <x v="5"/>
    <x v="2"/>
    <x v="612"/>
    <x v="0"/>
    <x v="1"/>
    <x v="2"/>
    <s v="Referral"/>
    <x v="3"/>
    <s v="Usman Tariq"/>
    <n v="202383"/>
    <n v="15007"/>
    <n v="88.3"/>
    <n v="9"/>
    <n v="20"/>
    <n v="5"/>
    <n v="1"/>
    <n v="84"/>
    <x v="0"/>
    <x v="0"/>
  </r>
  <r>
    <s v="EMP01444"/>
    <x v="132"/>
    <x v="0"/>
    <n v="38"/>
    <x v="3"/>
    <x v="4"/>
    <x v="613"/>
    <x v="0"/>
    <x v="1"/>
    <x v="4"/>
    <s v="Linkedin"/>
    <x v="4"/>
    <s v="Ahmed Raza"/>
    <n v="227859"/>
    <n v="44232"/>
    <n v="85.5"/>
    <n v="1"/>
    <n v="15"/>
    <n v="2"/>
    <n v="1"/>
    <n v="96"/>
    <x v="0"/>
    <x v="0"/>
  </r>
  <r>
    <s v="EMP01459"/>
    <x v="12"/>
    <x v="1"/>
    <n v="53"/>
    <x v="6"/>
    <x v="0"/>
    <x v="613"/>
    <x v="0"/>
    <x v="1"/>
    <x v="4"/>
    <s v="Agency"/>
    <x v="2"/>
    <s v="Bilal Khan"/>
    <n v="205302"/>
    <n v="40346"/>
    <n v="88.9"/>
    <n v="7"/>
    <n v="27"/>
    <n v="2"/>
    <n v="30"/>
    <n v="86"/>
    <x v="1"/>
    <x v="0"/>
  </r>
  <r>
    <s v="EMP01563"/>
    <x v="7"/>
    <x v="0"/>
    <n v="45"/>
    <x v="1"/>
    <x v="5"/>
    <x v="613"/>
    <x v="1"/>
    <x v="2"/>
    <x v="3"/>
    <s v="Referral"/>
    <x v="5"/>
    <s v="Fatima Noor"/>
    <n v="104603"/>
    <n v="9872"/>
    <n v="86.4"/>
    <n v="7"/>
    <n v="0"/>
    <n v="2"/>
    <n v="19"/>
    <n v="88"/>
    <x v="0"/>
    <x v="3"/>
  </r>
  <r>
    <s v="EMP00271"/>
    <x v="114"/>
    <x v="1"/>
    <n v="49"/>
    <x v="7"/>
    <x v="6"/>
    <x v="614"/>
    <x v="0"/>
    <x v="2"/>
    <x v="4"/>
    <s v="Website"/>
    <x v="5"/>
    <s v="Usman Tariq"/>
    <n v="103147"/>
    <n v="9276"/>
    <n v="90.2"/>
    <n v="5"/>
    <n v="20"/>
    <n v="5"/>
    <n v="23"/>
    <n v="87"/>
    <x v="1"/>
    <x v="0"/>
  </r>
  <r>
    <s v="EMP00803"/>
    <x v="170"/>
    <x v="1"/>
    <n v="53"/>
    <x v="5"/>
    <x v="4"/>
    <x v="614"/>
    <x v="0"/>
    <x v="0"/>
    <x v="4"/>
    <s v="Campus"/>
    <x v="2"/>
    <s v="Usman Tariq"/>
    <n v="221441"/>
    <n v="29181"/>
    <n v="85.1"/>
    <n v="6"/>
    <n v="6"/>
    <n v="3"/>
    <n v="6"/>
    <n v="81"/>
    <x v="0"/>
    <x v="0"/>
  </r>
  <r>
    <s v="EMP00981"/>
    <x v="16"/>
    <x v="0"/>
    <n v="40"/>
    <x v="6"/>
    <x v="1"/>
    <x v="614"/>
    <x v="0"/>
    <x v="2"/>
    <x v="3"/>
    <s v="Linkedin"/>
    <x v="6"/>
    <s v="Ahmed Raza"/>
    <n v="112204"/>
    <n v="7839"/>
    <n v="81.5"/>
    <n v="8"/>
    <n v="12"/>
    <n v="5"/>
    <n v="32"/>
    <n v="89"/>
    <x v="1"/>
    <x v="0"/>
  </r>
  <r>
    <s v="EMP01181"/>
    <x v="103"/>
    <x v="1"/>
    <n v="38"/>
    <x v="2"/>
    <x v="4"/>
    <x v="614"/>
    <x v="0"/>
    <x v="2"/>
    <x v="4"/>
    <s v="Linkedin"/>
    <x v="2"/>
    <s v="Ahmed Raza"/>
    <n v="154697"/>
    <n v="48526"/>
    <n v="91.5"/>
    <n v="2"/>
    <n v="28"/>
    <n v="3"/>
    <n v="3"/>
    <n v="99"/>
    <x v="0"/>
    <x v="0"/>
  </r>
  <r>
    <s v="EMP01203"/>
    <x v="199"/>
    <x v="0"/>
    <n v="42"/>
    <x v="5"/>
    <x v="0"/>
    <x v="614"/>
    <x v="0"/>
    <x v="1"/>
    <x v="1"/>
    <s v="Referral"/>
    <x v="7"/>
    <s v="Ahmed Raza"/>
    <n v="136905"/>
    <n v="35282"/>
    <n v="82.2"/>
    <n v="1"/>
    <n v="11"/>
    <n v="1"/>
    <n v="26"/>
    <n v="78"/>
    <x v="0"/>
    <x v="0"/>
  </r>
  <r>
    <s v="EMP00231"/>
    <x v="139"/>
    <x v="1"/>
    <n v="33"/>
    <x v="4"/>
    <x v="2"/>
    <x v="615"/>
    <x v="0"/>
    <x v="0"/>
    <x v="2"/>
    <s v="Campus"/>
    <x v="6"/>
    <s v="Bilal Khan"/>
    <n v="130303"/>
    <n v="9798"/>
    <n v="86.7"/>
    <n v="7"/>
    <n v="0"/>
    <n v="2"/>
    <n v="30"/>
    <n v="76"/>
    <x v="0"/>
    <x v="0"/>
  </r>
  <r>
    <s v="EMP01499"/>
    <x v="70"/>
    <x v="1"/>
    <n v="28"/>
    <x v="7"/>
    <x v="6"/>
    <x v="615"/>
    <x v="0"/>
    <x v="2"/>
    <x v="4"/>
    <s v="Referral"/>
    <x v="1"/>
    <s v="Sara Ali"/>
    <n v="36560"/>
    <n v="46834"/>
    <n v="87.3"/>
    <n v="9"/>
    <n v="9"/>
    <n v="5"/>
    <n v="29"/>
    <n v="86"/>
    <x v="0"/>
    <x v="0"/>
  </r>
  <r>
    <s v="EMP01917"/>
    <x v="175"/>
    <x v="1"/>
    <n v="51"/>
    <x v="1"/>
    <x v="0"/>
    <x v="615"/>
    <x v="0"/>
    <x v="2"/>
    <x v="0"/>
    <s v="Campus"/>
    <x v="1"/>
    <s v="Ahmed Raza"/>
    <n v="242037"/>
    <n v="43376"/>
    <n v="90.2"/>
    <n v="10"/>
    <n v="30"/>
    <n v="4"/>
    <n v="16"/>
    <n v="100"/>
    <x v="0"/>
    <x v="0"/>
  </r>
  <r>
    <s v="EMP00378"/>
    <x v="101"/>
    <x v="0"/>
    <n v="40"/>
    <x v="6"/>
    <x v="1"/>
    <x v="616"/>
    <x v="0"/>
    <x v="2"/>
    <x v="0"/>
    <s v="Linkedin"/>
    <x v="0"/>
    <s v="Sara Ali"/>
    <n v="146387"/>
    <n v="32884"/>
    <n v="94.9"/>
    <n v="1"/>
    <n v="8"/>
    <n v="1"/>
    <n v="28"/>
    <n v="91"/>
    <x v="0"/>
    <x v="0"/>
  </r>
  <r>
    <s v="EMP00479"/>
    <x v="173"/>
    <x v="1"/>
    <n v="39"/>
    <x v="1"/>
    <x v="3"/>
    <x v="616"/>
    <x v="0"/>
    <x v="1"/>
    <x v="3"/>
    <s v="Agency"/>
    <x v="0"/>
    <s v="Usman Tariq"/>
    <n v="241149"/>
    <n v="12280"/>
    <n v="81.599999999999994"/>
    <n v="8"/>
    <n v="9"/>
    <n v="4"/>
    <n v="28"/>
    <n v="80"/>
    <x v="0"/>
    <x v="0"/>
  </r>
  <r>
    <s v="EMP00527"/>
    <x v="145"/>
    <x v="0"/>
    <n v="22"/>
    <x v="0"/>
    <x v="2"/>
    <x v="616"/>
    <x v="0"/>
    <x v="1"/>
    <x v="2"/>
    <s v="Linkedin"/>
    <x v="7"/>
    <s v="Bilal Khan"/>
    <n v="215457"/>
    <n v="46951"/>
    <n v="97.1"/>
    <n v="3"/>
    <n v="9"/>
    <n v="3"/>
    <n v="0"/>
    <n v="77"/>
    <x v="0"/>
    <x v="0"/>
  </r>
  <r>
    <s v="EMP00710"/>
    <x v="129"/>
    <x v="0"/>
    <n v="26"/>
    <x v="0"/>
    <x v="6"/>
    <x v="616"/>
    <x v="0"/>
    <x v="1"/>
    <x v="0"/>
    <s v="Referral"/>
    <x v="4"/>
    <s v="Ahmed Raza"/>
    <n v="153868"/>
    <n v="23042"/>
    <n v="97.8"/>
    <n v="5"/>
    <n v="17"/>
    <n v="2"/>
    <n v="25"/>
    <n v="71"/>
    <x v="0"/>
    <x v="0"/>
  </r>
  <r>
    <s v="EMP01043"/>
    <x v="104"/>
    <x v="0"/>
    <n v="22"/>
    <x v="6"/>
    <x v="2"/>
    <x v="616"/>
    <x v="0"/>
    <x v="0"/>
    <x v="0"/>
    <s v="Campus"/>
    <x v="3"/>
    <s v="Fatima Noor"/>
    <n v="69071"/>
    <n v="14255"/>
    <n v="97.1"/>
    <n v="6"/>
    <n v="27"/>
    <n v="5"/>
    <n v="25"/>
    <n v="67"/>
    <x v="1"/>
    <x v="0"/>
  </r>
  <r>
    <s v="EMP01331"/>
    <x v="76"/>
    <x v="1"/>
    <n v="53"/>
    <x v="6"/>
    <x v="6"/>
    <x v="616"/>
    <x v="0"/>
    <x v="0"/>
    <x v="1"/>
    <s v="Referral"/>
    <x v="4"/>
    <s v="Sara Ali"/>
    <n v="40411"/>
    <n v="40969"/>
    <n v="91.3"/>
    <n v="4"/>
    <n v="6"/>
    <n v="1"/>
    <n v="4"/>
    <n v="77"/>
    <x v="0"/>
    <x v="0"/>
  </r>
  <r>
    <s v="EMP01655"/>
    <x v="119"/>
    <x v="0"/>
    <n v="30"/>
    <x v="5"/>
    <x v="5"/>
    <x v="616"/>
    <x v="0"/>
    <x v="2"/>
    <x v="1"/>
    <s v="Linkedin"/>
    <x v="7"/>
    <s v="Fatima Noor"/>
    <n v="178402"/>
    <n v="11500"/>
    <n v="83.9"/>
    <n v="10"/>
    <n v="2"/>
    <n v="1"/>
    <n v="16"/>
    <n v="89"/>
    <x v="0"/>
    <x v="0"/>
  </r>
  <r>
    <s v="EMP00560"/>
    <x v="123"/>
    <x v="0"/>
    <n v="48"/>
    <x v="1"/>
    <x v="6"/>
    <x v="617"/>
    <x v="0"/>
    <x v="1"/>
    <x v="0"/>
    <s v="Website"/>
    <x v="2"/>
    <s v="Bilal Khan"/>
    <n v="203413"/>
    <n v="29031"/>
    <n v="88.6"/>
    <n v="6"/>
    <n v="28"/>
    <n v="2"/>
    <n v="0"/>
    <n v="77"/>
    <x v="0"/>
    <x v="0"/>
  </r>
  <r>
    <s v="EMP01464"/>
    <x v="93"/>
    <x v="0"/>
    <n v="27"/>
    <x v="7"/>
    <x v="3"/>
    <x v="617"/>
    <x v="0"/>
    <x v="0"/>
    <x v="0"/>
    <s v="Referral"/>
    <x v="6"/>
    <s v="Sara Ali"/>
    <n v="242242"/>
    <n v="30076"/>
    <n v="82"/>
    <n v="9"/>
    <n v="7"/>
    <n v="3"/>
    <n v="20"/>
    <n v="97"/>
    <x v="0"/>
    <x v="0"/>
  </r>
  <r>
    <s v="EMP00171"/>
    <x v="121"/>
    <x v="1"/>
    <n v="57"/>
    <x v="4"/>
    <x v="6"/>
    <x v="618"/>
    <x v="0"/>
    <x v="1"/>
    <x v="0"/>
    <s v="Linkedin"/>
    <x v="3"/>
    <s v="Usman Tariq"/>
    <n v="85405"/>
    <n v="44725"/>
    <n v="94.4"/>
    <n v="0"/>
    <n v="2"/>
    <n v="4"/>
    <n v="26"/>
    <n v="92"/>
    <x v="0"/>
    <x v="0"/>
  </r>
  <r>
    <s v="EMP00466"/>
    <x v="186"/>
    <x v="0"/>
    <n v="56"/>
    <x v="6"/>
    <x v="0"/>
    <x v="618"/>
    <x v="0"/>
    <x v="0"/>
    <x v="3"/>
    <s v="Website"/>
    <x v="1"/>
    <s v="Sara Ali"/>
    <n v="37662"/>
    <n v="15872"/>
    <n v="91.9"/>
    <n v="3"/>
    <n v="23"/>
    <n v="5"/>
    <n v="30"/>
    <n v="67"/>
    <x v="0"/>
    <x v="0"/>
  </r>
  <r>
    <s v="EMP01197"/>
    <x v="119"/>
    <x v="0"/>
    <n v="47"/>
    <x v="2"/>
    <x v="7"/>
    <x v="618"/>
    <x v="0"/>
    <x v="1"/>
    <x v="2"/>
    <s v="Linkedin"/>
    <x v="2"/>
    <s v="Fatima Noor"/>
    <n v="161893"/>
    <n v="33409"/>
    <n v="94.4"/>
    <n v="4"/>
    <n v="8"/>
    <n v="1"/>
    <n v="36"/>
    <n v="73"/>
    <x v="0"/>
    <x v="0"/>
  </r>
  <r>
    <s v="EMP00236"/>
    <x v="194"/>
    <x v="0"/>
    <n v="59"/>
    <x v="1"/>
    <x v="1"/>
    <x v="619"/>
    <x v="0"/>
    <x v="2"/>
    <x v="4"/>
    <s v="Referral"/>
    <x v="4"/>
    <s v="Usman Tariq"/>
    <n v="220570"/>
    <n v="23822"/>
    <n v="80.5"/>
    <n v="10"/>
    <n v="18"/>
    <n v="1"/>
    <n v="33"/>
    <n v="98"/>
    <x v="0"/>
    <x v="0"/>
  </r>
  <r>
    <s v="EMP00487"/>
    <x v="88"/>
    <x v="1"/>
    <n v="28"/>
    <x v="7"/>
    <x v="0"/>
    <x v="620"/>
    <x v="0"/>
    <x v="2"/>
    <x v="2"/>
    <s v="Referral"/>
    <x v="7"/>
    <s v="Sara Ali"/>
    <n v="90724"/>
    <n v="16297"/>
    <n v="82.9"/>
    <n v="6"/>
    <n v="11"/>
    <n v="3"/>
    <n v="12"/>
    <n v="72"/>
    <x v="0"/>
    <x v="0"/>
  </r>
  <r>
    <s v="EMP00651"/>
    <x v="87"/>
    <x v="0"/>
    <n v="33"/>
    <x v="3"/>
    <x v="7"/>
    <x v="620"/>
    <x v="0"/>
    <x v="1"/>
    <x v="0"/>
    <s v="Agency"/>
    <x v="4"/>
    <s v="Fatima Noor"/>
    <n v="186913"/>
    <n v="30848"/>
    <n v="99.3"/>
    <n v="3"/>
    <n v="7"/>
    <n v="5"/>
    <n v="26"/>
    <n v="86"/>
    <x v="0"/>
    <x v="0"/>
  </r>
  <r>
    <s v="EMP01141"/>
    <x v="109"/>
    <x v="1"/>
    <n v="48"/>
    <x v="1"/>
    <x v="5"/>
    <x v="620"/>
    <x v="1"/>
    <x v="0"/>
    <x v="1"/>
    <s v="Agency"/>
    <x v="2"/>
    <s v="Usman Tariq"/>
    <n v="97379"/>
    <n v="29590"/>
    <n v="81.8"/>
    <n v="0"/>
    <n v="16"/>
    <n v="1"/>
    <n v="28"/>
    <n v="76"/>
    <x v="0"/>
    <x v="4"/>
  </r>
  <r>
    <s v="EMP00467"/>
    <x v="3"/>
    <x v="1"/>
    <n v="52"/>
    <x v="3"/>
    <x v="6"/>
    <x v="621"/>
    <x v="0"/>
    <x v="1"/>
    <x v="0"/>
    <s v="Website"/>
    <x v="0"/>
    <s v="Fatima Noor"/>
    <n v="144507"/>
    <n v="30265"/>
    <n v="87.9"/>
    <n v="2"/>
    <n v="16"/>
    <n v="4"/>
    <n v="7"/>
    <n v="65"/>
    <x v="0"/>
    <x v="0"/>
  </r>
  <r>
    <s v="EMP01599"/>
    <x v="114"/>
    <x v="0"/>
    <n v="21"/>
    <x v="3"/>
    <x v="1"/>
    <x v="621"/>
    <x v="0"/>
    <x v="0"/>
    <x v="1"/>
    <s v="Campus"/>
    <x v="5"/>
    <s v="Usman Tariq"/>
    <n v="139279"/>
    <n v="12386"/>
    <n v="82"/>
    <n v="8"/>
    <n v="11"/>
    <n v="4"/>
    <n v="35"/>
    <n v="65"/>
    <x v="0"/>
    <x v="0"/>
  </r>
  <r>
    <s v="EMP01775"/>
    <x v="55"/>
    <x v="0"/>
    <n v="35"/>
    <x v="6"/>
    <x v="6"/>
    <x v="621"/>
    <x v="0"/>
    <x v="1"/>
    <x v="1"/>
    <s v="Campus"/>
    <x v="7"/>
    <s v="Bilal Khan"/>
    <n v="95644"/>
    <n v="10916"/>
    <n v="99.4"/>
    <n v="0"/>
    <n v="16"/>
    <n v="3"/>
    <n v="11"/>
    <n v="100"/>
    <x v="0"/>
    <x v="0"/>
  </r>
  <r>
    <s v="EMP01906"/>
    <x v="33"/>
    <x v="0"/>
    <n v="43"/>
    <x v="1"/>
    <x v="1"/>
    <x v="621"/>
    <x v="0"/>
    <x v="1"/>
    <x v="4"/>
    <s v="Referral"/>
    <x v="5"/>
    <s v="Bilal Khan"/>
    <n v="145028"/>
    <n v="27924"/>
    <n v="96.4"/>
    <n v="10"/>
    <n v="3"/>
    <n v="2"/>
    <n v="33"/>
    <n v="100"/>
    <x v="0"/>
    <x v="0"/>
  </r>
  <r>
    <s v="EMP00643"/>
    <x v="20"/>
    <x v="1"/>
    <n v="42"/>
    <x v="3"/>
    <x v="5"/>
    <x v="622"/>
    <x v="0"/>
    <x v="0"/>
    <x v="4"/>
    <s v="Linkedin"/>
    <x v="6"/>
    <s v="Ahmed Raza"/>
    <n v="133704"/>
    <n v="23469"/>
    <n v="92.3"/>
    <n v="1"/>
    <n v="26"/>
    <n v="3"/>
    <n v="40"/>
    <n v="98"/>
    <x v="0"/>
    <x v="0"/>
  </r>
  <r>
    <s v="EMP01530"/>
    <x v="12"/>
    <x v="1"/>
    <n v="22"/>
    <x v="4"/>
    <x v="6"/>
    <x v="622"/>
    <x v="1"/>
    <x v="0"/>
    <x v="2"/>
    <s v="Referral"/>
    <x v="6"/>
    <s v="Usman Tariq"/>
    <n v="238467"/>
    <n v="21050"/>
    <n v="87.1"/>
    <n v="0"/>
    <n v="19"/>
    <n v="1"/>
    <n v="34"/>
    <n v="84"/>
    <x v="0"/>
    <x v="3"/>
  </r>
  <r>
    <s v="EMP01227"/>
    <x v="83"/>
    <x v="0"/>
    <n v="58"/>
    <x v="8"/>
    <x v="4"/>
    <x v="623"/>
    <x v="0"/>
    <x v="0"/>
    <x v="3"/>
    <s v="Referral"/>
    <x v="4"/>
    <s v="Ahmed Raza"/>
    <n v="176562"/>
    <n v="12902"/>
    <n v="97.2"/>
    <n v="2"/>
    <n v="6"/>
    <n v="3"/>
    <n v="21"/>
    <n v="64"/>
    <x v="0"/>
    <x v="0"/>
  </r>
  <r>
    <s v="EMP01812"/>
    <x v="153"/>
    <x v="0"/>
    <n v="40"/>
    <x v="0"/>
    <x v="6"/>
    <x v="623"/>
    <x v="0"/>
    <x v="2"/>
    <x v="0"/>
    <s v="Campus"/>
    <x v="3"/>
    <s v="Bilal Khan"/>
    <n v="241078"/>
    <n v="39041"/>
    <n v="85.7"/>
    <n v="2"/>
    <n v="29"/>
    <n v="5"/>
    <n v="17"/>
    <n v="99"/>
    <x v="0"/>
    <x v="0"/>
  </r>
  <r>
    <s v="EMP00043"/>
    <x v="29"/>
    <x v="0"/>
    <n v="40"/>
    <x v="3"/>
    <x v="7"/>
    <x v="624"/>
    <x v="1"/>
    <x v="1"/>
    <x v="3"/>
    <s v="Website"/>
    <x v="2"/>
    <s v="Usman Tariq"/>
    <n v="235934"/>
    <n v="5734"/>
    <n v="92.8"/>
    <n v="4"/>
    <n v="5"/>
    <n v="1"/>
    <n v="38"/>
    <n v="94"/>
    <x v="0"/>
    <x v="2"/>
  </r>
  <r>
    <s v="EMP00324"/>
    <x v="30"/>
    <x v="0"/>
    <n v="34"/>
    <x v="7"/>
    <x v="4"/>
    <x v="624"/>
    <x v="0"/>
    <x v="0"/>
    <x v="0"/>
    <s v="Website"/>
    <x v="0"/>
    <s v="Bilal Khan"/>
    <n v="181143"/>
    <n v="32779"/>
    <n v="89.3"/>
    <n v="5"/>
    <n v="20"/>
    <n v="3"/>
    <n v="17"/>
    <n v="66"/>
    <x v="0"/>
    <x v="0"/>
  </r>
  <r>
    <s v="EMP00753"/>
    <x v="27"/>
    <x v="1"/>
    <n v="30"/>
    <x v="6"/>
    <x v="7"/>
    <x v="624"/>
    <x v="0"/>
    <x v="1"/>
    <x v="2"/>
    <s v="Referral"/>
    <x v="7"/>
    <s v="Ahmed Raza"/>
    <n v="91867"/>
    <n v="21194"/>
    <n v="97.7"/>
    <n v="7"/>
    <n v="7"/>
    <n v="5"/>
    <n v="22"/>
    <n v="62"/>
    <x v="0"/>
    <x v="0"/>
  </r>
  <r>
    <s v="EMP01324"/>
    <x v="21"/>
    <x v="1"/>
    <n v="36"/>
    <x v="7"/>
    <x v="1"/>
    <x v="624"/>
    <x v="0"/>
    <x v="2"/>
    <x v="3"/>
    <s v="Website"/>
    <x v="0"/>
    <s v="Bilal Khan"/>
    <n v="239036"/>
    <n v="8076"/>
    <n v="90.8"/>
    <n v="5"/>
    <n v="28"/>
    <n v="4"/>
    <n v="6"/>
    <n v="100"/>
    <x v="0"/>
    <x v="0"/>
  </r>
  <r>
    <s v="EMP01871"/>
    <x v="25"/>
    <x v="1"/>
    <n v="40"/>
    <x v="5"/>
    <x v="3"/>
    <x v="625"/>
    <x v="1"/>
    <x v="2"/>
    <x v="2"/>
    <s v="Agency"/>
    <x v="4"/>
    <s v="Ahmed Raza"/>
    <n v="112271"/>
    <n v="33216"/>
    <n v="98.8"/>
    <n v="8"/>
    <n v="19"/>
    <n v="4"/>
    <n v="16"/>
    <n v="83"/>
    <x v="1"/>
    <x v="1"/>
  </r>
  <r>
    <s v="EMP00539"/>
    <x v="141"/>
    <x v="0"/>
    <n v="60"/>
    <x v="2"/>
    <x v="5"/>
    <x v="626"/>
    <x v="0"/>
    <x v="0"/>
    <x v="3"/>
    <s v="Agency"/>
    <x v="2"/>
    <s v="Usman Tariq"/>
    <n v="44313"/>
    <n v="16668"/>
    <n v="95.5"/>
    <n v="1"/>
    <n v="9"/>
    <n v="3"/>
    <n v="31"/>
    <n v="87"/>
    <x v="1"/>
    <x v="0"/>
  </r>
  <r>
    <s v="EMP01387"/>
    <x v="75"/>
    <x v="1"/>
    <n v="25"/>
    <x v="3"/>
    <x v="0"/>
    <x v="626"/>
    <x v="0"/>
    <x v="0"/>
    <x v="0"/>
    <s v="Campus"/>
    <x v="5"/>
    <s v="Usman Tariq"/>
    <n v="78403"/>
    <n v="49663"/>
    <n v="93.9"/>
    <n v="1"/>
    <n v="23"/>
    <n v="2"/>
    <n v="38"/>
    <n v="95"/>
    <x v="1"/>
    <x v="0"/>
  </r>
  <r>
    <s v="EMP01466"/>
    <x v="107"/>
    <x v="1"/>
    <n v="60"/>
    <x v="1"/>
    <x v="0"/>
    <x v="626"/>
    <x v="0"/>
    <x v="1"/>
    <x v="1"/>
    <s v="Referral"/>
    <x v="1"/>
    <s v="Fatima Noor"/>
    <n v="92823"/>
    <n v="11591"/>
    <n v="97.6"/>
    <n v="10"/>
    <n v="30"/>
    <n v="1"/>
    <n v="8"/>
    <n v="98"/>
    <x v="0"/>
    <x v="0"/>
  </r>
  <r>
    <s v="EMP01795"/>
    <x v="112"/>
    <x v="0"/>
    <n v="52"/>
    <x v="2"/>
    <x v="1"/>
    <x v="626"/>
    <x v="0"/>
    <x v="1"/>
    <x v="1"/>
    <s v="Agency"/>
    <x v="7"/>
    <s v="Usman Tariq"/>
    <n v="144947"/>
    <n v="44253"/>
    <n v="85.4"/>
    <n v="10"/>
    <n v="30"/>
    <n v="5"/>
    <n v="33"/>
    <n v="94"/>
    <x v="0"/>
    <x v="0"/>
  </r>
  <r>
    <s v="EMP00898"/>
    <x v="43"/>
    <x v="0"/>
    <n v="54"/>
    <x v="0"/>
    <x v="3"/>
    <x v="627"/>
    <x v="0"/>
    <x v="2"/>
    <x v="3"/>
    <s v="Referral"/>
    <x v="1"/>
    <s v="Sara Ali"/>
    <n v="244116"/>
    <n v="27907"/>
    <n v="94"/>
    <n v="5"/>
    <n v="29"/>
    <n v="2"/>
    <n v="38"/>
    <n v="83"/>
    <x v="0"/>
    <x v="0"/>
  </r>
  <r>
    <s v="EMP01527"/>
    <x v="78"/>
    <x v="1"/>
    <n v="40"/>
    <x v="6"/>
    <x v="5"/>
    <x v="627"/>
    <x v="0"/>
    <x v="1"/>
    <x v="0"/>
    <s v="Campus"/>
    <x v="2"/>
    <s v="Sara Ali"/>
    <n v="53752"/>
    <n v="39742"/>
    <n v="91.2"/>
    <n v="5"/>
    <n v="5"/>
    <n v="5"/>
    <n v="7"/>
    <n v="89"/>
    <x v="1"/>
    <x v="0"/>
  </r>
  <r>
    <s v="EMP00131"/>
    <x v="186"/>
    <x v="1"/>
    <n v="46"/>
    <x v="3"/>
    <x v="0"/>
    <x v="628"/>
    <x v="0"/>
    <x v="0"/>
    <x v="2"/>
    <s v="Campus"/>
    <x v="6"/>
    <s v="Sara Ali"/>
    <n v="125835"/>
    <n v="25192"/>
    <n v="80.599999999999994"/>
    <n v="3"/>
    <n v="15"/>
    <n v="4"/>
    <n v="7"/>
    <n v="72"/>
    <x v="1"/>
    <x v="0"/>
  </r>
  <r>
    <s v="EMP00757"/>
    <x v="28"/>
    <x v="0"/>
    <n v="45"/>
    <x v="3"/>
    <x v="0"/>
    <x v="628"/>
    <x v="0"/>
    <x v="0"/>
    <x v="4"/>
    <s v="Campus"/>
    <x v="0"/>
    <s v="Sara Ali"/>
    <n v="43518"/>
    <n v="37519"/>
    <n v="90.3"/>
    <n v="6"/>
    <n v="6"/>
    <n v="2"/>
    <n v="26"/>
    <n v="75"/>
    <x v="0"/>
    <x v="0"/>
  </r>
  <r>
    <s v="EMP01586"/>
    <x v="15"/>
    <x v="1"/>
    <n v="41"/>
    <x v="8"/>
    <x v="0"/>
    <x v="628"/>
    <x v="0"/>
    <x v="2"/>
    <x v="3"/>
    <s v="Website"/>
    <x v="3"/>
    <s v="Fatima Noor"/>
    <n v="62564"/>
    <n v="27123"/>
    <n v="91.4"/>
    <n v="9"/>
    <n v="0"/>
    <n v="5"/>
    <n v="19"/>
    <n v="85"/>
    <x v="0"/>
    <x v="0"/>
  </r>
  <r>
    <s v="EMP01709"/>
    <x v="68"/>
    <x v="1"/>
    <n v="49"/>
    <x v="7"/>
    <x v="6"/>
    <x v="628"/>
    <x v="0"/>
    <x v="2"/>
    <x v="0"/>
    <s v="Website"/>
    <x v="0"/>
    <s v="Fatima Noor"/>
    <n v="49340"/>
    <n v="30413"/>
    <n v="99.5"/>
    <n v="10"/>
    <n v="8"/>
    <n v="3"/>
    <n v="29"/>
    <n v="97"/>
    <x v="0"/>
    <x v="0"/>
  </r>
  <r>
    <s v="EMP00345"/>
    <x v="18"/>
    <x v="1"/>
    <n v="50"/>
    <x v="5"/>
    <x v="6"/>
    <x v="629"/>
    <x v="0"/>
    <x v="0"/>
    <x v="2"/>
    <s v="Referral"/>
    <x v="3"/>
    <s v="Ahmed Raza"/>
    <n v="38010"/>
    <n v="21694"/>
    <n v="96"/>
    <n v="10"/>
    <n v="14"/>
    <n v="5"/>
    <n v="25"/>
    <n v="77"/>
    <x v="0"/>
    <x v="0"/>
  </r>
  <r>
    <s v="EMP01240"/>
    <x v="25"/>
    <x v="1"/>
    <n v="48"/>
    <x v="3"/>
    <x v="7"/>
    <x v="629"/>
    <x v="0"/>
    <x v="0"/>
    <x v="1"/>
    <s v="Agency"/>
    <x v="7"/>
    <s v="Sara Ali"/>
    <n v="118431"/>
    <n v="39577"/>
    <n v="93.9"/>
    <n v="1"/>
    <n v="0"/>
    <n v="4"/>
    <n v="29"/>
    <n v="82"/>
    <x v="0"/>
    <x v="0"/>
  </r>
  <r>
    <s v="EMP01752"/>
    <x v="197"/>
    <x v="0"/>
    <n v="55"/>
    <x v="8"/>
    <x v="6"/>
    <x v="629"/>
    <x v="1"/>
    <x v="2"/>
    <x v="1"/>
    <s v="Linkedin"/>
    <x v="7"/>
    <s v="Ahmed Raza"/>
    <n v="75526"/>
    <n v="33557"/>
    <n v="85.6"/>
    <n v="3"/>
    <n v="9"/>
    <n v="1"/>
    <n v="18"/>
    <n v="93"/>
    <x v="1"/>
    <x v="3"/>
  </r>
  <r>
    <s v="EMP01823"/>
    <x v="120"/>
    <x v="1"/>
    <n v="48"/>
    <x v="7"/>
    <x v="0"/>
    <x v="629"/>
    <x v="0"/>
    <x v="2"/>
    <x v="4"/>
    <s v="Linkedin"/>
    <x v="1"/>
    <s v="Bilal Khan"/>
    <n v="81096"/>
    <n v="24072"/>
    <n v="83.8"/>
    <n v="5"/>
    <n v="8"/>
    <n v="4"/>
    <n v="17"/>
    <n v="74"/>
    <x v="0"/>
    <x v="0"/>
  </r>
  <r>
    <s v="EMP01962"/>
    <x v="153"/>
    <x v="0"/>
    <n v="45"/>
    <x v="4"/>
    <x v="1"/>
    <x v="629"/>
    <x v="0"/>
    <x v="2"/>
    <x v="1"/>
    <s v="Campus"/>
    <x v="5"/>
    <s v="Ahmed Raza"/>
    <n v="66520"/>
    <n v="42769"/>
    <n v="97.7"/>
    <n v="9"/>
    <n v="14"/>
    <n v="1"/>
    <n v="13"/>
    <n v="99"/>
    <x v="0"/>
    <x v="0"/>
  </r>
  <r>
    <s v="EMP00700"/>
    <x v="114"/>
    <x v="0"/>
    <n v="23"/>
    <x v="0"/>
    <x v="5"/>
    <x v="630"/>
    <x v="0"/>
    <x v="2"/>
    <x v="0"/>
    <s v="Referral"/>
    <x v="1"/>
    <s v="Ahmed Raza"/>
    <n v="226174"/>
    <n v="44233"/>
    <n v="84.6"/>
    <n v="7"/>
    <n v="2"/>
    <n v="5"/>
    <n v="14"/>
    <n v="70"/>
    <x v="0"/>
    <x v="0"/>
  </r>
  <r>
    <s v="EMP01486"/>
    <x v="160"/>
    <x v="1"/>
    <n v="25"/>
    <x v="7"/>
    <x v="4"/>
    <x v="630"/>
    <x v="0"/>
    <x v="1"/>
    <x v="4"/>
    <s v="Website"/>
    <x v="3"/>
    <s v="Sara Ali"/>
    <n v="112758"/>
    <n v="44133"/>
    <n v="96.9"/>
    <n v="5"/>
    <n v="12"/>
    <n v="2"/>
    <n v="31"/>
    <n v="94"/>
    <x v="0"/>
    <x v="0"/>
  </r>
  <r>
    <s v="EMP01924"/>
    <x v="99"/>
    <x v="1"/>
    <n v="43"/>
    <x v="1"/>
    <x v="6"/>
    <x v="630"/>
    <x v="0"/>
    <x v="1"/>
    <x v="1"/>
    <s v="Agency"/>
    <x v="7"/>
    <s v="Ahmed Raza"/>
    <n v="120438"/>
    <n v="6540"/>
    <n v="82.4"/>
    <n v="4"/>
    <n v="22"/>
    <n v="3"/>
    <n v="21"/>
    <n v="76"/>
    <x v="0"/>
    <x v="0"/>
  </r>
  <r>
    <s v="EMP00315"/>
    <x v="196"/>
    <x v="1"/>
    <n v="47"/>
    <x v="7"/>
    <x v="2"/>
    <x v="631"/>
    <x v="0"/>
    <x v="2"/>
    <x v="1"/>
    <s v="Agency"/>
    <x v="2"/>
    <s v="Bilal Khan"/>
    <n v="79159"/>
    <n v="41207"/>
    <n v="84.5"/>
    <n v="7"/>
    <n v="25"/>
    <n v="1"/>
    <n v="15"/>
    <n v="75"/>
    <x v="0"/>
    <x v="0"/>
  </r>
  <r>
    <s v="EMP01113"/>
    <x v="93"/>
    <x v="1"/>
    <n v="26"/>
    <x v="5"/>
    <x v="0"/>
    <x v="631"/>
    <x v="0"/>
    <x v="2"/>
    <x v="0"/>
    <s v="Website"/>
    <x v="6"/>
    <s v="Sara Ali"/>
    <n v="121292"/>
    <n v="9359"/>
    <n v="80.7"/>
    <n v="10"/>
    <n v="20"/>
    <n v="5"/>
    <n v="20"/>
    <n v="85"/>
    <x v="0"/>
    <x v="0"/>
  </r>
  <r>
    <s v="EMP01779"/>
    <x v="9"/>
    <x v="0"/>
    <n v="39"/>
    <x v="0"/>
    <x v="4"/>
    <x v="631"/>
    <x v="1"/>
    <x v="1"/>
    <x v="2"/>
    <s v="Referral"/>
    <x v="1"/>
    <s v="Ahmed Raza"/>
    <n v="213276"/>
    <n v="45570"/>
    <n v="82.7"/>
    <n v="2"/>
    <n v="17"/>
    <n v="4"/>
    <n v="10"/>
    <n v="79"/>
    <x v="1"/>
    <x v="3"/>
  </r>
  <r>
    <s v="EMP00698"/>
    <x v="67"/>
    <x v="1"/>
    <n v="44"/>
    <x v="6"/>
    <x v="0"/>
    <x v="632"/>
    <x v="0"/>
    <x v="1"/>
    <x v="3"/>
    <s v="Linkedin"/>
    <x v="3"/>
    <s v="Ahmed Raza"/>
    <n v="63962"/>
    <n v="13913"/>
    <n v="85"/>
    <n v="8"/>
    <n v="19"/>
    <n v="3"/>
    <n v="31"/>
    <n v="69"/>
    <x v="0"/>
    <x v="0"/>
  </r>
  <r>
    <s v="EMP00889"/>
    <x v="25"/>
    <x v="0"/>
    <n v="43"/>
    <x v="0"/>
    <x v="2"/>
    <x v="632"/>
    <x v="0"/>
    <x v="0"/>
    <x v="2"/>
    <s v="Referral"/>
    <x v="5"/>
    <s v="Bilal Khan"/>
    <n v="144790"/>
    <n v="12895"/>
    <n v="98.4"/>
    <n v="10"/>
    <n v="9"/>
    <n v="2"/>
    <n v="27"/>
    <n v="85"/>
    <x v="1"/>
    <x v="0"/>
  </r>
  <r>
    <s v="EMP00194"/>
    <x v="117"/>
    <x v="1"/>
    <n v="53"/>
    <x v="2"/>
    <x v="0"/>
    <x v="633"/>
    <x v="0"/>
    <x v="1"/>
    <x v="4"/>
    <s v="Linkedin"/>
    <x v="2"/>
    <s v="Usman Tariq"/>
    <n v="128169"/>
    <n v="14843"/>
    <n v="81"/>
    <n v="2"/>
    <n v="25"/>
    <n v="4"/>
    <n v="22"/>
    <n v="72"/>
    <x v="0"/>
    <x v="0"/>
  </r>
  <r>
    <s v="EMP00640"/>
    <x v="9"/>
    <x v="0"/>
    <n v="48"/>
    <x v="4"/>
    <x v="5"/>
    <x v="633"/>
    <x v="0"/>
    <x v="2"/>
    <x v="4"/>
    <s v="Campus"/>
    <x v="0"/>
    <s v="Ahmed Raza"/>
    <n v="72698"/>
    <n v="30717"/>
    <n v="87.5"/>
    <n v="3"/>
    <n v="13"/>
    <n v="2"/>
    <n v="39"/>
    <n v="65"/>
    <x v="0"/>
    <x v="0"/>
  </r>
  <r>
    <s v="EMP01365"/>
    <x v="181"/>
    <x v="0"/>
    <n v="42"/>
    <x v="1"/>
    <x v="2"/>
    <x v="633"/>
    <x v="0"/>
    <x v="1"/>
    <x v="0"/>
    <s v="Linkedin"/>
    <x v="7"/>
    <s v="Usman Tariq"/>
    <n v="109283"/>
    <n v="17824"/>
    <n v="96.2"/>
    <n v="5"/>
    <n v="21"/>
    <n v="4"/>
    <n v="3"/>
    <n v="60"/>
    <x v="1"/>
    <x v="0"/>
  </r>
  <r>
    <s v="EMP01379"/>
    <x v="115"/>
    <x v="0"/>
    <n v="26"/>
    <x v="3"/>
    <x v="1"/>
    <x v="633"/>
    <x v="0"/>
    <x v="0"/>
    <x v="1"/>
    <s v="Referral"/>
    <x v="6"/>
    <s v="Fatima Noor"/>
    <n v="113557"/>
    <n v="30778"/>
    <n v="81.5"/>
    <n v="1"/>
    <n v="10"/>
    <n v="5"/>
    <n v="14"/>
    <n v="92"/>
    <x v="0"/>
    <x v="0"/>
  </r>
  <r>
    <s v="EMP00235"/>
    <x v="143"/>
    <x v="1"/>
    <n v="26"/>
    <x v="0"/>
    <x v="2"/>
    <x v="634"/>
    <x v="0"/>
    <x v="0"/>
    <x v="0"/>
    <s v="Website"/>
    <x v="2"/>
    <s v="Sara Ali"/>
    <n v="50310"/>
    <n v="44557"/>
    <n v="96.2"/>
    <n v="1"/>
    <n v="20"/>
    <n v="2"/>
    <n v="27"/>
    <n v="97"/>
    <x v="1"/>
    <x v="0"/>
  </r>
  <r>
    <s v="EMP00829"/>
    <x v="197"/>
    <x v="0"/>
    <n v="41"/>
    <x v="8"/>
    <x v="0"/>
    <x v="634"/>
    <x v="0"/>
    <x v="0"/>
    <x v="4"/>
    <s v="Linkedin"/>
    <x v="6"/>
    <s v="Ahmed Raza"/>
    <n v="47240"/>
    <n v="45926"/>
    <n v="98.3"/>
    <n v="9"/>
    <n v="17"/>
    <n v="2"/>
    <n v="32"/>
    <n v="85"/>
    <x v="0"/>
    <x v="0"/>
  </r>
  <r>
    <s v="EMP00916"/>
    <x v="42"/>
    <x v="1"/>
    <n v="41"/>
    <x v="3"/>
    <x v="5"/>
    <x v="634"/>
    <x v="1"/>
    <x v="0"/>
    <x v="2"/>
    <s v="Campus"/>
    <x v="6"/>
    <s v="Usman Tariq"/>
    <n v="183088"/>
    <n v="48230"/>
    <n v="91.5"/>
    <n v="9"/>
    <n v="10"/>
    <n v="2"/>
    <n v="14"/>
    <n v="94"/>
    <x v="1"/>
    <x v="1"/>
  </r>
  <r>
    <s v="EMP01690"/>
    <x v="20"/>
    <x v="0"/>
    <n v="31"/>
    <x v="5"/>
    <x v="5"/>
    <x v="634"/>
    <x v="0"/>
    <x v="2"/>
    <x v="0"/>
    <s v="Website"/>
    <x v="5"/>
    <s v="Usman Tariq"/>
    <n v="242893"/>
    <n v="6418"/>
    <n v="96.3"/>
    <n v="8"/>
    <n v="17"/>
    <n v="1"/>
    <n v="19"/>
    <n v="84"/>
    <x v="0"/>
    <x v="0"/>
  </r>
  <r>
    <s v="EMP00338"/>
    <x v="100"/>
    <x v="0"/>
    <n v="42"/>
    <x v="7"/>
    <x v="5"/>
    <x v="635"/>
    <x v="0"/>
    <x v="0"/>
    <x v="0"/>
    <s v="Agency"/>
    <x v="6"/>
    <s v="Fatima Noor"/>
    <n v="249532"/>
    <n v="30953"/>
    <n v="81.099999999999994"/>
    <n v="1"/>
    <n v="11"/>
    <n v="4"/>
    <n v="36"/>
    <n v="83"/>
    <x v="0"/>
    <x v="0"/>
  </r>
  <r>
    <s v="EMP00365"/>
    <x v="63"/>
    <x v="1"/>
    <n v="24"/>
    <x v="5"/>
    <x v="3"/>
    <x v="635"/>
    <x v="0"/>
    <x v="2"/>
    <x v="3"/>
    <s v="Website"/>
    <x v="4"/>
    <s v="Bilal Khan"/>
    <n v="58608"/>
    <n v="24107"/>
    <n v="93.1"/>
    <n v="4"/>
    <n v="19"/>
    <n v="5"/>
    <n v="31"/>
    <n v="76"/>
    <x v="0"/>
    <x v="0"/>
  </r>
  <r>
    <s v="EMP01017"/>
    <x v="89"/>
    <x v="1"/>
    <n v="48"/>
    <x v="4"/>
    <x v="6"/>
    <x v="635"/>
    <x v="0"/>
    <x v="2"/>
    <x v="4"/>
    <s v="Campus"/>
    <x v="7"/>
    <s v="Fatima Noor"/>
    <n v="231652"/>
    <n v="16625"/>
    <n v="94.5"/>
    <n v="10"/>
    <n v="18"/>
    <n v="5"/>
    <n v="38"/>
    <n v="82"/>
    <x v="1"/>
    <x v="0"/>
  </r>
  <r>
    <s v="EMP00415"/>
    <x v="192"/>
    <x v="0"/>
    <n v="33"/>
    <x v="3"/>
    <x v="2"/>
    <x v="636"/>
    <x v="0"/>
    <x v="0"/>
    <x v="0"/>
    <s v="Agency"/>
    <x v="0"/>
    <s v="Fatima Noor"/>
    <n v="117888"/>
    <n v="31089"/>
    <n v="97.2"/>
    <n v="0"/>
    <n v="0"/>
    <n v="5"/>
    <n v="21"/>
    <n v="69"/>
    <x v="0"/>
    <x v="0"/>
  </r>
  <r>
    <s v="EMP00679"/>
    <x v="37"/>
    <x v="1"/>
    <n v="29"/>
    <x v="1"/>
    <x v="3"/>
    <x v="636"/>
    <x v="0"/>
    <x v="0"/>
    <x v="1"/>
    <s v="Website"/>
    <x v="5"/>
    <s v="Sara Ali"/>
    <n v="214440"/>
    <n v="12029"/>
    <n v="89.6"/>
    <n v="3"/>
    <n v="2"/>
    <n v="3"/>
    <n v="21"/>
    <n v="96"/>
    <x v="0"/>
    <x v="0"/>
  </r>
  <r>
    <s v="EMP01355"/>
    <x v="50"/>
    <x v="0"/>
    <n v="29"/>
    <x v="1"/>
    <x v="1"/>
    <x v="636"/>
    <x v="0"/>
    <x v="2"/>
    <x v="0"/>
    <s v="Agency"/>
    <x v="2"/>
    <s v="Fatima Noor"/>
    <n v="145190"/>
    <n v="26262"/>
    <n v="82.3"/>
    <n v="5"/>
    <n v="9"/>
    <n v="1"/>
    <n v="35"/>
    <n v="80"/>
    <x v="1"/>
    <x v="0"/>
  </r>
  <r>
    <s v="EMP01947"/>
    <x v="72"/>
    <x v="0"/>
    <n v="51"/>
    <x v="0"/>
    <x v="7"/>
    <x v="636"/>
    <x v="0"/>
    <x v="1"/>
    <x v="0"/>
    <s v="Website"/>
    <x v="3"/>
    <s v="Ahmed Raza"/>
    <n v="232340"/>
    <n v="5200"/>
    <n v="87.6"/>
    <n v="5"/>
    <n v="4"/>
    <n v="3"/>
    <n v="27"/>
    <n v="77"/>
    <x v="0"/>
    <x v="0"/>
  </r>
  <r>
    <s v="EMP01975"/>
    <x v="118"/>
    <x v="1"/>
    <n v="23"/>
    <x v="7"/>
    <x v="6"/>
    <x v="636"/>
    <x v="0"/>
    <x v="2"/>
    <x v="4"/>
    <s v="Referral"/>
    <x v="2"/>
    <s v="Fatima Noor"/>
    <n v="234295"/>
    <n v="48859"/>
    <n v="87.1"/>
    <n v="2"/>
    <n v="18"/>
    <n v="2"/>
    <n v="19"/>
    <n v="96"/>
    <x v="0"/>
    <x v="0"/>
  </r>
  <r>
    <s v="EMP00781"/>
    <x v="181"/>
    <x v="1"/>
    <n v="22"/>
    <x v="5"/>
    <x v="2"/>
    <x v="637"/>
    <x v="0"/>
    <x v="0"/>
    <x v="2"/>
    <s v="Linkedin"/>
    <x v="3"/>
    <s v="Usman Tariq"/>
    <n v="226047"/>
    <n v="49353"/>
    <n v="95.4"/>
    <n v="6"/>
    <n v="20"/>
    <n v="2"/>
    <n v="28"/>
    <n v="65"/>
    <x v="0"/>
    <x v="0"/>
  </r>
  <r>
    <s v="EMP01628"/>
    <x v="11"/>
    <x v="0"/>
    <n v="50"/>
    <x v="0"/>
    <x v="3"/>
    <x v="637"/>
    <x v="0"/>
    <x v="0"/>
    <x v="3"/>
    <s v="Website"/>
    <x v="7"/>
    <s v="Usman Tariq"/>
    <n v="235200"/>
    <n v="14908"/>
    <n v="98.6"/>
    <n v="1"/>
    <n v="16"/>
    <n v="2"/>
    <n v="6"/>
    <n v="63"/>
    <x v="0"/>
    <x v="0"/>
  </r>
  <r>
    <s v="EMP01777"/>
    <x v="3"/>
    <x v="0"/>
    <n v="57"/>
    <x v="4"/>
    <x v="3"/>
    <x v="637"/>
    <x v="1"/>
    <x v="1"/>
    <x v="0"/>
    <s v="Campus"/>
    <x v="2"/>
    <s v="Fatima Noor"/>
    <n v="209619"/>
    <n v="42062"/>
    <n v="83"/>
    <n v="3"/>
    <n v="5"/>
    <n v="2"/>
    <n v="4"/>
    <n v="73"/>
    <x v="0"/>
    <x v="3"/>
  </r>
  <r>
    <s v="EMP00082"/>
    <x v="166"/>
    <x v="1"/>
    <n v="30"/>
    <x v="0"/>
    <x v="7"/>
    <x v="638"/>
    <x v="0"/>
    <x v="1"/>
    <x v="1"/>
    <s v="Linkedin"/>
    <x v="4"/>
    <s v="Sara Ali"/>
    <n v="243677"/>
    <n v="48701"/>
    <n v="96.5"/>
    <n v="0"/>
    <n v="19"/>
    <n v="4"/>
    <n v="38"/>
    <n v="79"/>
    <x v="0"/>
    <x v="0"/>
  </r>
  <r>
    <s v="EMP00430"/>
    <x v="34"/>
    <x v="0"/>
    <n v="23"/>
    <x v="2"/>
    <x v="6"/>
    <x v="639"/>
    <x v="0"/>
    <x v="0"/>
    <x v="1"/>
    <s v="Referral"/>
    <x v="4"/>
    <s v="Bilal Khan"/>
    <n v="138825"/>
    <n v="45124"/>
    <n v="86.2"/>
    <n v="7"/>
    <n v="24"/>
    <n v="2"/>
    <n v="31"/>
    <n v="70"/>
    <x v="1"/>
    <x v="0"/>
  </r>
  <r>
    <s v="EMP00469"/>
    <x v="74"/>
    <x v="0"/>
    <n v="46"/>
    <x v="8"/>
    <x v="2"/>
    <x v="639"/>
    <x v="0"/>
    <x v="0"/>
    <x v="3"/>
    <s v="Agency"/>
    <x v="0"/>
    <s v="Usman Tariq"/>
    <n v="145137"/>
    <n v="33493"/>
    <n v="91.9"/>
    <n v="0"/>
    <n v="21"/>
    <n v="2"/>
    <n v="29"/>
    <n v="81"/>
    <x v="0"/>
    <x v="0"/>
  </r>
  <r>
    <s v="EMP00804"/>
    <x v="40"/>
    <x v="0"/>
    <n v="46"/>
    <x v="6"/>
    <x v="6"/>
    <x v="639"/>
    <x v="0"/>
    <x v="2"/>
    <x v="2"/>
    <s v="Referral"/>
    <x v="0"/>
    <s v="Sara Ali"/>
    <n v="142095"/>
    <n v="22428"/>
    <n v="84"/>
    <n v="7"/>
    <n v="18"/>
    <n v="1"/>
    <n v="21"/>
    <n v="68"/>
    <x v="0"/>
    <x v="0"/>
  </r>
  <r>
    <s v="EMP00824"/>
    <x v="69"/>
    <x v="1"/>
    <n v="57"/>
    <x v="3"/>
    <x v="0"/>
    <x v="639"/>
    <x v="0"/>
    <x v="1"/>
    <x v="2"/>
    <s v="Linkedin"/>
    <x v="7"/>
    <s v="Usman Tariq"/>
    <n v="116656"/>
    <n v="43191"/>
    <n v="90"/>
    <n v="6"/>
    <n v="21"/>
    <n v="5"/>
    <n v="12"/>
    <n v="99"/>
    <x v="1"/>
    <x v="0"/>
  </r>
  <r>
    <s v="EMP01082"/>
    <x v="87"/>
    <x v="1"/>
    <n v="57"/>
    <x v="6"/>
    <x v="1"/>
    <x v="639"/>
    <x v="0"/>
    <x v="1"/>
    <x v="3"/>
    <s v="Website"/>
    <x v="5"/>
    <s v="Sara Ali"/>
    <n v="235382"/>
    <n v="15393"/>
    <n v="81.400000000000006"/>
    <n v="10"/>
    <n v="0"/>
    <n v="2"/>
    <n v="14"/>
    <n v="83"/>
    <x v="0"/>
    <x v="0"/>
  </r>
  <r>
    <s v="EMP01477"/>
    <x v="128"/>
    <x v="0"/>
    <n v="41"/>
    <x v="4"/>
    <x v="7"/>
    <x v="639"/>
    <x v="0"/>
    <x v="1"/>
    <x v="0"/>
    <s v="Linkedin"/>
    <x v="1"/>
    <s v="Sara Ali"/>
    <n v="190433"/>
    <n v="33573"/>
    <n v="92.8"/>
    <n v="6"/>
    <n v="4"/>
    <n v="2"/>
    <n v="34"/>
    <n v="62"/>
    <x v="0"/>
    <x v="0"/>
  </r>
  <r>
    <s v="EMP00677"/>
    <x v="13"/>
    <x v="1"/>
    <n v="21"/>
    <x v="0"/>
    <x v="4"/>
    <x v="640"/>
    <x v="0"/>
    <x v="0"/>
    <x v="4"/>
    <s v="Referral"/>
    <x v="4"/>
    <s v="Ahmed Raza"/>
    <n v="147402"/>
    <n v="24062"/>
    <n v="88.6"/>
    <n v="2"/>
    <n v="13"/>
    <n v="2"/>
    <n v="8"/>
    <n v="100"/>
    <x v="0"/>
    <x v="0"/>
  </r>
  <r>
    <s v="EMP01352"/>
    <x v="99"/>
    <x v="1"/>
    <n v="47"/>
    <x v="7"/>
    <x v="2"/>
    <x v="641"/>
    <x v="0"/>
    <x v="0"/>
    <x v="1"/>
    <s v="Agency"/>
    <x v="1"/>
    <s v="Fatima Noor"/>
    <n v="89289"/>
    <n v="9351"/>
    <n v="91.5"/>
    <n v="7"/>
    <n v="12"/>
    <n v="5"/>
    <n v="9"/>
    <n v="70"/>
    <x v="0"/>
    <x v="0"/>
  </r>
  <r>
    <s v="EMP00079"/>
    <x v="129"/>
    <x v="0"/>
    <n v="23"/>
    <x v="1"/>
    <x v="1"/>
    <x v="642"/>
    <x v="0"/>
    <x v="1"/>
    <x v="0"/>
    <s v="Website"/>
    <x v="6"/>
    <s v="Bilal Khan"/>
    <n v="121508"/>
    <n v="43630"/>
    <n v="99.6"/>
    <n v="1"/>
    <n v="17"/>
    <n v="3"/>
    <n v="1"/>
    <n v="79"/>
    <x v="0"/>
    <x v="0"/>
  </r>
  <r>
    <s v="EMP01570"/>
    <x v="199"/>
    <x v="0"/>
    <n v="41"/>
    <x v="1"/>
    <x v="2"/>
    <x v="642"/>
    <x v="0"/>
    <x v="0"/>
    <x v="1"/>
    <s v="Website"/>
    <x v="3"/>
    <s v="Ahmed Raza"/>
    <n v="168949"/>
    <n v="37334"/>
    <n v="94"/>
    <n v="6"/>
    <n v="9"/>
    <n v="1"/>
    <n v="34"/>
    <n v="100"/>
    <x v="0"/>
    <x v="0"/>
  </r>
  <r>
    <s v="EMP01221"/>
    <x v="91"/>
    <x v="1"/>
    <n v="47"/>
    <x v="6"/>
    <x v="2"/>
    <x v="643"/>
    <x v="0"/>
    <x v="1"/>
    <x v="1"/>
    <s v="Agency"/>
    <x v="0"/>
    <s v="Usman Tariq"/>
    <n v="123512"/>
    <n v="34576"/>
    <n v="81.5"/>
    <n v="7"/>
    <n v="17"/>
    <n v="4"/>
    <n v="21"/>
    <n v="60"/>
    <x v="0"/>
    <x v="0"/>
  </r>
  <r>
    <s v="EMP01256"/>
    <x v="17"/>
    <x v="1"/>
    <n v="24"/>
    <x v="6"/>
    <x v="6"/>
    <x v="644"/>
    <x v="0"/>
    <x v="2"/>
    <x v="2"/>
    <s v="Referral"/>
    <x v="6"/>
    <s v="Ahmed Raza"/>
    <n v="63509"/>
    <n v="44883"/>
    <n v="95.9"/>
    <n v="1"/>
    <n v="17"/>
    <n v="5"/>
    <n v="38"/>
    <n v="82"/>
    <x v="0"/>
    <x v="0"/>
  </r>
  <r>
    <s v="EMP01660"/>
    <x v="71"/>
    <x v="1"/>
    <n v="37"/>
    <x v="1"/>
    <x v="4"/>
    <x v="644"/>
    <x v="0"/>
    <x v="1"/>
    <x v="2"/>
    <s v="Referral"/>
    <x v="5"/>
    <s v="Ahmed Raza"/>
    <n v="97863"/>
    <n v="18851"/>
    <n v="99.7"/>
    <n v="1"/>
    <n v="22"/>
    <n v="4"/>
    <n v="27"/>
    <n v="83"/>
    <x v="0"/>
    <x v="0"/>
  </r>
  <r>
    <s v="EMP01720"/>
    <x v="96"/>
    <x v="0"/>
    <n v="22"/>
    <x v="8"/>
    <x v="3"/>
    <x v="644"/>
    <x v="0"/>
    <x v="1"/>
    <x v="1"/>
    <s v="Referral"/>
    <x v="5"/>
    <s v="Ahmed Raza"/>
    <n v="143823"/>
    <n v="39577"/>
    <n v="83.2"/>
    <n v="0"/>
    <n v="13"/>
    <n v="4"/>
    <n v="32"/>
    <n v="81"/>
    <x v="1"/>
    <x v="0"/>
  </r>
  <r>
    <s v="EMP00799"/>
    <x v="132"/>
    <x v="1"/>
    <n v="37"/>
    <x v="8"/>
    <x v="5"/>
    <x v="645"/>
    <x v="0"/>
    <x v="0"/>
    <x v="2"/>
    <s v="Linkedin"/>
    <x v="1"/>
    <s v="Ahmed Raza"/>
    <n v="155953"/>
    <n v="22309"/>
    <n v="99.6"/>
    <n v="9"/>
    <n v="26"/>
    <n v="4"/>
    <n v="2"/>
    <n v="76"/>
    <x v="0"/>
    <x v="0"/>
  </r>
  <r>
    <s v="EMP01232"/>
    <x v="32"/>
    <x v="0"/>
    <n v="36"/>
    <x v="2"/>
    <x v="5"/>
    <x v="645"/>
    <x v="0"/>
    <x v="2"/>
    <x v="2"/>
    <s v="Campus"/>
    <x v="2"/>
    <s v="Usman Tariq"/>
    <n v="249284"/>
    <n v="19802"/>
    <n v="95.8"/>
    <n v="1"/>
    <n v="28"/>
    <n v="3"/>
    <n v="11"/>
    <n v="96"/>
    <x v="0"/>
    <x v="0"/>
  </r>
  <r>
    <s v="EMP00008"/>
    <x v="54"/>
    <x v="0"/>
    <n v="29"/>
    <x v="4"/>
    <x v="3"/>
    <x v="646"/>
    <x v="0"/>
    <x v="1"/>
    <x v="3"/>
    <s v="Linkedin"/>
    <x v="1"/>
    <s v="Usman Tariq"/>
    <n v="96625"/>
    <n v="7912"/>
    <n v="96.8"/>
    <n v="0"/>
    <n v="19"/>
    <n v="1"/>
    <n v="25"/>
    <n v="99"/>
    <x v="1"/>
    <x v="0"/>
  </r>
  <r>
    <s v="EMP01164"/>
    <x v="76"/>
    <x v="1"/>
    <n v="58"/>
    <x v="6"/>
    <x v="6"/>
    <x v="646"/>
    <x v="0"/>
    <x v="1"/>
    <x v="1"/>
    <s v="Campus"/>
    <x v="4"/>
    <s v="Sara Ali"/>
    <n v="132120"/>
    <n v="27652"/>
    <n v="98.5"/>
    <n v="3"/>
    <n v="13"/>
    <n v="5"/>
    <n v="2"/>
    <n v="68"/>
    <x v="1"/>
    <x v="0"/>
  </r>
  <r>
    <s v="EMP01297"/>
    <x v="57"/>
    <x v="0"/>
    <n v="25"/>
    <x v="2"/>
    <x v="6"/>
    <x v="646"/>
    <x v="0"/>
    <x v="0"/>
    <x v="0"/>
    <s v="Campus"/>
    <x v="1"/>
    <s v="Usman Tariq"/>
    <n v="138169"/>
    <n v="20171"/>
    <n v="81.2"/>
    <n v="3"/>
    <n v="10"/>
    <n v="1"/>
    <n v="16"/>
    <n v="91"/>
    <x v="1"/>
    <x v="0"/>
  </r>
  <r>
    <s v="EMP00407"/>
    <x v="128"/>
    <x v="1"/>
    <n v="22"/>
    <x v="4"/>
    <x v="0"/>
    <x v="647"/>
    <x v="1"/>
    <x v="0"/>
    <x v="3"/>
    <s v="Agency"/>
    <x v="7"/>
    <s v="Ahmed Raza"/>
    <n v="142505"/>
    <n v="6894"/>
    <n v="96"/>
    <n v="0"/>
    <n v="5"/>
    <n v="5"/>
    <n v="9"/>
    <n v="89"/>
    <x v="0"/>
    <x v="5"/>
  </r>
  <r>
    <s v="EMP01076"/>
    <x v="1"/>
    <x v="1"/>
    <n v="25"/>
    <x v="1"/>
    <x v="2"/>
    <x v="647"/>
    <x v="0"/>
    <x v="0"/>
    <x v="0"/>
    <s v="Campus"/>
    <x v="3"/>
    <s v="Usman Tariq"/>
    <n v="209368"/>
    <n v="14857"/>
    <n v="90.5"/>
    <n v="1"/>
    <n v="24"/>
    <n v="5"/>
    <n v="13"/>
    <n v="72"/>
    <x v="0"/>
    <x v="0"/>
  </r>
  <r>
    <s v="EMP01212"/>
    <x v="153"/>
    <x v="0"/>
    <n v="36"/>
    <x v="3"/>
    <x v="5"/>
    <x v="647"/>
    <x v="0"/>
    <x v="2"/>
    <x v="0"/>
    <s v="Campus"/>
    <x v="6"/>
    <s v="Bilal Khan"/>
    <n v="50066"/>
    <n v="15176"/>
    <n v="90.3"/>
    <n v="10"/>
    <n v="30"/>
    <n v="2"/>
    <n v="16"/>
    <n v="84"/>
    <x v="0"/>
    <x v="0"/>
  </r>
  <r>
    <s v="EMP00207"/>
    <x v="120"/>
    <x v="0"/>
    <n v="55"/>
    <x v="1"/>
    <x v="0"/>
    <x v="648"/>
    <x v="0"/>
    <x v="0"/>
    <x v="0"/>
    <s v="Agency"/>
    <x v="6"/>
    <s v="Ahmed Raza"/>
    <n v="204228"/>
    <n v="29217"/>
    <n v="90.6"/>
    <n v="2"/>
    <n v="20"/>
    <n v="4"/>
    <n v="7"/>
    <n v="65"/>
    <x v="0"/>
    <x v="0"/>
  </r>
  <r>
    <s v="EMP00614"/>
    <x v="152"/>
    <x v="0"/>
    <n v="41"/>
    <x v="2"/>
    <x v="4"/>
    <x v="648"/>
    <x v="0"/>
    <x v="0"/>
    <x v="4"/>
    <s v="Linkedin"/>
    <x v="1"/>
    <s v="Ahmed Raza"/>
    <n v="208685"/>
    <n v="38875"/>
    <n v="87.3"/>
    <n v="10"/>
    <n v="12"/>
    <n v="5"/>
    <n v="26"/>
    <n v="99"/>
    <x v="0"/>
    <x v="0"/>
  </r>
  <r>
    <s v="EMP00658"/>
    <x v="29"/>
    <x v="1"/>
    <n v="23"/>
    <x v="5"/>
    <x v="4"/>
    <x v="648"/>
    <x v="0"/>
    <x v="2"/>
    <x v="4"/>
    <s v="Referral"/>
    <x v="5"/>
    <s v="Ahmed Raza"/>
    <n v="140360"/>
    <n v="29884"/>
    <n v="83.3"/>
    <n v="0"/>
    <n v="17"/>
    <n v="4"/>
    <n v="19"/>
    <n v="88"/>
    <x v="0"/>
    <x v="0"/>
  </r>
  <r>
    <s v="EMP01000"/>
    <x v="165"/>
    <x v="1"/>
    <n v="23"/>
    <x v="7"/>
    <x v="6"/>
    <x v="648"/>
    <x v="0"/>
    <x v="2"/>
    <x v="3"/>
    <s v="Agency"/>
    <x v="6"/>
    <s v="Fatima Noor"/>
    <n v="141876"/>
    <n v="16332"/>
    <n v="95.5"/>
    <n v="0"/>
    <n v="6"/>
    <n v="5"/>
    <n v="13"/>
    <n v="78"/>
    <x v="0"/>
    <x v="0"/>
  </r>
  <r>
    <s v="EMP01156"/>
    <x v="113"/>
    <x v="0"/>
    <n v="35"/>
    <x v="4"/>
    <x v="7"/>
    <x v="648"/>
    <x v="0"/>
    <x v="1"/>
    <x v="4"/>
    <s v="Linkedin"/>
    <x v="6"/>
    <s v="Ahmed Raza"/>
    <n v="217033"/>
    <n v="35988"/>
    <n v="93.4"/>
    <n v="10"/>
    <n v="8"/>
    <n v="1"/>
    <n v="38"/>
    <n v="96"/>
    <x v="0"/>
    <x v="0"/>
  </r>
  <r>
    <s v="EMP01969"/>
    <x v="108"/>
    <x v="0"/>
    <n v="59"/>
    <x v="2"/>
    <x v="4"/>
    <x v="648"/>
    <x v="0"/>
    <x v="2"/>
    <x v="3"/>
    <s v="Website"/>
    <x v="3"/>
    <s v="Fatima Noor"/>
    <n v="171160"/>
    <n v="21687"/>
    <n v="87.4"/>
    <n v="1"/>
    <n v="6"/>
    <n v="4"/>
    <n v="1"/>
    <n v="93"/>
    <x v="0"/>
    <x v="0"/>
  </r>
  <r>
    <s v="EMP00190"/>
    <x v="95"/>
    <x v="1"/>
    <n v="52"/>
    <x v="2"/>
    <x v="3"/>
    <x v="649"/>
    <x v="0"/>
    <x v="0"/>
    <x v="2"/>
    <s v="Campus"/>
    <x v="7"/>
    <s v="Usman Tariq"/>
    <n v="231147"/>
    <n v="26871"/>
    <n v="95.6"/>
    <n v="7"/>
    <n v="2"/>
    <n v="3"/>
    <n v="23"/>
    <n v="66"/>
    <x v="0"/>
    <x v="0"/>
  </r>
  <r>
    <s v="EMP01531"/>
    <x v="17"/>
    <x v="0"/>
    <n v="35"/>
    <x v="1"/>
    <x v="3"/>
    <x v="649"/>
    <x v="0"/>
    <x v="0"/>
    <x v="3"/>
    <s v="Campus"/>
    <x v="2"/>
    <s v="Sara Ali"/>
    <n v="55239"/>
    <n v="35247"/>
    <n v="80.5"/>
    <n v="7"/>
    <n v="20"/>
    <n v="4"/>
    <n v="0"/>
    <n v="70"/>
    <x v="0"/>
    <x v="0"/>
  </r>
  <r>
    <s v="EMP00317"/>
    <x v="193"/>
    <x v="1"/>
    <n v="48"/>
    <x v="0"/>
    <x v="1"/>
    <x v="650"/>
    <x v="0"/>
    <x v="2"/>
    <x v="3"/>
    <s v="Linkedin"/>
    <x v="6"/>
    <s v="Bilal Khan"/>
    <n v="119597"/>
    <n v="31468"/>
    <n v="96.7"/>
    <n v="1"/>
    <n v="25"/>
    <n v="4"/>
    <n v="17"/>
    <n v="91"/>
    <x v="0"/>
    <x v="0"/>
  </r>
  <r>
    <s v="EMP00646"/>
    <x v="97"/>
    <x v="0"/>
    <n v="40"/>
    <x v="1"/>
    <x v="4"/>
    <x v="650"/>
    <x v="0"/>
    <x v="1"/>
    <x v="0"/>
    <s v="Linkedin"/>
    <x v="2"/>
    <s v="Bilal Khan"/>
    <n v="170706"/>
    <n v="34302"/>
    <n v="84.4"/>
    <n v="6"/>
    <n v="13"/>
    <n v="5"/>
    <n v="0"/>
    <n v="77"/>
    <x v="1"/>
    <x v="0"/>
  </r>
  <r>
    <s v="EMP01106"/>
    <x v="106"/>
    <x v="1"/>
    <n v="53"/>
    <x v="0"/>
    <x v="0"/>
    <x v="650"/>
    <x v="0"/>
    <x v="1"/>
    <x v="2"/>
    <s v="Website"/>
    <x v="5"/>
    <s v="Ahmed Raza"/>
    <n v="157224"/>
    <n v="30682"/>
    <n v="91.5"/>
    <n v="5"/>
    <n v="30"/>
    <n v="4"/>
    <n v="17"/>
    <n v="67"/>
    <x v="0"/>
    <x v="0"/>
  </r>
  <r>
    <s v="EMP01859"/>
    <x v="5"/>
    <x v="1"/>
    <n v="52"/>
    <x v="4"/>
    <x v="0"/>
    <x v="650"/>
    <x v="0"/>
    <x v="2"/>
    <x v="4"/>
    <s v="Referral"/>
    <x v="7"/>
    <s v="Fatima Noor"/>
    <n v="141462"/>
    <n v="24465"/>
    <n v="91.5"/>
    <n v="9"/>
    <n v="11"/>
    <n v="2"/>
    <n v="10"/>
    <n v="62"/>
    <x v="0"/>
    <x v="0"/>
  </r>
  <r>
    <s v="EMP00036"/>
    <x v="125"/>
    <x v="1"/>
    <n v="34"/>
    <x v="7"/>
    <x v="7"/>
    <x v="651"/>
    <x v="0"/>
    <x v="1"/>
    <x v="2"/>
    <s v="Referral"/>
    <x v="3"/>
    <s v="Ahmed Raza"/>
    <n v="214026"/>
    <n v="35717"/>
    <n v="80.8"/>
    <n v="2"/>
    <n v="4"/>
    <n v="4"/>
    <n v="4"/>
    <n v="97"/>
    <x v="0"/>
    <x v="0"/>
  </r>
  <r>
    <s v="EMP01346"/>
    <x v="6"/>
    <x v="0"/>
    <n v="54"/>
    <x v="3"/>
    <x v="5"/>
    <x v="651"/>
    <x v="0"/>
    <x v="0"/>
    <x v="1"/>
    <s v="Referral"/>
    <x v="6"/>
    <s v="Fatima Noor"/>
    <n v="54883"/>
    <n v="10212"/>
    <n v="80.5"/>
    <n v="0"/>
    <n v="6"/>
    <n v="3"/>
    <n v="19"/>
    <n v="75"/>
    <x v="0"/>
    <x v="0"/>
  </r>
  <r>
    <s v="EMP01949"/>
    <x v="106"/>
    <x v="1"/>
    <n v="45"/>
    <x v="5"/>
    <x v="6"/>
    <x v="652"/>
    <x v="0"/>
    <x v="0"/>
    <x v="2"/>
    <s v="Referral"/>
    <x v="7"/>
    <s v="Fatima Noor"/>
    <n v="199787"/>
    <n v="43795"/>
    <n v="86.9"/>
    <n v="1"/>
    <n v="2"/>
    <n v="1"/>
    <n v="19"/>
    <n v="75"/>
    <x v="0"/>
    <x v="0"/>
  </r>
  <r>
    <s v="EMP01179"/>
    <x v="80"/>
    <x v="1"/>
    <n v="45"/>
    <x v="1"/>
    <x v="0"/>
    <x v="653"/>
    <x v="0"/>
    <x v="0"/>
    <x v="4"/>
    <s v="Campus"/>
    <x v="7"/>
    <s v="Ahmed Raza"/>
    <n v="88187"/>
    <n v="44277"/>
    <n v="86.2"/>
    <n v="4"/>
    <n v="11"/>
    <n v="4"/>
    <n v="6"/>
    <n v="92"/>
    <x v="0"/>
    <x v="0"/>
  </r>
  <r>
    <s v="EMP01944"/>
    <x v="52"/>
    <x v="0"/>
    <n v="54"/>
    <x v="8"/>
    <x v="7"/>
    <x v="653"/>
    <x v="0"/>
    <x v="1"/>
    <x v="3"/>
    <s v="Agency"/>
    <x v="2"/>
    <s v="Bilal Khan"/>
    <n v="212717"/>
    <n v="11621"/>
    <n v="97.6"/>
    <n v="0"/>
    <n v="3"/>
    <n v="4"/>
    <n v="5"/>
    <n v="94"/>
    <x v="0"/>
    <x v="0"/>
  </r>
  <r>
    <s v="EMP00305"/>
    <x v="103"/>
    <x v="1"/>
    <n v="28"/>
    <x v="3"/>
    <x v="1"/>
    <x v="654"/>
    <x v="0"/>
    <x v="0"/>
    <x v="4"/>
    <s v="Referral"/>
    <x v="0"/>
    <s v="Sara Ali"/>
    <n v="210302"/>
    <n v="30557"/>
    <n v="83.9"/>
    <n v="0"/>
    <n v="10"/>
    <n v="4"/>
    <n v="31"/>
    <n v="79"/>
    <x v="0"/>
    <x v="0"/>
  </r>
  <r>
    <s v="EMP00642"/>
    <x v="62"/>
    <x v="0"/>
    <n v="37"/>
    <x v="2"/>
    <x v="6"/>
    <x v="654"/>
    <x v="0"/>
    <x v="0"/>
    <x v="3"/>
    <s v="Referral"/>
    <x v="0"/>
    <s v="Bilal Khan"/>
    <n v="196629"/>
    <n v="22811"/>
    <n v="84.4"/>
    <n v="4"/>
    <n v="25"/>
    <n v="5"/>
    <n v="11"/>
    <n v="82"/>
    <x v="0"/>
    <x v="0"/>
  </r>
  <r>
    <s v="EMP01052"/>
    <x v="45"/>
    <x v="1"/>
    <n v="59"/>
    <x v="3"/>
    <x v="6"/>
    <x v="654"/>
    <x v="0"/>
    <x v="0"/>
    <x v="4"/>
    <s v="Linkedin"/>
    <x v="4"/>
    <s v="Bilal Khan"/>
    <n v="176376"/>
    <n v="6709"/>
    <n v="96.8"/>
    <n v="5"/>
    <n v="14"/>
    <n v="5"/>
    <n v="7"/>
    <n v="63"/>
    <x v="0"/>
    <x v="0"/>
  </r>
  <r>
    <s v="EMP01172"/>
    <x v="164"/>
    <x v="1"/>
    <n v="38"/>
    <x v="2"/>
    <x v="2"/>
    <x v="654"/>
    <x v="0"/>
    <x v="0"/>
    <x v="3"/>
    <s v="Agency"/>
    <x v="0"/>
    <s v="Sara Ali"/>
    <n v="122245"/>
    <n v="14839"/>
    <n v="96.9"/>
    <n v="4"/>
    <n v="25"/>
    <n v="3"/>
    <n v="14"/>
    <n v="63"/>
    <x v="0"/>
    <x v="0"/>
  </r>
  <r>
    <s v="EMP01538"/>
    <x v="171"/>
    <x v="0"/>
    <n v="45"/>
    <x v="4"/>
    <x v="0"/>
    <x v="654"/>
    <x v="1"/>
    <x v="1"/>
    <x v="2"/>
    <s v="Agency"/>
    <x v="0"/>
    <s v="Usman Tariq"/>
    <n v="192961"/>
    <n v="32784"/>
    <n v="83.1"/>
    <n v="2"/>
    <n v="29"/>
    <n v="1"/>
    <n v="21"/>
    <n v="88"/>
    <x v="0"/>
    <x v="1"/>
  </r>
  <r>
    <s v="EMP01902"/>
    <x v="19"/>
    <x v="0"/>
    <n v="22"/>
    <x v="0"/>
    <x v="7"/>
    <x v="654"/>
    <x v="0"/>
    <x v="2"/>
    <x v="4"/>
    <s v="Campus"/>
    <x v="3"/>
    <s v="Sara Ali"/>
    <n v="242261"/>
    <n v="16399"/>
    <n v="80.599999999999994"/>
    <n v="4"/>
    <n v="29"/>
    <n v="4"/>
    <n v="17"/>
    <n v="94"/>
    <x v="0"/>
    <x v="0"/>
  </r>
  <r>
    <s v="EMP00763"/>
    <x v="169"/>
    <x v="1"/>
    <n v="48"/>
    <x v="6"/>
    <x v="5"/>
    <x v="655"/>
    <x v="0"/>
    <x v="2"/>
    <x v="3"/>
    <s v="Website"/>
    <x v="4"/>
    <s v="Ahmed Raza"/>
    <n v="174262"/>
    <n v="44949"/>
    <n v="81.2"/>
    <n v="3"/>
    <n v="0"/>
    <n v="4"/>
    <n v="22"/>
    <n v="84"/>
    <x v="0"/>
    <x v="0"/>
  </r>
  <r>
    <s v="EMP01142"/>
    <x v="183"/>
    <x v="1"/>
    <n v="21"/>
    <x v="7"/>
    <x v="3"/>
    <x v="655"/>
    <x v="0"/>
    <x v="2"/>
    <x v="0"/>
    <s v="Website"/>
    <x v="2"/>
    <s v="Sara Ali"/>
    <n v="186154"/>
    <n v="49702"/>
    <n v="87.6"/>
    <n v="1"/>
    <n v="13"/>
    <n v="4"/>
    <n v="15"/>
    <n v="63"/>
    <x v="0"/>
    <x v="0"/>
  </r>
  <r>
    <s v="EMP01656"/>
    <x v="158"/>
    <x v="0"/>
    <n v="34"/>
    <x v="4"/>
    <x v="7"/>
    <x v="655"/>
    <x v="0"/>
    <x v="1"/>
    <x v="1"/>
    <s v="Linkedin"/>
    <x v="2"/>
    <s v="Bilal Khan"/>
    <n v="174416"/>
    <n v="30504"/>
    <n v="84.9"/>
    <n v="6"/>
    <n v="30"/>
    <n v="2"/>
    <n v="37"/>
    <n v="98"/>
    <x v="1"/>
    <x v="0"/>
  </r>
  <r>
    <s v="EMP00073"/>
    <x v="69"/>
    <x v="1"/>
    <n v="37"/>
    <x v="5"/>
    <x v="2"/>
    <x v="656"/>
    <x v="1"/>
    <x v="0"/>
    <x v="0"/>
    <s v="Linkedin"/>
    <x v="3"/>
    <s v="Usman Tariq"/>
    <n v="228562"/>
    <n v="26276"/>
    <n v="81.5"/>
    <n v="8"/>
    <n v="1"/>
    <n v="4"/>
    <n v="4"/>
    <n v="71"/>
    <x v="0"/>
    <x v="3"/>
  </r>
  <r>
    <s v="EMP01114"/>
    <x v="55"/>
    <x v="0"/>
    <n v="21"/>
    <x v="4"/>
    <x v="5"/>
    <x v="656"/>
    <x v="0"/>
    <x v="2"/>
    <x v="4"/>
    <s v="Agency"/>
    <x v="0"/>
    <s v="Bilal Khan"/>
    <n v="67433"/>
    <n v="40586"/>
    <n v="98"/>
    <n v="3"/>
    <n v="1"/>
    <n v="1"/>
    <n v="34"/>
    <n v="69"/>
    <x v="0"/>
    <x v="0"/>
  </r>
  <r>
    <s v="EMP01217"/>
    <x v="8"/>
    <x v="1"/>
    <n v="38"/>
    <x v="7"/>
    <x v="3"/>
    <x v="656"/>
    <x v="0"/>
    <x v="2"/>
    <x v="4"/>
    <s v="Referral"/>
    <x v="1"/>
    <s v="Bilal Khan"/>
    <n v="185435"/>
    <n v="44231"/>
    <n v="80.7"/>
    <n v="2"/>
    <n v="1"/>
    <n v="2"/>
    <n v="21"/>
    <n v="84"/>
    <x v="1"/>
    <x v="0"/>
  </r>
  <r>
    <s v="EMP01305"/>
    <x v="122"/>
    <x v="0"/>
    <n v="48"/>
    <x v="3"/>
    <x v="1"/>
    <x v="656"/>
    <x v="0"/>
    <x v="2"/>
    <x v="1"/>
    <s v="Referral"/>
    <x v="1"/>
    <s v="Bilal Khan"/>
    <n v="59204"/>
    <n v="33926"/>
    <n v="92.3"/>
    <n v="8"/>
    <n v="4"/>
    <n v="3"/>
    <n v="30"/>
    <n v="100"/>
    <x v="0"/>
    <x v="0"/>
  </r>
  <r>
    <s v="EMP01307"/>
    <x v="147"/>
    <x v="1"/>
    <n v="33"/>
    <x v="5"/>
    <x v="2"/>
    <x v="656"/>
    <x v="0"/>
    <x v="0"/>
    <x v="2"/>
    <s v="Linkedin"/>
    <x v="0"/>
    <s v="Bilal Khan"/>
    <n v="194785"/>
    <n v="13995"/>
    <n v="90.2"/>
    <n v="9"/>
    <n v="23"/>
    <n v="2"/>
    <n v="13"/>
    <n v="74"/>
    <x v="0"/>
    <x v="0"/>
  </r>
  <r>
    <s v="EMP00639"/>
    <x v="86"/>
    <x v="0"/>
    <n v="33"/>
    <x v="1"/>
    <x v="3"/>
    <x v="657"/>
    <x v="0"/>
    <x v="1"/>
    <x v="3"/>
    <s v="Linkedin"/>
    <x v="6"/>
    <s v="Usman Tariq"/>
    <n v="202201"/>
    <n v="23228"/>
    <n v="87.5"/>
    <n v="1"/>
    <n v="1"/>
    <n v="4"/>
    <n v="14"/>
    <n v="84"/>
    <x v="1"/>
    <x v="0"/>
  </r>
  <r>
    <s v="EMP00675"/>
    <x v="90"/>
    <x v="0"/>
    <n v="35"/>
    <x v="5"/>
    <x v="5"/>
    <x v="657"/>
    <x v="0"/>
    <x v="1"/>
    <x v="4"/>
    <s v="Referral"/>
    <x v="4"/>
    <s v="Bilal Khan"/>
    <n v="217795"/>
    <n v="10200"/>
    <n v="96.6"/>
    <n v="0"/>
    <n v="24"/>
    <n v="5"/>
    <n v="4"/>
    <n v="91"/>
    <x v="0"/>
    <x v="0"/>
  </r>
  <r>
    <s v="EMP00843"/>
    <x v="156"/>
    <x v="0"/>
    <n v="39"/>
    <x v="8"/>
    <x v="0"/>
    <x v="657"/>
    <x v="1"/>
    <x v="2"/>
    <x v="1"/>
    <s v="Website"/>
    <x v="0"/>
    <s v="Ahmed Raza"/>
    <n v="85364"/>
    <n v="21083"/>
    <n v="90.4"/>
    <n v="5"/>
    <n v="8"/>
    <n v="3"/>
    <n v="2"/>
    <n v="93"/>
    <x v="1"/>
    <x v="5"/>
  </r>
  <r>
    <s v="EMP01096"/>
    <x v="21"/>
    <x v="1"/>
    <n v="36"/>
    <x v="8"/>
    <x v="7"/>
    <x v="657"/>
    <x v="1"/>
    <x v="2"/>
    <x v="0"/>
    <s v="Linkedin"/>
    <x v="4"/>
    <s v="Sara Ali"/>
    <n v="177808"/>
    <n v="35556"/>
    <n v="87.1"/>
    <n v="1"/>
    <n v="22"/>
    <n v="4"/>
    <n v="38"/>
    <n v="98"/>
    <x v="1"/>
    <x v="5"/>
  </r>
  <r>
    <s v="EMP01185"/>
    <x v="176"/>
    <x v="1"/>
    <n v="31"/>
    <x v="1"/>
    <x v="4"/>
    <x v="657"/>
    <x v="0"/>
    <x v="2"/>
    <x v="0"/>
    <s v="Agency"/>
    <x v="3"/>
    <s v="Ahmed Raza"/>
    <n v="184186"/>
    <n v="23741"/>
    <n v="89.4"/>
    <n v="3"/>
    <n v="21"/>
    <n v="1"/>
    <n v="0"/>
    <n v="66"/>
    <x v="0"/>
    <x v="0"/>
  </r>
  <r>
    <s v="EMP01030"/>
    <x v="91"/>
    <x v="1"/>
    <n v="31"/>
    <x v="0"/>
    <x v="6"/>
    <x v="658"/>
    <x v="1"/>
    <x v="0"/>
    <x v="3"/>
    <s v="Referral"/>
    <x v="5"/>
    <s v="Ahmed Raza"/>
    <n v="53627"/>
    <n v="5557"/>
    <n v="88.9"/>
    <n v="8"/>
    <n v="0"/>
    <n v="1"/>
    <n v="14"/>
    <n v="98"/>
    <x v="0"/>
    <x v="1"/>
  </r>
  <r>
    <s v="EMP01186"/>
    <x v="128"/>
    <x v="1"/>
    <n v="43"/>
    <x v="2"/>
    <x v="0"/>
    <x v="658"/>
    <x v="0"/>
    <x v="2"/>
    <x v="1"/>
    <s v="Referral"/>
    <x v="3"/>
    <s v="Ahmed Raza"/>
    <n v="105828"/>
    <n v="28371"/>
    <n v="85"/>
    <n v="3"/>
    <n v="27"/>
    <n v="4"/>
    <n v="29"/>
    <n v="77"/>
    <x v="1"/>
    <x v="0"/>
  </r>
  <r>
    <s v="EMP00172"/>
    <x v="136"/>
    <x v="0"/>
    <n v="29"/>
    <x v="1"/>
    <x v="5"/>
    <x v="659"/>
    <x v="0"/>
    <x v="2"/>
    <x v="3"/>
    <s v="Website"/>
    <x v="6"/>
    <s v="Bilal Khan"/>
    <n v="139482"/>
    <n v="37060"/>
    <n v="91.5"/>
    <n v="4"/>
    <n v="21"/>
    <n v="3"/>
    <n v="22"/>
    <n v="76"/>
    <x v="0"/>
    <x v="0"/>
  </r>
  <r>
    <s v="EMP00980"/>
    <x v="9"/>
    <x v="1"/>
    <n v="36"/>
    <x v="2"/>
    <x v="7"/>
    <x v="660"/>
    <x v="0"/>
    <x v="2"/>
    <x v="0"/>
    <s v="Linkedin"/>
    <x v="0"/>
    <s v="Sara Ali"/>
    <n v="94890"/>
    <n v="26351"/>
    <n v="82.3"/>
    <n v="10"/>
    <n v="13"/>
    <n v="2"/>
    <n v="21"/>
    <n v="77"/>
    <x v="0"/>
    <x v="0"/>
  </r>
  <r>
    <s v="EMP01189"/>
    <x v="187"/>
    <x v="0"/>
    <n v="26"/>
    <x v="0"/>
    <x v="1"/>
    <x v="660"/>
    <x v="0"/>
    <x v="0"/>
    <x v="2"/>
    <s v="Agency"/>
    <x v="7"/>
    <s v="Usman Tariq"/>
    <n v="229533"/>
    <n v="6140"/>
    <n v="87.7"/>
    <n v="9"/>
    <n v="8"/>
    <n v="2"/>
    <n v="38"/>
    <n v="61"/>
    <x v="0"/>
    <x v="0"/>
  </r>
  <r>
    <s v="EMP01415"/>
    <x v="29"/>
    <x v="1"/>
    <n v="41"/>
    <x v="7"/>
    <x v="0"/>
    <x v="660"/>
    <x v="0"/>
    <x v="2"/>
    <x v="1"/>
    <s v="Linkedin"/>
    <x v="1"/>
    <s v="Usman Tariq"/>
    <n v="193572"/>
    <n v="24353"/>
    <n v="91"/>
    <n v="3"/>
    <n v="27"/>
    <n v="2"/>
    <n v="31"/>
    <n v="64"/>
    <x v="0"/>
    <x v="0"/>
  </r>
  <r>
    <s v="EMP01536"/>
    <x v="96"/>
    <x v="1"/>
    <n v="35"/>
    <x v="0"/>
    <x v="1"/>
    <x v="660"/>
    <x v="0"/>
    <x v="0"/>
    <x v="2"/>
    <s v="Linkedin"/>
    <x v="7"/>
    <s v="Bilal Khan"/>
    <n v="151044"/>
    <n v="48307"/>
    <n v="98.1"/>
    <n v="3"/>
    <n v="9"/>
    <n v="5"/>
    <n v="15"/>
    <n v="87"/>
    <x v="0"/>
    <x v="0"/>
  </r>
  <r>
    <s v="EMP01790"/>
    <x v="177"/>
    <x v="0"/>
    <n v="42"/>
    <x v="4"/>
    <x v="0"/>
    <x v="660"/>
    <x v="0"/>
    <x v="1"/>
    <x v="2"/>
    <s v="Campus"/>
    <x v="7"/>
    <s v="Sara Ali"/>
    <n v="129515"/>
    <n v="35959"/>
    <n v="88.5"/>
    <n v="5"/>
    <n v="6"/>
    <n v="5"/>
    <n v="8"/>
    <n v="80"/>
    <x v="0"/>
    <x v="0"/>
  </r>
  <r>
    <s v="EMP00191"/>
    <x v="199"/>
    <x v="1"/>
    <n v="32"/>
    <x v="7"/>
    <x v="2"/>
    <x v="661"/>
    <x v="0"/>
    <x v="0"/>
    <x v="4"/>
    <s v="Linkedin"/>
    <x v="5"/>
    <s v="Sara Ali"/>
    <n v="95248"/>
    <n v="24874"/>
    <n v="81.3"/>
    <n v="4"/>
    <n v="20"/>
    <n v="1"/>
    <n v="6"/>
    <n v="81"/>
    <x v="0"/>
    <x v="0"/>
  </r>
  <r>
    <s v="EMP00657"/>
    <x v="197"/>
    <x v="0"/>
    <n v="24"/>
    <x v="8"/>
    <x v="4"/>
    <x v="662"/>
    <x v="0"/>
    <x v="1"/>
    <x v="0"/>
    <s v="Website"/>
    <x v="7"/>
    <s v="Fatima Noor"/>
    <n v="187264"/>
    <n v="37306"/>
    <n v="99.2"/>
    <n v="6"/>
    <n v="11"/>
    <n v="3"/>
    <n v="14"/>
    <n v="68"/>
    <x v="0"/>
    <x v="0"/>
  </r>
  <r>
    <s v="EMP00887"/>
    <x v="155"/>
    <x v="0"/>
    <n v="56"/>
    <x v="0"/>
    <x v="2"/>
    <x v="662"/>
    <x v="1"/>
    <x v="0"/>
    <x v="0"/>
    <s v="Website"/>
    <x v="7"/>
    <s v="Sara Ali"/>
    <n v="55815"/>
    <n v="18632"/>
    <n v="90.8"/>
    <n v="8"/>
    <n v="6"/>
    <n v="2"/>
    <n v="29"/>
    <n v="93"/>
    <x v="0"/>
    <x v="1"/>
  </r>
  <r>
    <s v="EMP00109"/>
    <x v="85"/>
    <x v="1"/>
    <n v="57"/>
    <x v="0"/>
    <x v="3"/>
    <x v="663"/>
    <x v="0"/>
    <x v="1"/>
    <x v="4"/>
    <s v="Campus"/>
    <x v="5"/>
    <s v="Usman Tariq"/>
    <n v="154107"/>
    <n v="17912"/>
    <n v="80.5"/>
    <n v="6"/>
    <n v="2"/>
    <n v="2"/>
    <n v="40"/>
    <n v="72"/>
    <x v="0"/>
    <x v="0"/>
  </r>
  <r>
    <s v="EMP00119"/>
    <x v="105"/>
    <x v="0"/>
    <n v="52"/>
    <x v="2"/>
    <x v="1"/>
    <x v="663"/>
    <x v="0"/>
    <x v="0"/>
    <x v="4"/>
    <s v="Linkedin"/>
    <x v="5"/>
    <s v="Bilal Khan"/>
    <n v="38180"/>
    <n v="28289"/>
    <n v="96"/>
    <n v="1"/>
    <n v="29"/>
    <n v="3"/>
    <n v="37"/>
    <n v="86"/>
    <x v="1"/>
    <x v="0"/>
  </r>
  <r>
    <s v="EMP00854"/>
    <x v="5"/>
    <x v="0"/>
    <n v="35"/>
    <x v="2"/>
    <x v="4"/>
    <x v="663"/>
    <x v="0"/>
    <x v="1"/>
    <x v="0"/>
    <s v="Website"/>
    <x v="6"/>
    <s v="Usman Tariq"/>
    <n v="117600"/>
    <n v="31639"/>
    <n v="82.6"/>
    <n v="5"/>
    <n v="24"/>
    <n v="2"/>
    <n v="17"/>
    <n v="83"/>
    <x v="0"/>
    <x v="0"/>
  </r>
  <r>
    <s v="EMP01262"/>
    <x v="113"/>
    <x v="1"/>
    <n v="31"/>
    <x v="6"/>
    <x v="3"/>
    <x v="663"/>
    <x v="0"/>
    <x v="0"/>
    <x v="2"/>
    <s v="Linkedin"/>
    <x v="5"/>
    <s v="Usman Tariq"/>
    <n v="120351"/>
    <n v="42597"/>
    <n v="95.7"/>
    <n v="9"/>
    <n v="15"/>
    <n v="2"/>
    <n v="36"/>
    <n v="90"/>
    <x v="0"/>
    <x v="0"/>
  </r>
  <r>
    <s v="EMP01943"/>
    <x v="10"/>
    <x v="1"/>
    <n v="50"/>
    <x v="0"/>
    <x v="0"/>
    <x v="663"/>
    <x v="0"/>
    <x v="0"/>
    <x v="0"/>
    <s v="Website"/>
    <x v="3"/>
    <s v="Bilal Khan"/>
    <n v="174486"/>
    <n v="13868"/>
    <n v="86.2"/>
    <n v="2"/>
    <n v="12"/>
    <n v="3"/>
    <n v="6"/>
    <n v="72"/>
    <x v="0"/>
    <x v="0"/>
  </r>
  <r>
    <s v="EMP00534"/>
    <x v="90"/>
    <x v="0"/>
    <n v="32"/>
    <x v="8"/>
    <x v="3"/>
    <x v="664"/>
    <x v="0"/>
    <x v="2"/>
    <x v="1"/>
    <s v="Linkedin"/>
    <x v="0"/>
    <s v="Fatima Noor"/>
    <n v="182349"/>
    <n v="6669"/>
    <n v="91.2"/>
    <n v="0"/>
    <n v="28"/>
    <n v="4"/>
    <n v="25"/>
    <n v="86"/>
    <x v="0"/>
    <x v="0"/>
  </r>
  <r>
    <s v="EMP00693"/>
    <x v="132"/>
    <x v="1"/>
    <n v="42"/>
    <x v="5"/>
    <x v="4"/>
    <x v="664"/>
    <x v="0"/>
    <x v="2"/>
    <x v="4"/>
    <s v="Agency"/>
    <x v="7"/>
    <s v="Usman Tariq"/>
    <n v="139208"/>
    <n v="17044"/>
    <n v="96.7"/>
    <n v="4"/>
    <n v="18"/>
    <n v="4"/>
    <n v="18"/>
    <n v="84"/>
    <x v="0"/>
    <x v="0"/>
  </r>
  <r>
    <s v="EMP01423"/>
    <x v="32"/>
    <x v="1"/>
    <n v="31"/>
    <x v="5"/>
    <x v="5"/>
    <x v="664"/>
    <x v="0"/>
    <x v="1"/>
    <x v="1"/>
    <s v="Referral"/>
    <x v="3"/>
    <s v="Fatima Noor"/>
    <n v="53990"/>
    <n v="9588"/>
    <n v="97.1"/>
    <n v="6"/>
    <n v="21"/>
    <n v="5"/>
    <n v="9"/>
    <n v="92"/>
    <x v="0"/>
    <x v="0"/>
  </r>
  <r>
    <s v="EMP00227"/>
    <x v="160"/>
    <x v="1"/>
    <n v="26"/>
    <x v="1"/>
    <x v="6"/>
    <x v="665"/>
    <x v="0"/>
    <x v="0"/>
    <x v="0"/>
    <s v="Agency"/>
    <x v="1"/>
    <s v="Sara Ali"/>
    <n v="107207"/>
    <n v="12831"/>
    <n v="91.5"/>
    <n v="9"/>
    <n v="19"/>
    <n v="2"/>
    <n v="6"/>
    <n v="65"/>
    <x v="0"/>
    <x v="0"/>
  </r>
  <r>
    <s v="EMP00513"/>
    <x v="119"/>
    <x v="1"/>
    <n v="53"/>
    <x v="0"/>
    <x v="5"/>
    <x v="666"/>
    <x v="0"/>
    <x v="2"/>
    <x v="4"/>
    <s v="Campus"/>
    <x v="6"/>
    <s v="Fatima Noor"/>
    <n v="168808"/>
    <n v="29707"/>
    <n v="84.7"/>
    <n v="3"/>
    <n v="12"/>
    <n v="5"/>
    <n v="38"/>
    <n v="70"/>
    <x v="1"/>
    <x v="0"/>
  </r>
  <r>
    <s v="EMP00561"/>
    <x v="22"/>
    <x v="1"/>
    <n v="23"/>
    <x v="4"/>
    <x v="3"/>
    <x v="667"/>
    <x v="0"/>
    <x v="1"/>
    <x v="2"/>
    <s v="Agency"/>
    <x v="6"/>
    <s v="Usman Tariq"/>
    <n v="80852"/>
    <n v="46182"/>
    <n v="92.2"/>
    <n v="0"/>
    <n v="15"/>
    <n v="1"/>
    <n v="6"/>
    <n v="87"/>
    <x v="0"/>
    <x v="0"/>
  </r>
  <r>
    <s v="EMP00620"/>
    <x v="77"/>
    <x v="1"/>
    <n v="38"/>
    <x v="1"/>
    <x v="2"/>
    <x v="667"/>
    <x v="1"/>
    <x v="1"/>
    <x v="2"/>
    <s v="Linkedin"/>
    <x v="7"/>
    <s v="Usman Tariq"/>
    <n v="98705"/>
    <n v="22784"/>
    <n v="88.3"/>
    <n v="9"/>
    <n v="20"/>
    <n v="1"/>
    <n v="13"/>
    <n v="69"/>
    <x v="0"/>
    <x v="5"/>
  </r>
  <r>
    <s v="EMP00984"/>
    <x v="78"/>
    <x v="1"/>
    <n v="51"/>
    <x v="7"/>
    <x v="4"/>
    <x v="667"/>
    <x v="0"/>
    <x v="0"/>
    <x v="4"/>
    <s v="Campus"/>
    <x v="5"/>
    <s v="Sara Ali"/>
    <n v="130625"/>
    <n v="38014"/>
    <n v="95"/>
    <n v="7"/>
    <n v="11"/>
    <n v="2"/>
    <n v="29"/>
    <n v="77"/>
    <x v="0"/>
    <x v="0"/>
  </r>
  <r>
    <s v="EMP00051"/>
    <x v="39"/>
    <x v="1"/>
    <n v="33"/>
    <x v="6"/>
    <x v="1"/>
    <x v="668"/>
    <x v="0"/>
    <x v="1"/>
    <x v="0"/>
    <s v="Linkedin"/>
    <x v="7"/>
    <s v="Fatima Noor"/>
    <n v="95410"/>
    <n v="9032"/>
    <n v="81.8"/>
    <n v="6"/>
    <n v="22"/>
    <n v="4"/>
    <n v="12"/>
    <n v="94"/>
    <x v="1"/>
    <x v="0"/>
  </r>
  <r>
    <s v="EMP00225"/>
    <x v="31"/>
    <x v="0"/>
    <n v="42"/>
    <x v="4"/>
    <x v="1"/>
    <x v="668"/>
    <x v="0"/>
    <x v="2"/>
    <x v="1"/>
    <s v="Linkedin"/>
    <x v="1"/>
    <s v="Ahmed Raza"/>
    <n v="118774"/>
    <n v="49694"/>
    <n v="91.9"/>
    <n v="6"/>
    <n v="29"/>
    <n v="2"/>
    <n v="40"/>
    <n v="99"/>
    <x v="0"/>
    <x v="0"/>
  </r>
  <r>
    <s v="EMP00611"/>
    <x v="48"/>
    <x v="1"/>
    <n v="48"/>
    <x v="8"/>
    <x v="0"/>
    <x v="668"/>
    <x v="1"/>
    <x v="1"/>
    <x v="3"/>
    <s v="Linkedin"/>
    <x v="5"/>
    <s v="Sara Ali"/>
    <n v="94820"/>
    <n v="34588"/>
    <n v="88.1"/>
    <n v="9"/>
    <n v="26"/>
    <n v="2"/>
    <n v="26"/>
    <n v="95"/>
    <x v="0"/>
    <x v="4"/>
  </r>
  <r>
    <s v="EMP01093"/>
    <x v="143"/>
    <x v="0"/>
    <n v="23"/>
    <x v="7"/>
    <x v="3"/>
    <x v="668"/>
    <x v="0"/>
    <x v="0"/>
    <x v="2"/>
    <s v="Agency"/>
    <x v="5"/>
    <s v="Ahmed Raza"/>
    <n v="225233"/>
    <n v="23332"/>
    <n v="92.5"/>
    <n v="4"/>
    <n v="10"/>
    <n v="1"/>
    <n v="33"/>
    <n v="63"/>
    <x v="0"/>
    <x v="0"/>
  </r>
  <r>
    <s v="EMP00444"/>
    <x v="9"/>
    <x v="0"/>
    <n v="59"/>
    <x v="6"/>
    <x v="5"/>
    <x v="669"/>
    <x v="0"/>
    <x v="2"/>
    <x v="2"/>
    <s v="Website"/>
    <x v="7"/>
    <s v="Usman Tariq"/>
    <n v="236861"/>
    <n v="40934"/>
    <n v="80.8"/>
    <n v="0"/>
    <n v="22"/>
    <n v="3"/>
    <n v="4"/>
    <n v="60"/>
    <x v="0"/>
    <x v="0"/>
  </r>
  <r>
    <s v="EMP00971"/>
    <x v="198"/>
    <x v="1"/>
    <n v="49"/>
    <x v="5"/>
    <x v="4"/>
    <x v="669"/>
    <x v="0"/>
    <x v="1"/>
    <x v="2"/>
    <s v="Website"/>
    <x v="6"/>
    <s v="Usman Tariq"/>
    <n v="105081"/>
    <n v="43690"/>
    <n v="98.6"/>
    <n v="9"/>
    <n v="25"/>
    <n v="5"/>
    <n v="17"/>
    <n v="65"/>
    <x v="0"/>
    <x v="0"/>
  </r>
  <r>
    <s v="EMP00292"/>
    <x v="156"/>
    <x v="1"/>
    <n v="42"/>
    <x v="4"/>
    <x v="3"/>
    <x v="670"/>
    <x v="0"/>
    <x v="0"/>
    <x v="3"/>
    <s v="Referral"/>
    <x v="0"/>
    <s v="Ahmed Raza"/>
    <n v="85546"/>
    <n v="28687"/>
    <n v="98.4"/>
    <n v="0"/>
    <n v="28"/>
    <n v="1"/>
    <n v="19"/>
    <n v="94"/>
    <x v="0"/>
    <x v="0"/>
  </r>
  <r>
    <s v="EMP01744"/>
    <x v="53"/>
    <x v="0"/>
    <n v="40"/>
    <x v="0"/>
    <x v="4"/>
    <x v="670"/>
    <x v="0"/>
    <x v="2"/>
    <x v="3"/>
    <s v="Referral"/>
    <x v="5"/>
    <s v="Bilal Khan"/>
    <n v="214801"/>
    <n v="25720"/>
    <n v="91"/>
    <n v="2"/>
    <n v="3"/>
    <n v="2"/>
    <n v="16"/>
    <n v="85"/>
    <x v="0"/>
    <x v="0"/>
  </r>
  <r>
    <s v="EMP00136"/>
    <x v="193"/>
    <x v="0"/>
    <n v="44"/>
    <x v="6"/>
    <x v="1"/>
    <x v="671"/>
    <x v="0"/>
    <x v="1"/>
    <x v="4"/>
    <s v="Linkedin"/>
    <x v="5"/>
    <s v="Fatima Noor"/>
    <n v="61320"/>
    <n v="31304"/>
    <n v="93"/>
    <n v="1"/>
    <n v="17"/>
    <n v="4"/>
    <n v="24"/>
    <n v="91"/>
    <x v="0"/>
    <x v="0"/>
  </r>
  <r>
    <s v="EMP00592"/>
    <x v="40"/>
    <x v="1"/>
    <n v="55"/>
    <x v="1"/>
    <x v="7"/>
    <x v="671"/>
    <x v="0"/>
    <x v="2"/>
    <x v="0"/>
    <s v="Agency"/>
    <x v="7"/>
    <s v="Bilal Khan"/>
    <n v="90203"/>
    <n v="29858"/>
    <n v="89.3"/>
    <n v="1"/>
    <n v="10"/>
    <n v="4"/>
    <n v="39"/>
    <n v="79"/>
    <x v="1"/>
    <x v="0"/>
  </r>
  <r>
    <s v="EMP01866"/>
    <x v="122"/>
    <x v="1"/>
    <n v="42"/>
    <x v="2"/>
    <x v="3"/>
    <x v="671"/>
    <x v="0"/>
    <x v="0"/>
    <x v="0"/>
    <s v="Linkedin"/>
    <x v="5"/>
    <s v="Sara Ali"/>
    <n v="149569"/>
    <n v="11316"/>
    <n v="93.7"/>
    <n v="1"/>
    <n v="14"/>
    <n v="5"/>
    <n v="11"/>
    <n v="100"/>
    <x v="0"/>
    <x v="0"/>
  </r>
  <r>
    <s v="EMP00326"/>
    <x v="132"/>
    <x v="0"/>
    <n v="56"/>
    <x v="4"/>
    <x v="2"/>
    <x v="672"/>
    <x v="0"/>
    <x v="2"/>
    <x v="3"/>
    <s v="Linkedin"/>
    <x v="6"/>
    <s v="Fatima Noor"/>
    <n v="224092"/>
    <n v="45924"/>
    <n v="98"/>
    <n v="1"/>
    <n v="1"/>
    <n v="2"/>
    <n v="12"/>
    <n v="67"/>
    <x v="0"/>
    <x v="0"/>
  </r>
  <r>
    <s v="EMP00450"/>
    <x v="138"/>
    <x v="0"/>
    <n v="51"/>
    <x v="3"/>
    <x v="2"/>
    <x v="672"/>
    <x v="0"/>
    <x v="1"/>
    <x v="4"/>
    <s v="Linkedin"/>
    <x v="1"/>
    <s v="Sara Ali"/>
    <n v="192392"/>
    <n v="9077"/>
    <n v="97.8"/>
    <n v="10"/>
    <n v="17"/>
    <n v="4"/>
    <n v="9"/>
    <n v="90"/>
    <x v="0"/>
    <x v="0"/>
  </r>
  <r>
    <s v="EMP00726"/>
    <x v="81"/>
    <x v="1"/>
    <n v="28"/>
    <x v="1"/>
    <x v="1"/>
    <x v="673"/>
    <x v="0"/>
    <x v="2"/>
    <x v="4"/>
    <s v="Referral"/>
    <x v="7"/>
    <s v="Usman Tariq"/>
    <n v="66887"/>
    <n v="26832"/>
    <n v="88.3"/>
    <n v="8"/>
    <n v="13"/>
    <n v="4"/>
    <n v="39"/>
    <n v="81"/>
    <x v="0"/>
    <x v="0"/>
  </r>
  <r>
    <s v="EMP00833"/>
    <x v="191"/>
    <x v="1"/>
    <n v="32"/>
    <x v="5"/>
    <x v="6"/>
    <x v="674"/>
    <x v="0"/>
    <x v="1"/>
    <x v="1"/>
    <s v="Referral"/>
    <x v="6"/>
    <s v="Fatima Noor"/>
    <n v="223868"/>
    <n v="15586"/>
    <n v="91"/>
    <n v="8"/>
    <n v="12"/>
    <n v="3"/>
    <n v="27"/>
    <n v="89"/>
    <x v="1"/>
    <x v="0"/>
  </r>
  <r>
    <s v="EMP01571"/>
    <x v="81"/>
    <x v="1"/>
    <n v="56"/>
    <x v="4"/>
    <x v="7"/>
    <x v="674"/>
    <x v="1"/>
    <x v="2"/>
    <x v="3"/>
    <s v="Campus"/>
    <x v="2"/>
    <s v="Bilal Khan"/>
    <n v="93108"/>
    <n v="7865"/>
    <n v="89.4"/>
    <n v="2"/>
    <n v="26"/>
    <n v="3"/>
    <n v="37"/>
    <n v="82"/>
    <x v="1"/>
    <x v="4"/>
  </r>
  <r>
    <s v="EMP01868"/>
    <x v="37"/>
    <x v="0"/>
    <n v="24"/>
    <x v="1"/>
    <x v="7"/>
    <x v="674"/>
    <x v="0"/>
    <x v="1"/>
    <x v="1"/>
    <s v="Linkedin"/>
    <x v="7"/>
    <s v="Sara Ali"/>
    <n v="52044"/>
    <n v="42851"/>
    <n v="81.099999999999994"/>
    <n v="10"/>
    <n v="2"/>
    <n v="2"/>
    <n v="20"/>
    <n v="71"/>
    <x v="0"/>
    <x v="0"/>
  </r>
  <r>
    <s v="EMP00129"/>
    <x v="47"/>
    <x v="1"/>
    <n v="23"/>
    <x v="0"/>
    <x v="7"/>
    <x v="675"/>
    <x v="0"/>
    <x v="0"/>
    <x v="2"/>
    <s v="Website"/>
    <x v="0"/>
    <s v="Ahmed Raza"/>
    <n v="157342"/>
    <n v="44301"/>
    <n v="80.8"/>
    <n v="10"/>
    <n v="18"/>
    <n v="5"/>
    <n v="4"/>
    <n v="95"/>
    <x v="0"/>
    <x v="0"/>
  </r>
  <r>
    <s v="EMP00771"/>
    <x v="119"/>
    <x v="0"/>
    <n v="52"/>
    <x v="4"/>
    <x v="5"/>
    <x v="675"/>
    <x v="1"/>
    <x v="0"/>
    <x v="3"/>
    <s v="Referral"/>
    <x v="2"/>
    <s v="Bilal Khan"/>
    <n v="199953"/>
    <n v="40665"/>
    <n v="81.099999999999994"/>
    <n v="0"/>
    <n v="13"/>
    <n v="1"/>
    <n v="38"/>
    <n v="62"/>
    <x v="0"/>
    <x v="4"/>
  </r>
  <r>
    <s v="EMP00926"/>
    <x v="147"/>
    <x v="0"/>
    <n v="37"/>
    <x v="4"/>
    <x v="5"/>
    <x v="675"/>
    <x v="0"/>
    <x v="2"/>
    <x v="3"/>
    <s v="Agency"/>
    <x v="7"/>
    <s v="Bilal Khan"/>
    <n v="180046"/>
    <n v="47502"/>
    <n v="81.900000000000006"/>
    <n v="7"/>
    <n v="22"/>
    <n v="2"/>
    <n v="39"/>
    <n v="83"/>
    <x v="0"/>
    <x v="0"/>
  </r>
  <r>
    <s v="EMP01021"/>
    <x v="11"/>
    <x v="1"/>
    <n v="51"/>
    <x v="7"/>
    <x v="2"/>
    <x v="675"/>
    <x v="0"/>
    <x v="0"/>
    <x v="2"/>
    <s v="Agency"/>
    <x v="1"/>
    <s v="Bilal Khan"/>
    <n v="236762"/>
    <n v="21146"/>
    <n v="91.3"/>
    <n v="3"/>
    <n v="0"/>
    <n v="5"/>
    <n v="9"/>
    <n v="100"/>
    <x v="1"/>
    <x v="0"/>
  </r>
  <r>
    <s v="EMP01310"/>
    <x v="113"/>
    <x v="1"/>
    <n v="45"/>
    <x v="1"/>
    <x v="7"/>
    <x v="675"/>
    <x v="0"/>
    <x v="0"/>
    <x v="4"/>
    <s v="Referral"/>
    <x v="2"/>
    <s v="Fatima Noor"/>
    <n v="105963"/>
    <n v="21133"/>
    <n v="88"/>
    <n v="10"/>
    <n v="11"/>
    <n v="3"/>
    <n v="25"/>
    <n v="92"/>
    <x v="0"/>
    <x v="0"/>
  </r>
  <r>
    <s v="EMP01361"/>
    <x v="49"/>
    <x v="0"/>
    <n v="45"/>
    <x v="6"/>
    <x v="6"/>
    <x v="675"/>
    <x v="0"/>
    <x v="0"/>
    <x v="1"/>
    <s v="Linkedin"/>
    <x v="2"/>
    <s v="Ahmed Raza"/>
    <n v="249873"/>
    <n v="15701"/>
    <n v="86.8"/>
    <n v="3"/>
    <n v="30"/>
    <n v="2"/>
    <n v="2"/>
    <n v="71"/>
    <x v="0"/>
    <x v="0"/>
  </r>
  <r>
    <s v="EMP01547"/>
    <x v="168"/>
    <x v="0"/>
    <n v="45"/>
    <x v="6"/>
    <x v="2"/>
    <x v="675"/>
    <x v="0"/>
    <x v="2"/>
    <x v="1"/>
    <s v="Agency"/>
    <x v="4"/>
    <s v="Fatima Noor"/>
    <n v="44030"/>
    <n v="29534"/>
    <n v="84.3"/>
    <n v="5"/>
    <n v="6"/>
    <n v="4"/>
    <n v="14"/>
    <n v="70"/>
    <x v="0"/>
    <x v="0"/>
  </r>
  <r>
    <s v="EMP01675"/>
    <x v="165"/>
    <x v="1"/>
    <n v="51"/>
    <x v="2"/>
    <x v="7"/>
    <x v="675"/>
    <x v="0"/>
    <x v="0"/>
    <x v="4"/>
    <s v="Campus"/>
    <x v="2"/>
    <s v="Usman Tariq"/>
    <n v="39846"/>
    <n v="40691"/>
    <n v="89.3"/>
    <n v="5"/>
    <n v="25"/>
    <n v="2"/>
    <n v="23"/>
    <n v="80"/>
    <x v="0"/>
    <x v="0"/>
  </r>
  <r>
    <s v="EMP00038"/>
    <x v="177"/>
    <x v="0"/>
    <n v="30"/>
    <x v="5"/>
    <x v="6"/>
    <x v="676"/>
    <x v="0"/>
    <x v="1"/>
    <x v="3"/>
    <s v="Campus"/>
    <x v="7"/>
    <s v="Ahmed Raza"/>
    <n v="147081"/>
    <n v="38162"/>
    <n v="95"/>
    <n v="7"/>
    <n v="9"/>
    <n v="4"/>
    <n v="21"/>
    <n v="96"/>
    <x v="0"/>
    <x v="0"/>
  </r>
  <r>
    <s v="EMP00209"/>
    <x v="148"/>
    <x v="1"/>
    <n v="22"/>
    <x v="3"/>
    <x v="7"/>
    <x v="676"/>
    <x v="0"/>
    <x v="0"/>
    <x v="2"/>
    <s v="Website"/>
    <x v="4"/>
    <s v="Usman Tariq"/>
    <n v="214667"/>
    <n v="14566"/>
    <n v="88.9"/>
    <n v="0"/>
    <n v="26"/>
    <n v="5"/>
    <n v="34"/>
    <n v="92"/>
    <x v="0"/>
    <x v="0"/>
  </r>
  <r>
    <s v="EMP00808"/>
    <x v="19"/>
    <x v="1"/>
    <n v="22"/>
    <x v="5"/>
    <x v="6"/>
    <x v="676"/>
    <x v="0"/>
    <x v="1"/>
    <x v="0"/>
    <s v="Agency"/>
    <x v="0"/>
    <s v="Sara Ali"/>
    <n v="199528"/>
    <n v="39986"/>
    <n v="93"/>
    <n v="4"/>
    <n v="6"/>
    <n v="1"/>
    <n v="23"/>
    <n v="78"/>
    <x v="0"/>
    <x v="0"/>
  </r>
  <r>
    <s v="EMP00239"/>
    <x v="38"/>
    <x v="0"/>
    <n v="43"/>
    <x v="8"/>
    <x v="2"/>
    <x v="677"/>
    <x v="0"/>
    <x v="2"/>
    <x v="3"/>
    <s v="Website"/>
    <x v="3"/>
    <s v="Sara Ali"/>
    <n v="142417"/>
    <n v="12071"/>
    <n v="86.9"/>
    <n v="10"/>
    <n v="17"/>
    <n v="5"/>
    <n v="25"/>
    <n v="84"/>
    <x v="1"/>
    <x v="0"/>
  </r>
  <r>
    <s v="EMP00568"/>
    <x v="27"/>
    <x v="1"/>
    <n v="27"/>
    <x v="7"/>
    <x v="2"/>
    <x v="677"/>
    <x v="0"/>
    <x v="0"/>
    <x v="0"/>
    <s v="Linkedin"/>
    <x v="4"/>
    <s v="Ahmed Raza"/>
    <n v="136286"/>
    <n v="40991"/>
    <n v="98.7"/>
    <n v="3"/>
    <n v="29"/>
    <n v="1"/>
    <n v="6"/>
    <n v="83"/>
    <x v="0"/>
    <x v="0"/>
  </r>
  <r>
    <s v="EMP00886"/>
    <x v="20"/>
    <x v="0"/>
    <n v="45"/>
    <x v="0"/>
    <x v="6"/>
    <x v="677"/>
    <x v="0"/>
    <x v="2"/>
    <x v="2"/>
    <s v="Referral"/>
    <x v="4"/>
    <s v="Sara Ali"/>
    <n v="42305"/>
    <n v="22823"/>
    <n v="82.7"/>
    <n v="0"/>
    <n v="20"/>
    <n v="5"/>
    <n v="7"/>
    <n v="75"/>
    <x v="0"/>
    <x v="0"/>
  </r>
  <r>
    <s v="EMP01254"/>
    <x v="140"/>
    <x v="1"/>
    <n v="28"/>
    <x v="2"/>
    <x v="2"/>
    <x v="677"/>
    <x v="0"/>
    <x v="0"/>
    <x v="2"/>
    <s v="Website"/>
    <x v="6"/>
    <s v="Bilal Khan"/>
    <n v="192860"/>
    <n v="14696"/>
    <n v="88"/>
    <n v="4"/>
    <n v="29"/>
    <n v="3"/>
    <n v="19"/>
    <n v="88"/>
    <x v="0"/>
    <x v="0"/>
  </r>
  <r>
    <s v="EMP00102"/>
    <x v="105"/>
    <x v="1"/>
    <n v="53"/>
    <x v="5"/>
    <x v="4"/>
    <x v="678"/>
    <x v="0"/>
    <x v="1"/>
    <x v="2"/>
    <s v="Website"/>
    <x v="6"/>
    <s v="Fatima Noor"/>
    <n v="42159"/>
    <n v="21179"/>
    <n v="91.3"/>
    <n v="6"/>
    <n v="3"/>
    <n v="4"/>
    <n v="30"/>
    <n v="75"/>
    <x v="0"/>
    <x v="0"/>
  </r>
  <r>
    <s v="EMP00509"/>
    <x v="84"/>
    <x v="0"/>
    <n v="22"/>
    <x v="3"/>
    <x v="1"/>
    <x v="678"/>
    <x v="0"/>
    <x v="0"/>
    <x v="1"/>
    <s v="Website"/>
    <x v="1"/>
    <s v="Fatima Noor"/>
    <n v="59323"/>
    <n v="43982"/>
    <n v="97.9"/>
    <n v="10"/>
    <n v="20"/>
    <n v="1"/>
    <n v="8"/>
    <n v="86"/>
    <x v="0"/>
    <x v="0"/>
  </r>
  <r>
    <s v="EMP00661"/>
    <x v="190"/>
    <x v="0"/>
    <n v="22"/>
    <x v="3"/>
    <x v="5"/>
    <x v="678"/>
    <x v="0"/>
    <x v="0"/>
    <x v="3"/>
    <s v="Referral"/>
    <x v="5"/>
    <s v="Usman Tariq"/>
    <n v="68979"/>
    <n v="28443"/>
    <n v="92.4"/>
    <n v="9"/>
    <n v="29"/>
    <n v="3"/>
    <n v="20"/>
    <n v="71"/>
    <x v="0"/>
    <x v="0"/>
  </r>
  <r>
    <s v="EMP01550"/>
    <x v="97"/>
    <x v="0"/>
    <n v="52"/>
    <x v="8"/>
    <x v="3"/>
    <x v="678"/>
    <x v="0"/>
    <x v="1"/>
    <x v="0"/>
    <s v="Linkedin"/>
    <x v="1"/>
    <s v="Usman Tariq"/>
    <n v="215639"/>
    <n v="24533"/>
    <n v="95.3"/>
    <n v="1"/>
    <n v="16"/>
    <n v="5"/>
    <n v="5"/>
    <n v="70"/>
    <x v="0"/>
    <x v="0"/>
  </r>
  <r>
    <s v="EMP01754"/>
    <x v="158"/>
    <x v="1"/>
    <n v="22"/>
    <x v="0"/>
    <x v="5"/>
    <x v="678"/>
    <x v="0"/>
    <x v="2"/>
    <x v="2"/>
    <s v="Agency"/>
    <x v="0"/>
    <s v="Fatima Noor"/>
    <n v="200953"/>
    <n v="16589"/>
    <n v="85.1"/>
    <n v="9"/>
    <n v="28"/>
    <n v="4"/>
    <n v="15"/>
    <n v="61"/>
    <x v="0"/>
    <x v="0"/>
  </r>
  <r>
    <s v="EMP01911"/>
    <x v="150"/>
    <x v="0"/>
    <n v="22"/>
    <x v="1"/>
    <x v="1"/>
    <x v="678"/>
    <x v="0"/>
    <x v="1"/>
    <x v="0"/>
    <s v="Agency"/>
    <x v="0"/>
    <s v="Bilal Khan"/>
    <n v="126538"/>
    <n v="26661"/>
    <n v="98.5"/>
    <n v="9"/>
    <n v="30"/>
    <n v="4"/>
    <n v="26"/>
    <n v="61"/>
    <x v="0"/>
    <x v="0"/>
  </r>
  <r>
    <s v="EMP00839"/>
    <x v="27"/>
    <x v="0"/>
    <n v="40"/>
    <x v="8"/>
    <x v="2"/>
    <x v="679"/>
    <x v="0"/>
    <x v="0"/>
    <x v="4"/>
    <s v="Referral"/>
    <x v="0"/>
    <s v="Bilal Khan"/>
    <n v="203145"/>
    <n v="10013"/>
    <n v="89.4"/>
    <n v="0"/>
    <n v="22"/>
    <n v="3"/>
    <n v="35"/>
    <n v="87"/>
    <x v="0"/>
    <x v="0"/>
  </r>
  <r>
    <s v="EMP01252"/>
    <x v="115"/>
    <x v="1"/>
    <n v="26"/>
    <x v="1"/>
    <x v="0"/>
    <x v="679"/>
    <x v="0"/>
    <x v="0"/>
    <x v="0"/>
    <s v="Agency"/>
    <x v="5"/>
    <s v="Usman Tariq"/>
    <n v="37824"/>
    <n v="30605"/>
    <n v="98.8"/>
    <n v="6"/>
    <n v="15"/>
    <n v="2"/>
    <n v="7"/>
    <n v="90"/>
    <x v="0"/>
    <x v="0"/>
  </r>
  <r>
    <s v="EMP01991"/>
    <x v="150"/>
    <x v="1"/>
    <n v="53"/>
    <x v="0"/>
    <x v="4"/>
    <x v="679"/>
    <x v="0"/>
    <x v="0"/>
    <x v="2"/>
    <s v="Linkedin"/>
    <x v="1"/>
    <s v="Sara Ali"/>
    <n v="98653"/>
    <n v="43135"/>
    <n v="97.1"/>
    <n v="2"/>
    <n v="6"/>
    <n v="1"/>
    <n v="5"/>
    <n v="80"/>
    <x v="0"/>
    <x v="0"/>
  </r>
  <r>
    <s v="EMP00176"/>
    <x v="191"/>
    <x v="0"/>
    <n v="48"/>
    <x v="0"/>
    <x v="4"/>
    <x v="680"/>
    <x v="0"/>
    <x v="1"/>
    <x v="0"/>
    <s v="Agency"/>
    <x v="7"/>
    <s v="Ahmed Raza"/>
    <n v="209456"/>
    <n v="37261"/>
    <n v="87.9"/>
    <n v="6"/>
    <n v="7"/>
    <n v="3"/>
    <n v="21"/>
    <n v="79"/>
    <x v="0"/>
    <x v="0"/>
  </r>
  <r>
    <s v="EMP01002"/>
    <x v="132"/>
    <x v="0"/>
    <n v="26"/>
    <x v="5"/>
    <x v="0"/>
    <x v="680"/>
    <x v="0"/>
    <x v="2"/>
    <x v="0"/>
    <s v="Referral"/>
    <x v="0"/>
    <s v="Bilal Khan"/>
    <n v="40509"/>
    <n v="41600"/>
    <n v="94.3"/>
    <n v="7"/>
    <n v="0"/>
    <n v="2"/>
    <n v="36"/>
    <n v="70"/>
    <x v="0"/>
    <x v="0"/>
  </r>
  <r>
    <s v="EMP01893"/>
    <x v="182"/>
    <x v="1"/>
    <n v="59"/>
    <x v="3"/>
    <x v="5"/>
    <x v="680"/>
    <x v="0"/>
    <x v="2"/>
    <x v="3"/>
    <s v="Referral"/>
    <x v="3"/>
    <s v="Sara Ali"/>
    <n v="101507"/>
    <n v="47322"/>
    <n v="85.1"/>
    <n v="10"/>
    <n v="11"/>
    <n v="5"/>
    <n v="22"/>
    <n v="83"/>
    <x v="0"/>
    <x v="0"/>
  </r>
  <r>
    <s v="EMP00181"/>
    <x v="170"/>
    <x v="0"/>
    <n v="42"/>
    <x v="1"/>
    <x v="1"/>
    <x v="681"/>
    <x v="0"/>
    <x v="1"/>
    <x v="3"/>
    <s v="Linkedin"/>
    <x v="5"/>
    <s v="Sara Ali"/>
    <n v="40050"/>
    <n v="31201"/>
    <n v="92.3"/>
    <n v="6"/>
    <n v="16"/>
    <n v="4"/>
    <n v="32"/>
    <n v="89"/>
    <x v="1"/>
    <x v="0"/>
  </r>
  <r>
    <s v="EMP00535"/>
    <x v="50"/>
    <x v="0"/>
    <n v="28"/>
    <x v="7"/>
    <x v="6"/>
    <x v="681"/>
    <x v="0"/>
    <x v="2"/>
    <x v="4"/>
    <s v="Linkedin"/>
    <x v="6"/>
    <s v="Sara Ali"/>
    <n v="58938"/>
    <n v="30781"/>
    <n v="90.1"/>
    <n v="2"/>
    <n v="21"/>
    <n v="4"/>
    <n v="32"/>
    <n v="77"/>
    <x v="0"/>
    <x v="0"/>
  </r>
  <r>
    <s v="EMP00230"/>
    <x v="111"/>
    <x v="1"/>
    <n v="23"/>
    <x v="2"/>
    <x v="1"/>
    <x v="682"/>
    <x v="0"/>
    <x v="2"/>
    <x v="3"/>
    <s v="Campus"/>
    <x v="2"/>
    <s v="Bilal Khan"/>
    <n v="41380"/>
    <n v="32744"/>
    <n v="81.8"/>
    <n v="2"/>
    <n v="25"/>
    <n v="2"/>
    <n v="18"/>
    <n v="89"/>
    <x v="0"/>
    <x v="0"/>
  </r>
  <r>
    <s v="EMP00273"/>
    <x v="134"/>
    <x v="0"/>
    <n v="37"/>
    <x v="3"/>
    <x v="4"/>
    <x v="682"/>
    <x v="0"/>
    <x v="0"/>
    <x v="3"/>
    <s v="Website"/>
    <x v="5"/>
    <s v="Fatima Noor"/>
    <n v="150956"/>
    <n v="22317"/>
    <n v="93.4"/>
    <n v="5"/>
    <n v="12"/>
    <n v="1"/>
    <n v="28"/>
    <n v="62"/>
    <x v="0"/>
    <x v="0"/>
  </r>
  <r>
    <s v="EMP00374"/>
    <x v="74"/>
    <x v="0"/>
    <n v="40"/>
    <x v="3"/>
    <x v="5"/>
    <x v="682"/>
    <x v="0"/>
    <x v="2"/>
    <x v="4"/>
    <s v="Website"/>
    <x v="7"/>
    <s v="Usman Tariq"/>
    <n v="247565"/>
    <n v="44532"/>
    <n v="81.7"/>
    <n v="0"/>
    <n v="26"/>
    <n v="1"/>
    <n v="27"/>
    <n v="81"/>
    <x v="1"/>
    <x v="0"/>
  </r>
  <r>
    <s v="EMP01206"/>
    <x v="45"/>
    <x v="1"/>
    <n v="42"/>
    <x v="3"/>
    <x v="6"/>
    <x v="682"/>
    <x v="0"/>
    <x v="2"/>
    <x v="2"/>
    <s v="Referral"/>
    <x v="2"/>
    <s v="Fatima Noor"/>
    <n v="78079"/>
    <n v="40754"/>
    <n v="88.7"/>
    <n v="0"/>
    <n v="11"/>
    <n v="4"/>
    <n v="38"/>
    <n v="63"/>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7B29FD-1058-4194-B6DE-1F5AB3885580}" name="PT_TopSalary" cacheId="5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L2:AM203" firstHeaderRow="1" firstDataRow="1" firstDataCol="1"/>
  <pivotFields count="25">
    <pivotField showAll="0"/>
    <pivotField axis="axisRow" showAll="0" sortType="descending">
      <items count="201">
        <item x="41"/>
        <item x="163"/>
        <item x="14"/>
        <item x="55"/>
        <item x="162"/>
        <item x="133"/>
        <item x="149"/>
        <item x="34"/>
        <item x="198"/>
        <item x="129"/>
        <item x="128"/>
        <item x="134"/>
        <item x="170"/>
        <item x="12"/>
        <item x="152"/>
        <item x="104"/>
        <item x="37"/>
        <item x="179"/>
        <item x="119"/>
        <item x="75"/>
        <item x="122"/>
        <item x="171"/>
        <item x="168"/>
        <item x="3"/>
        <item x="190"/>
        <item x="95"/>
        <item x="150"/>
        <item x="173"/>
        <item x="7"/>
        <item x="108"/>
        <item x="178"/>
        <item x="138"/>
        <item x="82"/>
        <item x="67"/>
        <item x="5"/>
        <item x="147"/>
        <item x="0"/>
        <item x="192"/>
        <item x="81"/>
        <item x="166"/>
        <item x="126"/>
        <item x="54"/>
        <item x="124"/>
        <item x="136"/>
        <item x="43"/>
        <item x="184"/>
        <item x="199"/>
        <item x="181"/>
        <item x="101"/>
        <item x="18"/>
        <item x="47"/>
        <item x="111"/>
        <item x="8"/>
        <item x="2"/>
        <item x="151"/>
        <item x="148"/>
        <item x="28"/>
        <item x="112"/>
        <item x="110"/>
        <item x="114"/>
        <item x="113"/>
        <item x="79"/>
        <item x="120"/>
        <item x="77"/>
        <item x="13"/>
        <item x="56"/>
        <item x="61"/>
        <item x="24"/>
        <item x="60"/>
        <item x="11"/>
        <item x="121"/>
        <item x="189"/>
        <item x="156"/>
        <item x="20"/>
        <item x="26"/>
        <item x="123"/>
        <item x="78"/>
        <item x="188"/>
        <item x="39"/>
        <item x="93"/>
        <item x="174"/>
        <item x="70"/>
        <item x="71"/>
        <item x="106"/>
        <item x="144"/>
        <item x="132"/>
        <item x="38"/>
        <item x="115"/>
        <item x="185"/>
        <item x="66"/>
        <item x="154"/>
        <item x="35"/>
        <item x="73"/>
        <item x="92"/>
        <item x="186"/>
        <item x="94"/>
        <item x="76"/>
        <item x="50"/>
        <item x="64"/>
        <item x="30"/>
        <item x="176"/>
        <item x="4"/>
        <item x="42"/>
        <item x="9"/>
        <item x="103"/>
        <item x="25"/>
        <item x="157"/>
        <item x="84"/>
        <item x="195"/>
        <item x="87"/>
        <item x="10"/>
        <item x="72"/>
        <item x="48"/>
        <item x="177"/>
        <item x="32"/>
        <item x="145"/>
        <item x="146"/>
        <item x="33"/>
        <item x="86"/>
        <item x="135"/>
        <item x="85"/>
        <item x="153"/>
        <item x="89"/>
        <item x="187"/>
        <item x="97"/>
        <item x="83"/>
        <item x="57"/>
        <item x="116"/>
        <item x="1"/>
        <item x="46"/>
        <item x="40"/>
        <item x="118"/>
        <item x="158"/>
        <item x="58"/>
        <item x="109"/>
        <item x="69"/>
        <item x="91"/>
        <item x="105"/>
        <item x="21"/>
        <item x="167"/>
        <item x="159"/>
        <item x="16"/>
        <item x="143"/>
        <item x="161"/>
        <item x="23"/>
        <item x="52"/>
        <item x="17"/>
        <item x="196"/>
        <item x="80"/>
        <item x="63"/>
        <item x="62"/>
        <item x="172"/>
        <item x="165"/>
        <item x="53"/>
        <item x="180"/>
        <item x="125"/>
        <item x="45"/>
        <item x="74"/>
        <item x="99"/>
        <item x="22"/>
        <item x="183"/>
        <item x="36"/>
        <item x="194"/>
        <item x="59"/>
        <item x="127"/>
        <item x="117"/>
        <item x="65"/>
        <item x="68"/>
        <item x="90"/>
        <item x="96"/>
        <item x="160"/>
        <item x="102"/>
        <item x="193"/>
        <item x="31"/>
        <item x="141"/>
        <item x="19"/>
        <item x="191"/>
        <item x="137"/>
        <item x="29"/>
        <item x="131"/>
        <item x="98"/>
        <item x="51"/>
        <item x="142"/>
        <item x="107"/>
        <item x="27"/>
        <item x="88"/>
        <item x="140"/>
        <item x="44"/>
        <item x="6"/>
        <item x="130"/>
        <item x="175"/>
        <item x="100"/>
        <item x="182"/>
        <item x="139"/>
        <item x="164"/>
        <item x="49"/>
        <item x="15"/>
        <item x="169"/>
        <item x="155"/>
        <item x="197"/>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dataField="1"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1"/>
  </rowFields>
  <rowItems count="201">
    <i>
      <x v="35"/>
    </i>
    <i>
      <x v="153"/>
    </i>
    <i>
      <x v="27"/>
    </i>
    <i>
      <x v="120"/>
    </i>
    <i>
      <x v="73"/>
    </i>
    <i>
      <x v="68"/>
    </i>
    <i>
      <x v="63"/>
    </i>
    <i>
      <x v="87"/>
    </i>
    <i>
      <x v="190"/>
    </i>
    <i>
      <x v="159"/>
    </i>
    <i>
      <x v="196"/>
    </i>
    <i>
      <x v="9"/>
    </i>
    <i>
      <x v="59"/>
    </i>
    <i>
      <x v="155"/>
    </i>
    <i>
      <x/>
    </i>
    <i>
      <x v="3"/>
    </i>
    <i>
      <x v="136"/>
    </i>
    <i>
      <x v="99"/>
    </i>
    <i>
      <x v="18"/>
    </i>
    <i>
      <x v="83"/>
    </i>
    <i>
      <x v="194"/>
    </i>
    <i>
      <x v="13"/>
    </i>
    <i>
      <x v="135"/>
    </i>
    <i>
      <x v="62"/>
    </i>
    <i>
      <x v="145"/>
    </i>
    <i>
      <x v="146"/>
    </i>
    <i>
      <x v="52"/>
    </i>
    <i>
      <x v="95"/>
    </i>
    <i>
      <x v="182"/>
    </i>
    <i>
      <x v="10"/>
    </i>
    <i>
      <x v="161"/>
    </i>
    <i>
      <x v="191"/>
    </i>
    <i>
      <x v="38"/>
    </i>
    <i>
      <x v="69"/>
    </i>
    <i>
      <x v="102"/>
    </i>
    <i>
      <x v="21"/>
    </i>
    <i>
      <x v="104"/>
    </i>
    <i>
      <x v="183"/>
    </i>
    <i>
      <x v="96"/>
    </i>
    <i>
      <x v="15"/>
    </i>
    <i>
      <x v="48"/>
    </i>
    <i>
      <x v="98"/>
    </i>
    <i>
      <x v="133"/>
    </i>
    <i>
      <x v="115"/>
    </i>
    <i>
      <x v="105"/>
    </i>
    <i>
      <x v="128"/>
    </i>
    <i>
      <x v="94"/>
    </i>
    <i>
      <x v="165"/>
    </i>
    <i>
      <x v="131"/>
    </i>
    <i>
      <x v="126"/>
    </i>
    <i>
      <x v="91"/>
    </i>
    <i>
      <x v="163"/>
    </i>
    <i>
      <x v="57"/>
    </i>
    <i>
      <x v="61"/>
    </i>
    <i>
      <x v="140"/>
    </i>
    <i>
      <x v="100"/>
    </i>
    <i>
      <x v="195"/>
    </i>
    <i>
      <x v="156"/>
    </i>
    <i>
      <x v="138"/>
    </i>
    <i>
      <x v="7"/>
    </i>
    <i>
      <x v="168"/>
    </i>
    <i>
      <x v="198"/>
    </i>
    <i>
      <x v="67"/>
    </i>
    <i>
      <x v="86"/>
    </i>
    <i>
      <x v="44"/>
    </i>
    <i>
      <x v="143"/>
    </i>
    <i>
      <x v="89"/>
    </i>
    <i>
      <x v="122"/>
    </i>
    <i>
      <x v="97"/>
    </i>
    <i>
      <x v="112"/>
    </i>
    <i>
      <x v="90"/>
    </i>
    <i>
      <x v="130"/>
    </i>
    <i>
      <x v="30"/>
    </i>
    <i>
      <x v="137"/>
    </i>
    <i>
      <x v="23"/>
    </i>
    <i>
      <x v="5"/>
    </i>
    <i>
      <x v="166"/>
    </i>
    <i>
      <x v="167"/>
    </i>
    <i>
      <x v="109"/>
    </i>
    <i>
      <x v="187"/>
    </i>
    <i>
      <x v="175"/>
    </i>
    <i>
      <x v="142"/>
    </i>
    <i>
      <x v="169"/>
    </i>
    <i>
      <x v="51"/>
    </i>
    <i>
      <x v="132"/>
    </i>
    <i>
      <x v="150"/>
    </i>
    <i>
      <x v="177"/>
    </i>
    <i>
      <x v="180"/>
    </i>
    <i>
      <x v="43"/>
    </i>
    <i>
      <x v="85"/>
    </i>
    <i>
      <x v="157"/>
    </i>
    <i>
      <x v="70"/>
    </i>
    <i>
      <x v="2"/>
    </i>
    <i>
      <x v="25"/>
    </i>
    <i>
      <x v="193"/>
    </i>
    <i>
      <x v="127"/>
    </i>
    <i>
      <x v="16"/>
    </i>
    <i>
      <x v="158"/>
    </i>
    <i>
      <x v="78"/>
    </i>
    <i>
      <x v="49"/>
    </i>
    <i>
      <x v="31"/>
    </i>
    <i>
      <x v="173"/>
    </i>
    <i>
      <x v="121"/>
    </i>
    <i>
      <x v="171"/>
    </i>
    <i>
      <x v="125"/>
    </i>
    <i>
      <x v="12"/>
    </i>
    <i>
      <x v="154"/>
    </i>
    <i>
      <x v="178"/>
    </i>
    <i>
      <x v="162"/>
    </i>
    <i>
      <x v="36"/>
    </i>
    <i>
      <x v="14"/>
    </i>
    <i>
      <x v="192"/>
    </i>
    <i>
      <x v="84"/>
    </i>
    <i>
      <x v="103"/>
    </i>
    <i>
      <x v="65"/>
    </i>
    <i>
      <x v="106"/>
    </i>
    <i>
      <x v="92"/>
    </i>
    <i>
      <x v="34"/>
    </i>
    <i>
      <x v="28"/>
    </i>
    <i>
      <x v="170"/>
    </i>
    <i>
      <x v="107"/>
    </i>
    <i>
      <x v="189"/>
    </i>
    <i>
      <x v="60"/>
    </i>
    <i>
      <x v="141"/>
    </i>
    <i>
      <x v="184"/>
    </i>
    <i>
      <x v="29"/>
    </i>
    <i>
      <x v="55"/>
    </i>
    <i>
      <x v="124"/>
    </i>
    <i>
      <x v="110"/>
    </i>
    <i>
      <x v="79"/>
    </i>
    <i>
      <x v="53"/>
    </i>
    <i>
      <x v="118"/>
    </i>
    <i>
      <x v="4"/>
    </i>
    <i>
      <x v="151"/>
    </i>
    <i>
      <x v="197"/>
    </i>
    <i>
      <x v="76"/>
    </i>
    <i>
      <x v="54"/>
    </i>
    <i>
      <x v="129"/>
    </i>
    <i>
      <x v="176"/>
    </i>
    <i>
      <x v="152"/>
    </i>
    <i>
      <x v="33"/>
    </i>
    <i>
      <x v="20"/>
    </i>
    <i>
      <x v="42"/>
    </i>
    <i>
      <x v="81"/>
    </i>
    <i>
      <x v="123"/>
    </i>
    <i>
      <x v="186"/>
    </i>
    <i>
      <x v="47"/>
    </i>
    <i>
      <x v="181"/>
    </i>
    <i>
      <x v="39"/>
    </i>
    <i>
      <x v="66"/>
    </i>
    <i>
      <x v="80"/>
    </i>
    <i>
      <x v="188"/>
    </i>
    <i>
      <x v="111"/>
    </i>
    <i>
      <x v="32"/>
    </i>
    <i>
      <x v="71"/>
    </i>
    <i>
      <x v="82"/>
    </i>
    <i>
      <x v="144"/>
    </i>
    <i>
      <x v="93"/>
    </i>
    <i>
      <x v="26"/>
    </i>
    <i>
      <x v="116"/>
    </i>
    <i>
      <x v="117"/>
    </i>
    <i>
      <x v="56"/>
    </i>
    <i>
      <x v="134"/>
    </i>
    <i>
      <x v="50"/>
    </i>
    <i>
      <x v="41"/>
    </i>
    <i>
      <x v="19"/>
    </i>
    <i>
      <x v="58"/>
    </i>
    <i>
      <x v="164"/>
    </i>
    <i>
      <x v="6"/>
    </i>
    <i>
      <x v="22"/>
    </i>
    <i>
      <x v="148"/>
    </i>
    <i>
      <x v="11"/>
    </i>
    <i>
      <x v="101"/>
    </i>
    <i>
      <x v="114"/>
    </i>
    <i>
      <x v="139"/>
    </i>
    <i>
      <x v="37"/>
    </i>
    <i>
      <x v="46"/>
    </i>
    <i>
      <x v="74"/>
    </i>
    <i>
      <x v="179"/>
    </i>
    <i>
      <x v="174"/>
    </i>
    <i>
      <x v="160"/>
    </i>
    <i>
      <x v="8"/>
    </i>
    <i>
      <x v="185"/>
    </i>
    <i>
      <x v="1"/>
    </i>
    <i>
      <x v="113"/>
    </i>
    <i>
      <x v="40"/>
    </i>
    <i>
      <x v="149"/>
    </i>
    <i>
      <x v="147"/>
    </i>
    <i>
      <x v="199"/>
    </i>
    <i>
      <x v="75"/>
    </i>
    <i>
      <x v="72"/>
    </i>
    <i>
      <x v="45"/>
    </i>
    <i>
      <x v="172"/>
    </i>
    <i>
      <x v="77"/>
    </i>
    <i>
      <x v="88"/>
    </i>
    <i>
      <x v="24"/>
    </i>
    <i>
      <x v="17"/>
    </i>
    <i>
      <x v="108"/>
    </i>
    <i>
      <x v="64"/>
    </i>
    <i>
      <x v="119"/>
    </i>
    <i t="grand">
      <x/>
    </i>
  </rowItems>
  <colItems count="1">
    <i/>
  </colItems>
  <dataFields count="1">
    <dataField name="Total Salary" fld="13"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F180FC-C496-4B6F-AB3A-7B96105F2501}" name="PT_Performance" cacheId="5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G2:AJ12" firstHeaderRow="0" firstDataRow="1" firstDataCol="1"/>
  <pivotFields count="25">
    <pivotField showAll="0"/>
    <pivotField showAll="0"/>
    <pivotField showAll="0">
      <items count="3">
        <item x="1"/>
        <item x="0"/>
        <item t="default"/>
      </items>
    </pivotField>
    <pivotField numFmtId="1" showAll="0"/>
    <pivotField axis="axisRow"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dataField="1" numFmtId="165" showAll="0"/>
    <pivotField numFmtId="1" showAll="0"/>
    <pivotField numFmtId="166" showAll="0"/>
    <pivotField dataField="1" numFmtId="166" showAll="0"/>
    <pivotField numFmtId="1" showAll="0"/>
    <pivotField dataField="1"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4"/>
  </rowFields>
  <rowItems count="10">
    <i>
      <x/>
    </i>
    <i>
      <x v="1"/>
    </i>
    <i>
      <x v="2"/>
    </i>
    <i>
      <x v="3"/>
    </i>
    <i>
      <x v="4"/>
    </i>
    <i>
      <x v="5"/>
    </i>
    <i>
      <x v="6"/>
    </i>
    <i>
      <x v="7"/>
    </i>
    <i>
      <x v="8"/>
    </i>
    <i t="grand">
      <x/>
    </i>
  </rowItems>
  <colFields count="1">
    <field x="-2"/>
  </colFields>
  <colItems count="3">
    <i>
      <x/>
    </i>
    <i i="1">
      <x v="1"/>
    </i>
    <i i="2">
      <x v="2"/>
    </i>
  </colItems>
  <dataFields count="3">
    <dataField name="Avg Performance" fld="18" subtotal="average" baseField="0" baseItem="0" numFmtId="166"/>
    <dataField name="Avg Satisfaction" fld="20" subtotal="average" baseField="0" baseItem="0" numFmtId="166"/>
    <dataField name="Avg Attendance" fld="15" subtotal="average"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57A21E-C68B-4BAD-9A94-BF9472918D0A}" name="PT_Promotion" cacheId="5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D2:AE5"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axis="axisRow" showAll="0">
      <items count="3">
        <item x="0"/>
        <item x="1"/>
        <item t="default"/>
      </items>
    </pivotField>
    <pivotField showAll="0"/>
    <pivotField showAll="0">
      <items count="7">
        <item x="0"/>
        <item x="1"/>
        <item x="2"/>
        <item x="3"/>
        <item x="4"/>
        <item x="5"/>
        <item t="default"/>
      </items>
    </pivotField>
    <pivotField showAll="0">
      <items count="6">
        <item x="0"/>
        <item x="1"/>
        <item x="2"/>
        <item x="3"/>
        <item x="4"/>
        <item t="default"/>
      </items>
    </pivotField>
  </pivotFields>
  <rowFields count="1">
    <field x="21"/>
  </rowFields>
  <rowItems count="3">
    <i>
      <x/>
    </i>
    <i>
      <x v="1"/>
    </i>
    <i t="grand">
      <x/>
    </i>
  </rowItems>
  <colItems count="1">
    <i/>
  </colItems>
  <dataFields count="1">
    <dataField name="Headcount"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584AC0-2B8E-4CD4-A7E7-9DA7BBB565CC}" name="PT_AttritionReason" cacheId="53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AA2:AB8"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axis="axisRow" showAll="0">
      <items count="7">
        <item x="3"/>
        <item x="2"/>
        <item x="5"/>
        <item x="4"/>
        <item x="1"/>
        <item h="1" x="0"/>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2"/>
  </rowFields>
  <rowItems count="6">
    <i>
      <x/>
    </i>
    <i>
      <x v="1"/>
    </i>
    <i>
      <x v="2"/>
    </i>
    <i>
      <x v="3"/>
    </i>
    <i>
      <x v="4"/>
    </i>
    <i t="grand">
      <x/>
    </i>
  </rowItems>
  <colItems count="1">
    <i/>
  </colItems>
  <dataFields count="1">
    <dataField name="Headcount" fld="0" subtotal="count" baseField="0" baseItem="0" numFmtId="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46638F-3C89-4ED5-BD2F-BBACDB5E91D4}" name="PT_Education" cacheId="5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2:Y8"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axis="axisRow" showAll="0">
      <items count="6">
        <item x="2"/>
        <item x="3"/>
        <item x="1"/>
        <item x="4"/>
        <item x="0"/>
        <item t="default"/>
      </items>
    </pivotField>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9"/>
  </rowFields>
  <rowItems count="6">
    <i>
      <x/>
    </i>
    <i>
      <x v="1"/>
    </i>
    <i>
      <x v="2"/>
    </i>
    <i>
      <x v="3"/>
    </i>
    <i>
      <x v="4"/>
    </i>
    <i t="grand">
      <x/>
    </i>
  </rowItems>
  <colItems count="1">
    <i/>
  </colItems>
  <dataFields count="1">
    <dataField name="Headcount"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A36D02A-1BD8-44E2-B7CA-06033C896C11}" name="PT_City" cacheId="5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2:V11"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axis="axisRow" showAll="0">
      <items count="9">
        <item x="4"/>
        <item x="7"/>
        <item x="3"/>
        <item x="0"/>
        <item x="2"/>
        <item x="6"/>
        <item x="1"/>
        <item x="5"/>
        <item t="default"/>
      </items>
    </pivotField>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11"/>
  </rowFields>
  <rowItems count="9">
    <i>
      <x/>
    </i>
    <i>
      <x v="1"/>
    </i>
    <i>
      <x v="2"/>
    </i>
    <i>
      <x v="3"/>
    </i>
    <i>
      <x v="4"/>
    </i>
    <i>
      <x v="5"/>
    </i>
    <i>
      <x v="6"/>
    </i>
    <i>
      <x v="7"/>
    </i>
    <i t="grand">
      <x/>
    </i>
  </rowItems>
  <colItems count="1">
    <i/>
  </colItems>
  <dataFields count="1">
    <dataField name="Headcount"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7A1913-5DDD-4A00-B610-E7C5691DB30B}" name="PT_Designation" cacheId="53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Q2:S11" firstHeaderRow="0" firstDataRow="1" firstDataCol="1"/>
  <pivotFields count="25">
    <pivotField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axis="axisRow"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dataField="1" numFmtId="4" showAll="0"/>
    <pivotField dataField="1"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5"/>
  </rowFields>
  <rowItems count="9">
    <i>
      <x/>
    </i>
    <i>
      <x v="1"/>
    </i>
    <i>
      <x v="2"/>
    </i>
    <i>
      <x v="3"/>
    </i>
    <i>
      <x v="4"/>
    </i>
    <i>
      <x v="5"/>
    </i>
    <i>
      <x v="6"/>
    </i>
    <i>
      <x v="7"/>
    </i>
    <i t="grand">
      <x/>
    </i>
  </rowItems>
  <colFields count="1">
    <field x="-2"/>
  </colFields>
  <colItems count="2">
    <i>
      <x/>
    </i>
    <i i="1">
      <x v="1"/>
    </i>
  </colItems>
  <dataFields count="2">
    <dataField name="Avg Salary" fld="13" subtotal="average" baseField="0" baseItem="0" numFmtId="4"/>
    <dataField name="Avg Bonus" fld="14" subtotal="average" baseField="0" baseItem="0" numFmtId="4"/>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83FC78-8010-4165-ACC5-EA4C232B1773}" name="PT_WorkMode" cacheId="5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2:O6"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axis="axisRow"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8"/>
  </rowFields>
  <rowItems count="4">
    <i>
      <x/>
    </i>
    <i>
      <x v="1"/>
    </i>
    <i>
      <x v="2"/>
    </i>
    <i t="grand">
      <x/>
    </i>
  </rowItems>
  <colItems count="1">
    <i/>
  </colItems>
  <dataFields count="1">
    <dataField name="Headcount"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F048841-A611-4A34-ABE0-6C9D203E44A2}" name="PT_EmploymentStatus" cacheId="53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K2:L5"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Row"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7"/>
  </rowFields>
  <rowItems count="3">
    <i>
      <x/>
    </i>
    <i>
      <x v="1"/>
    </i>
    <i t="grand">
      <x/>
    </i>
  </rowItems>
  <colItems count="1">
    <i/>
  </colItems>
  <dataFields count="1">
    <dataField name="Headcount" fld="0" subtotal="count" baseField="0" baseItem="0" numFmtId="3"/>
  </dataField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7" count="1" selected="0">
            <x v="0"/>
          </reference>
        </references>
      </pivotArea>
    </chartFormat>
    <chartFormat chart="1"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A5EC3C0-B6E5-4483-8761-960BD34DC89F}" name="PT_JoiningTrend" cacheId="53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H2:I13" firstHeaderRow="1" firstDataRow="1" firstDataCol="1"/>
  <pivotFields count="25">
    <pivotField dataField="1" showAll="0"/>
    <pivotField showAll="0"/>
    <pivotField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axis="axisRow" showAll="0">
      <items count="7">
        <item x="0"/>
        <item x="1"/>
        <item x="2"/>
        <item x="3"/>
        <item x="4"/>
        <item x="5"/>
        <item t="default"/>
      </items>
    </pivotField>
    <pivotField axis="axisRow" showAll="0">
      <items count="6">
        <item x="0"/>
        <item x="1"/>
        <item x="2"/>
        <item x="3"/>
        <item x="4"/>
        <item t="default"/>
      </items>
    </pivotField>
  </pivotFields>
  <rowFields count="2">
    <field x="24"/>
    <field x="23"/>
  </rowFields>
  <rowItems count="11">
    <i>
      <x v="1"/>
    </i>
    <i r="1">
      <x v="1"/>
    </i>
    <i r="1">
      <x v="2"/>
    </i>
    <i r="1">
      <x v="3"/>
    </i>
    <i r="1">
      <x v="4"/>
    </i>
    <i>
      <x v="2"/>
    </i>
    <i r="1">
      <x v="1"/>
    </i>
    <i r="1">
      <x v="2"/>
    </i>
    <i r="1">
      <x v="3"/>
    </i>
    <i r="1">
      <x v="4"/>
    </i>
    <i t="grand">
      <x/>
    </i>
  </rowItems>
  <colItems count="1">
    <i/>
  </colItems>
  <dataFields count="1">
    <dataField name="Headcount" fld="0" subtotal="count" baseField="0" baseItem="0" numFmtId="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A8D6A15-007B-4748-BB4A-78407DFD372E}" name="PT_Gender" cacheId="53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E2:F5" firstHeaderRow="1" firstDataRow="1" firstDataCol="1"/>
  <pivotFields count="25">
    <pivotField dataField="1" showAll="0"/>
    <pivotField showAll="0"/>
    <pivotField axis="axisRow" showAll="0">
      <items count="3">
        <item x="1"/>
        <item x="0"/>
        <item t="default"/>
      </items>
    </pivotField>
    <pivotField numFmtId="1" showAll="0"/>
    <pivotField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2"/>
  </rowFields>
  <rowItems count="3">
    <i>
      <x/>
    </i>
    <i>
      <x v="1"/>
    </i>
    <i t="grand">
      <x/>
    </i>
  </rowItems>
  <colItems count="1">
    <i/>
  </colItems>
  <dataFields count="1">
    <dataField name="Headcount" fld="0" subtotal="count" baseField="0" baseItem="0" numFmtId="3"/>
  </dataField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0"/>
          </reference>
        </references>
      </pivotArea>
    </chartFormat>
    <chartFormat chart="1" format="2">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DFB51D7-3867-4008-9103-B178D1BC174F}" name="PT_Department" cacheId="53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A2:B12" firstHeaderRow="1" firstDataRow="1" firstDataCol="1"/>
  <pivotFields count="25">
    <pivotField dataField="1" showAll="0"/>
    <pivotField showAll="0"/>
    <pivotField showAll="0">
      <items count="3">
        <item x="1"/>
        <item x="0"/>
        <item t="default"/>
      </items>
    </pivotField>
    <pivotField numFmtId="1" showAll="0"/>
    <pivotField axis="axisRow" showAll="0">
      <items count="10">
        <item x="2"/>
        <item x="8"/>
        <item x="5"/>
        <item x="0"/>
        <item x="7"/>
        <item x="3"/>
        <item x="6"/>
        <item x="1"/>
        <item x="4"/>
        <item t="default"/>
      </items>
    </pivotField>
    <pivotField showAll="0">
      <items count="9">
        <item x="3"/>
        <item x="7"/>
        <item x="0"/>
        <item x="4"/>
        <item x="6"/>
        <item x="2"/>
        <item x="5"/>
        <item x="1"/>
        <item t="default"/>
      </items>
    </pivotField>
    <pivotField numFmtId="164" showAll="0">
      <items count="684">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0"/>
        <item x="1"/>
        <item t="default"/>
      </items>
    </pivotField>
    <pivotField showAll="0">
      <items count="4">
        <item x="1"/>
        <item x="0"/>
        <item x="2"/>
        <item t="default"/>
      </items>
    </pivotField>
    <pivotField showAll="0"/>
    <pivotField showAll="0"/>
    <pivotField showAll="0"/>
    <pivotField showAll="0"/>
    <pivotField numFmtId="4" showAll="0"/>
    <pivotField numFmtId="4" showAll="0"/>
    <pivotField numFmtId="165" showAll="0"/>
    <pivotField numFmtId="1" showAll="0"/>
    <pivotField numFmtId="166" showAll="0"/>
    <pivotField numFmtId="166" showAll="0"/>
    <pivotField numFmtId="1" showAll="0"/>
    <pivotField numFmtId="166"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4"/>
  </rowFields>
  <rowItems count="10">
    <i>
      <x/>
    </i>
    <i>
      <x v="1"/>
    </i>
    <i>
      <x v="2"/>
    </i>
    <i>
      <x v="3"/>
    </i>
    <i>
      <x v="4"/>
    </i>
    <i>
      <x v="5"/>
    </i>
    <i>
      <x v="6"/>
    </i>
    <i>
      <x v="7"/>
    </i>
    <i>
      <x v="8"/>
    </i>
    <i t="grand">
      <x/>
    </i>
  </rowItems>
  <colItems count="1">
    <i/>
  </colItems>
  <dataFields count="1">
    <dataField name="Headcount" fld="0" subtotal="count" baseField="0" baseItem="0" numFmtId="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17C2C78-BDED-4FB3-B718-BD0BB0D31DFA}" sourceName="Department">
  <pivotTables>
    <pivotTable tabId="2" name="PT_Department"/>
    <pivotTable tabId="2" name="PT_TopSalary"/>
    <pivotTable tabId="2" name="PT_Performance"/>
    <pivotTable tabId="2" name="PT_Promotion"/>
    <pivotTable tabId="2" name="PT_AttritionReason"/>
    <pivotTable tabId="2" name="PT_Education"/>
    <pivotTable tabId="2" name="PT_City"/>
    <pivotTable tabId="2" name="PT_Designation"/>
    <pivotTable tabId="2" name="PT_WorkMode"/>
    <pivotTable tabId="2" name="PT_EmploymentStatus"/>
    <pivotTable tabId="2" name="PT_JoiningTrend"/>
    <pivotTable tabId="2" name="PT_Gender"/>
  </pivotTables>
  <data>
    <tabular pivotCacheId="1651333358">
      <items count="9">
        <i x="2" s="1"/>
        <i x="8" s="1"/>
        <i x="5" s="1"/>
        <i x="0" s="1"/>
        <i x="7" s="1"/>
        <i x="3" s="1"/>
        <i x="6"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BF48A6C-200A-472D-A64E-E11922976845}" sourceName="Gender">
  <pivotTables>
    <pivotTable tabId="2" name="PT_Gender"/>
    <pivotTable tabId="2" name="PT_TopSalary"/>
    <pivotTable tabId="2" name="PT_Performance"/>
    <pivotTable tabId="2" name="PT_Promotion"/>
    <pivotTable tabId="2" name="PT_AttritionReason"/>
    <pivotTable tabId="2" name="PT_Education"/>
    <pivotTable tabId="2" name="PT_City"/>
    <pivotTable tabId="2" name="PT_Designation"/>
    <pivotTable tabId="2" name="PT_WorkMode"/>
    <pivotTable tabId="2" name="PT_EmploymentStatus"/>
    <pivotTable tabId="2" name="PT_JoiningTrend"/>
    <pivotTable tabId="2" name="PT_Department"/>
  </pivotTables>
  <data>
    <tabular pivotCacheId="165133335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Status" xr10:uid="{AF9021A9-A936-4B02-93EC-B174524D1ACB}" sourceName="Employment Status">
  <pivotTables>
    <pivotTable tabId="2" name="PT_EmploymentStatus"/>
    <pivotTable tabId="2" name="PT_TopSalary"/>
    <pivotTable tabId="2" name="PT_Performance"/>
    <pivotTable tabId="2" name="PT_Promotion"/>
    <pivotTable tabId="2" name="PT_AttritionReason"/>
    <pivotTable tabId="2" name="PT_Education"/>
    <pivotTable tabId="2" name="PT_City"/>
    <pivotTable tabId="2" name="PT_Designation"/>
    <pivotTable tabId="2" name="PT_WorkMode"/>
    <pivotTable tabId="2" name="PT_JoiningTrend"/>
    <pivotTable tabId="2" name="PT_Gender"/>
    <pivotTable tabId="2" name="PT_Department"/>
  </pivotTables>
  <data>
    <tabular pivotCacheId="165133335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Mode" xr10:uid="{445C6AE4-A83D-4696-8944-75CCF12385ED}" sourceName="Work Mode">
  <pivotTables>
    <pivotTable tabId="2" name="PT_WorkMode"/>
    <pivotTable tabId="2" name="PT_TopSalary"/>
    <pivotTable tabId="2" name="PT_Performance"/>
    <pivotTable tabId="2" name="PT_Promotion"/>
    <pivotTable tabId="2" name="PT_AttritionReason"/>
    <pivotTable tabId="2" name="PT_Education"/>
    <pivotTable tabId="2" name="PT_City"/>
    <pivotTable tabId="2" name="PT_Designation"/>
    <pivotTable tabId="2" name="PT_EmploymentStatus"/>
    <pivotTable tabId="2" name="PT_JoiningTrend"/>
    <pivotTable tabId="2" name="PT_Gender"/>
    <pivotTable tabId="2" name="PT_Department"/>
  </pivotTables>
  <data>
    <tabular pivotCacheId="1651333358">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90644664-1AAC-470B-84D1-3AE1AB44EA4E}" sourceName="Designation">
  <pivotTables>
    <pivotTable tabId="2" name="PT_Designation"/>
    <pivotTable tabId="2" name="PT_TopSalary"/>
    <pivotTable tabId="2" name="PT_Performance"/>
    <pivotTable tabId="2" name="PT_Promotion"/>
    <pivotTable tabId="2" name="PT_AttritionReason"/>
    <pivotTable tabId="2" name="PT_Education"/>
    <pivotTable tabId="2" name="PT_City"/>
    <pivotTable tabId="2" name="PT_WorkMode"/>
    <pivotTable tabId="2" name="PT_EmploymentStatus"/>
    <pivotTable tabId="2" name="PT_JoiningTrend"/>
    <pivotTable tabId="2" name="PT_Gender"/>
    <pivotTable tabId="2" name="PT_Department"/>
  </pivotTables>
  <data>
    <tabular pivotCacheId="1651333358">
      <items count="8">
        <i x="3" s="1"/>
        <i x="7" s="1"/>
        <i x="0" s="1"/>
        <i x="4" s="1"/>
        <i x="6" s="1"/>
        <i x="2"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Department" xr10:uid="{07943232-D850-4967-8D11-483FB4EB072F}" cache="Slicer_Department" caption="Department" style="SlicerStyle6" rowHeight="241300"/>
  <slicer name="Slicer_Gender" xr10:uid="{ABD0ABAF-5073-4E32-876C-3D195EF84222}" cache="Slicer_Gender" caption="Gender" style="SlicerStyle6" rowHeight="241300"/>
  <slicer name="Slicer_Employment_Status" xr10:uid="{D012A7EC-8AFB-4F86-9EF9-04E68B748F1B}" cache="Slicer_Employment_Status" caption="Employment Status" style="SlicerStyle6" rowHeight="241300"/>
  <slicer name="Slicer_Work_Mode" xr10:uid="{A0EA66DA-90E8-4375-8896-D37862D19072}" cache="Slicer_Work_Mode" caption="Work Mode" style="SlicerStyle6" rowHeight="241300"/>
  <slicer name="Slicer_Designation" xr10:uid="{DB887C84-73D1-444F-B181-EB710C220BF0}" cache="Slicer_Designation" caption="Designation" style="SlicerStyle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06D9E0-C408-4348-BD3A-884C74F25900}" name="tblEmployeeData" displayName="tblEmployeeData" ref="A1:Y2001" totalsRowShown="0" headerRowDxfId="26" tableBorderDxfId="25">
  <autoFilter ref="A1:Y2001" xr:uid="{5F06D9E0-C408-4348-BD3A-884C74F25900}"/>
  <sortState xmlns:xlrd2="http://schemas.microsoft.com/office/spreadsheetml/2017/richdata2" ref="A2:Y2001">
    <sortCondition descending="1" ref="G2:G2001"/>
  </sortState>
  <tableColumns count="25">
    <tableColumn id="1" xr3:uid="{D782584A-B4A8-4BE7-B0EA-825662C2807A}" name="Employee ID" dataDxfId="24"/>
    <tableColumn id="2" xr3:uid="{A8643CCE-8DA3-450C-9FE5-BF984BA1C5D9}" name="Employee Name" dataDxfId="23"/>
    <tableColumn id="3" xr3:uid="{76FE49E6-5E1B-488B-BC10-9DDD856C5AEA}" name="Gender" dataDxfId="22"/>
    <tableColumn id="4" xr3:uid="{0680F417-1B4A-4C16-BE66-14C5913956C1}" name="Age" dataDxfId="21"/>
    <tableColumn id="5" xr3:uid="{A17F06F3-9038-4409-9924-5E5727F46F91}" name="Department" dataDxfId="20"/>
    <tableColumn id="6" xr3:uid="{B80B17B3-5F1B-4A26-852F-56DC54196336}" name="Designation" dataDxfId="19"/>
    <tableColumn id="7" xr3:uid="{9AB7C28E-B9E0-438C-8EF9-9E6E068525F7}" name="Joining Date" dataDxfId="0"/>
    <tableColumn id="8" xr3:uid="{E56982C2-0060-442E-BCEB-2346D11EBA52}" name="Employment Status" dataDxfId="18"/>
    <tableColumn id="9" xr3:uid="{5C895BD1-D174-4728-9D45-5F35CC54B8F6}" name="Work Mode" dataDxfId="17"/>
    <tableColumn id="10" xr3:uid="{6AA67616-F82A-4A43-A6B6-F1136550A94B}" name="Education" dataDxfId="16"/>
    <tableColumn id="11" xr3:uid="{2A3CB59B-5BF9-4678-B41B-284C6A94ECAD}" name="Hire Source" dataDxfId="15"/>
    <tableColumn id="12" xr3:uid="{5DF24C91-1E54-47BD-B8E1-D20105CD8A97}" name="City" dataDxfId="14"/>
    <tableColumn id="13" xr3:uid="{348A9B33-BCDE-4843-A997-0A98E11059AC}" name="Manager" dataDxfId="13"/>
    <tableColumn id="14" xr3:uid="{2434105B-5189-4A76-9057-4D5950C26BE9}" name="Salary" dataDxfId="12"/>
    <tableColumn id="15" xr3:uid="{202732FD-EC81-48B9-9CDB-4011C8DF5638}" name="Bonus" dataDxfId="11"/>
    <tableColumn id="16" xr3:uid="{E2E52857-47D8-4D84-BDB9-A8F5B2BF3656}" name="Attendance %" dataDxfId="10"/>
    <tableColumn id="17" xr3:uid="{1F44082A-7A3D-4ECC-9C6B-BC9194E0355D}" name="Leave Days" dataDxfId="9"/>
    <tableColumn id="18" xr3:uid="{6FE4354A-436B-41CC-8E6F-81FEBAD85F87}" name="Overtime Hours" dataDxfId="8"/>
    <tableColumn id="19" xr3:uid="{ED026FDC-4D62-4FBF-8082-E1F1533BCB97}" name="Performance Rating" dataDxfId="7"/>
    <tableColumn id="20" xr3:uid="{033E0563-0E94-4D96-94CD-6BFFBECF9534}" name="Training Hours" dataDxfId="6"/>
    <tableColumn id="21" xr3:uid="{AE885ED5-E686-4B32-9E93-CE44637FF2F2}" name="Satisfaction Score" dataDxfId="5"/>
    <tableColumn id="22" xr3:uid="{89040F87-BF8E-46B0-894C-3E1073E590B6}" name="Promotion" dataDxfId="4"/>
    <tableColumn id="23" xr3:uid="{1CB5BFEF-78C4-4B2D-A8DA-82AF2ABA26BB}" name="Attrition Reason" dataDxfId="3"/>
    <tableColumn id="24" xr3:uid="{A8527A81-6593-425C-8C59-CC97718475F0}" name="PromotionFlag" dataDxfId="2">
      <calculatedColumnFormula>IF(V2="Yes",1,0)</calculatedColumnFormula>
    </tableColumn>
    <tableColumn id="25" xr3:uid="{9D8CEC57-C8BC-47B7-A7EB-A429CB5CF68B}" name="AttritionFlag" dataDxfId="1">
      <calculatedColumnFormula>IF(H2="Active",0,1)</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2001"/>
  <sheetViews>
    <sheetView workbookViewId="0">
      <selection activeCell="G12" sqref="G12"/>
    </sheetView>
  </sheetViews>
  <sheetFormatPr defaultRowHeight="14.5" x14ac:dyDescent="0.35"/>
  <cols>
    <col min="1" max="1" width="12.6328125" customWidth="1"/>
    <col min="2" max="2" width="20.6328125" customWidth="1"/>
    <col min="3" max="3" width="9.6328125" customWidth="1"/>
    <col min="4" max="4" width="7.6328125" customWidth="1"/>
    <col min="5" max="5" width="16.6328125" customWidth="1"/>
    <col min="6" max="6" width="18.6328125" customWidth="1"/>
    <col min="7" max="7" width="14.6328125" customWidth="1"/>
    <col min="8" max="8" width="16.6328125" customWidth="1"/>
    <col min="9" max="9" width="12.6328125" customWidth="1"/>
    <col min="10" max="11" width="14.6328125" customWidth="1"/>
    <col min="12" max="12" width="12.6328125" customWidth="1"/>
    <col min="13" max="13" width="16.6328125" customWidth="1"/>
    <col min="14" max="15" width="12.6328125" customWidth="1"/>
    <col min="16" max="16" width="13.6328125" customWidth="1"/>
    <col min="17" max="17" width="11.6328125" customWidth="1"/>
    <col min="18" max="18" width="14.6328125" customWidth="1"/>
    <col min="19" max="19" width="16.6328125" customWidth="1"/>
    <col min="20" max="20" width="13.6328125" customWidth="1"/>
    <col min="21" max="21" width="16.6328125" customWidth="1"/>
    <col min="22" max="22" width="11.6328125" customWidth="1"/>
    <col min="23" max="23" width="18.6328125" customWidth="1"/>
    <col min="24" max="24" width="17.7265625" bestFit="1" customWidth="1"/>
    <col min="25" max="25" width="15.81640625" bestFit="1" customWidth="1"/>
  </cols>
  <sheetData>
    <row r="1" spans="1:25" ht="22" customHeight="1" x14ac:dyDescent="0.35">
      <c r="A1" s="20" t="s">
        <v>0</v>
      </c>
      <c r="B1" s="20" t="s">
        <v>1</v>
      </c>
      <c r="C1" s="20" t="s">
        <v>2</v>
      </c>
      <c r="D1" s="20" t="s">
        <v>3</v>
      </c>
      <c r="E1" s="20" t="s">
        <v>4</v>
      </c>
      <c r="F1" s="20" t="s">
        <v>5</v>
      </c>
      <c r="G1" s="21" t="s">
        <v>6</v>
      </c>
      <c r="H1" s="20" t="s">
        <v>7</v>
      </c>
      <c r="I1" s="20" t="s">
        <v>8</v>
      </c>
      <c r="J1" s="20" t="s">
        <v>9</v>
      </c>
      <c r="K1" s="20" t="s">
        <v>10</v>
      </c>
      <c r="L1" s="20" t="s">
        <v>11</v>
      </c>
      <c r="M1" s="20" t="s">
        <v>12</v>
      </c>
      <c r="N1" s="20" t="s">
        <v>13</v>
      </c>
      <c r="O1" s="20" t="s">
        <v>14</v>
      </c>
      <c r="P1" s="20" t="s">
        <v>15</v>
      </c>
      <c r="Q1" s="20" t="s">
        <v>16</v>
      </c>
      <c r="R1" s="20" t="s">
        <v>17</v>
      </c>
      <c r="S1" s="20" t="s">
        <v>18</v>
      </c>
      <c r="T1" s="20" t="s">
        <v>19</v>
      </c>
      <c r="U1" s="20" t="s">
        <v>20</v>
      </c>
      <c r="V1" s="20" t="s">
        <v>21</v>
      </c>
      <c r="W1" s="20" t="s">
        <v>22</v>
      </c>
      <c r="X1" s="20" t="s">
        <v>2297</v>
      </c>
      <c r="Y1" s="20" t="s">
        <v>2298</v>
      </c>
    </row>
    <row r="2" spans="1:25" ht="18" customHeight="1" x14ac:dyDescent="0.35">
      <c r="A2" s="14" t="s">
        <v>402</v>
      </c>
      <c r="B2" s="14" t="s">
        <v>403</v>
      </c>
      <c r="C2" s="14" t="s">
        <v>25</v>
      </c>
      <c r="D2" s="15">
        <v>23</v>
      </c>
      <c r="E2" s="14" t="s">
        <v>2304</v>
      </c>
      <c r="F2" s="14" t="s">
        <v>79</v>
      </c>
      <c r="G2" s="16">
        <v>46022</v>
      </c>
      <c r="H2" s="14" t="s">
        <v>26</v>
      </c>
      <c r="I2" s="14" t="s">
        <v>2267</v>
      </c>
      <c r="J2" s="14" t="s">
        <v>2268</v>
      </c>
      <c r="K2" s="14" t="s">
        <v>2271</v>
      </c>
      <c r="L2" s="14" t="s">
        <v>29</v>
      </c>
      <c r="M2" s="14" t="s">
        <v>39</v>
      </c>
      <c r="N2" s="17">
        <v>203403</v>
      </c>
      <c r="O2" s="17">
        <v>37575</v>
      </c>
      <c r="P2" s="18">
        <v>80</v>
      </c>
      <c r="Q2" s="15">
        <v>9</v>
      </c>
      <c r="R2" s="19">
        <v>29</v>
      </c>
      <c r="S2" s="19">
        <v>3</v>
      </c>
      <c r="T2" s="15">
        <v>32</v>
      </c>
      <c r="U2" s="19">
        <v>98</v>
      </c>
      <c r="V2" s="14" t="s">
        <v>31</v>
      </c>
      <c r="W2" s="14"/>
      <c r="X2" s="14">
        <f>IF(V2="Yes",1,0)</f>
        <v>0</v>
      </c>
      <c r="Y2" s="14">
        <f>IF(H2="Active",0,1)</f>
        <v>0</v>
      </c>
    </row>
    <row r="3" spans="1:25" ht="18" customHeight="1" x14ac:dyDescent="0.35">
      <c r="A3" s="14" t="s">
        <v>1114</v>
      </c>
      <c r="B3" s="14" t="s">
        <v>432</v>
      </c>
      <c r="C3" s="14" t="s">
        <v>25</v>
      </c>
      <c r="D3" s="15">
        <v>29</v>
      </c>
      <c r="E3" s="14" t="s">
        <v>42</v>
      </c>
      <c r="F3" s="14" t="s">
        <v>72</v>
      </c>
      <c r="G3" s="16">
        <v>46022</v>
      </c>
      <c r="H3" s="14" t="s">
        <v>26</v>
      </c>
      <c r="I3" s="14" t="s">
        <v>36</v>
      </c>
      <c r="J3" s="14" t="s">
        <v>2269</v>
      </c>
      <c r="K3" s="14" t="s">
        <v>55</v>
      </c>
      <c r="L3" s="14" t="s">
        <v>29</v>
      </c>
      <c r="M3" s="14" t="s">
        <v>45</v>
      </c>
      <c r="N3" s="17">
        <v>126112</v>
      </c>
      <c r="O3" s="17">
        <v>42671</v>
      </c>
      <c r="P3" s="18">
        <v>83.8</v>
      </c>
      <c r="Q3" s="15">
        <v>8</v>
      </c>
      <c r="R3" s="19">
        <v>19</v>
      </c>
      <c r="S3" s="19">
        <v>5</v>
      </c>
      <c r="T3" s="15">
        <v>19</v>
      </c>
      <c r="U3" s="19">
        <v>80</v>
      </c>
      <c r="V3" s="14" t="s">
        <v>31</v>
      </c>
      <c r="W3" s="14"/>
      <c r="X3" s="14">
        <f>IF(V3="Yes",1,0)</f>
        <v>0</v>
      </c>
      <c r="Y3" s="14">
        <f>IF(H3="Active",0,1)</f>
        <v>0</v>
      </c>
    </row>
    <row r="4" spans="1:25" ht="18" customHeight="1" x14ac:dyDescent="0.35">
      <c r="A4" s="8" t="s">
        <v>1216</v>
      </c>
      <c r="B4" s="8" t="s">
        <v>393</v>
      </c>
      <c r="C4" s="8" t="s">
        <v>25</v>
      </c>
      <c r="D4" s="9">
        <v>55</v>
      </c>
      <c r="E4" s="8" t="s">
        <v>93</v>
      </c>
      <c r="F4" s="8" t="s">
        <v>35</v>
      </c>
      <c r="G4" s="10">
        <v>46022</v>
      </c>
      <c r="H4" s="8" t="s">
        <v>26</v>
      </c>
      <c r="I4" s="8" t="s">
        <v>2267</v>
      </c>
      <c r="J4" s="8" t="s">
        <v>80</v>
      </c>
      <c r="K4" s="8" t="s">
        <v>55</v>
      </c>
      <c r="L4" s="8" t="s">
        <v>68</v>
      </c>
      <c r="M4" s="8" t="s">
        <v>39</v>
      </c>
      <c r="N4" s="11">
        <v>97268</v>
      </c>
      <c r="O4" s="11">
        <v>31056</v>
      </c>
      <c r="P4" s="12">
        <v>89.6</v>
      </c>
      <c r="Q4" s="9">
        <v>5</v>
      </c>
      <c r="R4" s="13">
        <v>11</v>
      </c>
      <c r="S4" s="13">
        <v>5</v>
      </c>
      <c r="T4" s="9">
        <v>18</v>
      </c>
      <c r="U4" s="13">
        <v>64</v>
      </c>
      <c r="V4" s="8" t="s">
        <v>31</v>
      </c>
      <c r="W4" s="8"/>
      <c r="X4" s="22">
        <f>IF(V4="Yes",1,0)</f>
        <v>0</v>
      </c>
      <c r="Y4" s="22">
        <f>IF(H4="Active",0,1)</f>
        <v>0</v>
      </c>
    </row>
    <row r="5" spans="1:25" ht="18" customHeight="1" x14ac:dyDescent="0.35">
      <c r="A5" s="8" t="s">
        <v>2035</v>
      </c>
      <c r="B5" s="8" t="s">
        <v>718</v>
      </c>
      <c r="C5" s="8" t="s">
        <v>34</v>
      </c>
      <c r="D5" s="9">
        <v>39</v>
      </c>
      <c r="E5" s="8" t="s">
        <v>86</v>
      </c>
      <c r="F5" s="8" t="s">
        <v>72</v>
      </c>
      <c r="G5" s="10">
        <v>46022</v>
      </c>
      <c r="H5" s="8" t="s">
        <v>26</v>
      </c>
      <c r="I5" s="8" t="s">
        <v>2267</v>
      </c>
      <c r="J5" s="8" t="s">
        <v>2269</v>
      </c>
      <c r="K5" s="8" t="s">
        <v>37</v>
      </c>
      <c r="L5" s="8" t="s">
        <v>49</v>
      </c>
      <c r="M5" s="8" t="s">
        <v>39</v>
      </c>
      <c r="N5" s="11">
        <v>122703</v>
      </c>
      <c r="O5" s="11">
        <v>7595</v>
      </c>
      <c r="P5" s="12">
        <v>95.9</v>
      </c>
      <c r="Q5" s="9">
        <v>2</v>
      </c>
      <c r="R5" s="13">
        <v>11</v>
      </c>
      <c r="S5" s="13">
        <v>4</v>
      </c>
      <c r="T5" s="9">
        <v>4</v>
      </c>
      <c r="U5" s="13">
        <v>63</v>
      </c>
      <c r="V5" s="8" t="s">
        <v>31</v>
      </c>
      <c r="W5" s="8"/>
      <c r="X5" s="22">
        <f>IF(V5="Yes",1,0)</f>
        <v>0</v>
      </c>
      <c r="Y5" s="22">
        <f>IF(H5="Active",0,1)</f>
        <v>0</v>
      </c>
    </row>
    <row r="6" spans="1:25" ht="18" customHeight="1" x14ac:dyDescent="0.35">
      <c r="A6" s="8" t="s">
        <v>623</v>
      </c>
      <c r="B6" s="8" t="s">
        <v>624</v>
      </c>
      <c r="C6" s="8" t="s">
        <v>25</v>
      </c>
      <c r="D6" s="9">
        <v>38</v>
      </c>
      <c r="E6" s="8" t="s">
        <v>93</v>
      </c>
      <c r="F6" s="8" t="s">
        <v>43</v>
      </c>
      <c r="G6" s="10">
        <v>46021</v>
      </c>
      <c r="H6" s="8" t="s">
        <v>26</v>
      </c>
      <c r="I6" s="8" t="s">
        <v>36</v>
      </c>
      <c r="J6" s="8" t="s">
        <v>80</v>
      </c>
      <c r="K6" s="8" t="s">
        <v>37</v>
      </c>
      <c r="L6" s="8" t="s">
        <v>38</v>
      </c>
      <c r="M6" s="8" t="s">
        <v>39</v>
      </c>
      <c r="N6" s="11">
        <v>239357</v>
      </c>
      <c r="O6" s="11">
        <v>22718</v>
      </c>
      <c r="P6" s="12">
        <v>92.3</v>
      </c>
      <c r="Q6" s="9">
        <v>3</v>
      </c>
      <c r="R6" s="13">
        <v>18</v>
      </c>
      <c r="S6" s="13">
        <v>3</v>
      </c>
      <c r="T6" s="9">
        <v>21</v>
      </c>
      <c r="U6" s="13">
        <v>87</v>
      </c>
      <c r="V6" s="8" t="s">
        <v>31</v>
      </c>
      <c r="W6" s="8"/>
      <c r="X6" s="22">
        <f>IF(V6="Yes",1,0)</f>
        <v>0</v>
      </c>
      <c r="Y6" s="22">
        <f>IF(H6="Active",0,1)</f>
        <v>0</v>
      </c>
    </row>
    <row r="7" spans="1:25" ht="18" customHeight="1" x14ac:dyDescent="0.35">
      <c r="A7" s="14" t="s">
        <v>1217</v>
      </c>
      <c r="B7" s="14" t="s">
        <v>388</v>
      </c>
      <c r="C7" s="14" t="s">
        <v>25</v>
      </c>
      <c r="D7" s="15">
        <v>22</v>
      </c>
      <c r="E7" s="14" t="s">
        <v>67</v>
      </c>
      <c r="F7" s="14" t="s">
        <v>43</v>
      </c>
      <c r="G7" s="16">
        <v>46021</v>
      </c>
      <c r="H7" s="14" t="s">
        <v>26</v>
      </c>
      <c r="I7" s="14" t="s">
        <v>2267</v>
      </c>
      <c r="J7" s="14" t="s">
        <v>2270</v>
      </c>
      <c r="K7" s="14" t="s">
        <v>37</v>
      </c>
      <c r="L7" s="14" t="s">
        <v>68</v>
      </c>
      <c r="M7" s="14" t="s">
        <v>45</v>
      </c>
      <c r="N7" s="17">
        <v>60651</v>
      </c>
      <c r="O7" s="17">
        <v>10637</v>
      </c>
      <c r="P7" s="18">
        <v>82.3</v>
      </c>
      <c r="Q7" s="15">
        <v>2</v>
      </c>
      <c r="R7" s="19">
        <v>3</v>
      </c>
      <c r="S7" s="19">
        <v>1</v>
      </c>
      <c r="T7" s="15">
        <v>4</v>
      </c>
      <c r="U7" s="19">
        <v>64</v>
      </c>
      <c r="V7" s="14" t="s">
        <v>69</v>
      </c>
      <c r="W7" s="14"/>
      <c r="X7" s="14">
        <f>IF(V7="Yes",1,0)</f>
        <v>1</v>
      </c>
      <c r="Y7" s="14">
        <f>IF(H7="Active",0,1)</f>
        <v>0</v>
      </c>
    </row>
    <row r="8" spans="1:25" ht="18" customHeight="1" x14ac:dyDescent="0.35">
      <c r="A8" s="8" t="s">
        <v>2073</v>
      </c>
      <c r="B8" s="8" t="s">
        <v>516</v>
      </c>
      <c r="C8" s="8" t="s">
        <v>25</v>
      </c>
      <c r="D8" s="9">
        <v>33</v>
      </c>
      <c r="E8" s="8" t="s">
        <v>86</v>
      </c>
      <c r="F8" s="8" t="s">
        <v>35</v>
      </c>
      <c r="G8" s="10">
        <v>46021</v>
      </c>
      <c r="H8" s="8" t="s">
        <v>26</v>
      </c>
      <c r="I8" s="8" t="s">
        <v>36</v>
      </c>
      <c r="J8" s="8" t="s">
        <v>80</v>
      </c>
      <c r="K8" s="8" t="s">
        <v>2271</v>
      </c>
      <c r="L8" s="8" t="s">
        <v>38</v>
      </c>
      <c r="M8" s="8" t="s">
        <v>39</v>
      </c>
      <c r="N8" s="11">
        <v>68844</v>
      </c>
      <c r="O8" s="11">
        <v>45258</v>
      </c>
      <c r="P8" s="12">
        <v>93.4</v>
      </c>
      <c r="Q8" s="9">
        <v>0</v>
      </c>
      <c r="R8" s="13">
        <v>26</v>
      </c>
      <c r="S8" s="13">
        <v>3</v>
      </c>
      <c r="T8" s="9">
        <v>24</v>
      </c>
      <c r="U8" s="13">
        <v>75</v>
      </c>
      <c r="V8" s="8" t="s">
        <v>31</v>
      </c>
      <c r="W8" s="8"/>
      <c r="X8" s="22">
        <f>IF(V8="Yes",1,0)</f>
        <v>0</v>
      </c>
      <c r="Y8" s="22">
        <f>IF(H8="Active",0,1)</f>
        <v>0</v>
      </c>
    </row>
    <row r="9" spans="1:25" ht="18" customHeight="1" x14ac:dyDescent="0.35">
      <c r="A9" s="8" t="s">
        <v>795</v>
      </c>
      <c r="B9" s="8" t="s">
        <v>559</v>
      </c>
      <c r="C9" s="8" t="s">
        <v>25</v>
      </c>
      <c r="D9" s="9">
        <v>47</v>
      </c>
      <c r="E9" s="8" t="s">
        <v>2303</v>
      </c>
      <c r="F9" s="8" t="s">
        <v>72</v>
      </c>
      <c r="G9" s="10">
        <v>46020</v>
      </c>
      <c r="H9" s="8" t="s">
        <v>54</v>
      </c>
      <c r="I9" s="8" t="s">
        <v>36</v>
      </c>
      <c r="J9" s="8" t="s">
        <v>2268</v>
      </c>
      <c r="K9" s="8" t="s">
        <v>2271</v>
      </c>
      <c r="L9" s="8" t="s">
        <v>68</v>
      </c>
      <c r="M9" s="8" t="s">
        <v>45</v>
      </c>
      <c r="N9" s="11">
        <v>67788</v>
      </c>
      <c r="O9" s="11">
        <v>9766</v>
      </c>
      <c r="P9" s="12">
        <v>87.7</v>
      </c>
      <c r="Q9" s="9">
        <v>1</v>
      </c>
      <c r="R9" s="13">
        <v>25</v>
      </c>
      <c r="S9" s="13">
        <v>2</v>
      </c>
      <c r="T9" s="9">
        <v>15</v>
      </c>
      <c r="U9" s="13">
        <v>76</v>
      </c>
      <c r="V9" s="8" t="s">
        <v>31</v>
      </c>
      <c r="W9" s="8" t="s">
        <v>96</v>
      </c>
      <c r="X9" s="22">
        <f>IF(V9="Yes",1,0)</f>
        <v>0</v>
      </c>
      <c r="Y9" s="22">
        <f>IF(H9="Active",0,1)</f>
        <v>1</v>
      </c>
    </row>
    <row r="10" spans="1:25" ht="18" customHeight="1" x14ac:dyDescent="0.35">
      <c r="A10" s="8" t="s">
        <v>1345</v>
      </c>
      <c r="B10" s="8" t="s">
        <v>263</v>
      </c>
      <c r="C10" s="8" t="s">
        <v>34</v>
      </c>
      <c r="D10" s="9">
        <v>42</v>
      </c>
      <c r="E10" s="8" t="s">
        <v>67</v>
      </c>
      <c r="F10" s="8" t="s">
        <v>12</v>
      </c>
      <c r="G10" s="10">
        <v>46019</v>
      </c>
      <c r="H10" s="8" t="s">
        <v>54</v>
      </c>
      <c r="I10" s="8" t="s">
        <v>36</v>
      </c>
      <c r="J10" s="8" t="s">
        <v>2269</v>
      </c>
      <c r="K10" s="8" t="s">
        <v>28</v>
      </c>
      <c r="L10" s="8" t="s">
        <v>68</v>
      </c>
      <c r="M10" s="8" t="s">
        <v>60</v>
      </c>
      <c r="N10" s="11">
        <v>177802</v>
      </c>
      <c r="O10" s="11">
        <v>44208</v>
      </c>
      <c r="P10" s="12">
        <v>81</v>
      </c>
      <c r="Q10" s="9">
        <v>6</v>
      </c>
      <c r="R10" s="13">
        <v>28</v>
      </c>
      <c r="S10" s="13">
        <v>1</v>
      </c>
      <c r="T10" s="9">
        <v>21</v>
      </c>
      <c r="U10" s="13">
        <v>74</v>
      </c>
      <c r="V10" s="8" t="s">
        <v>31</v>
      </c>
      <c r="W10" s="8" t="s">
        <v>123</v>
      </c>
      <c r="X10" s="22">
        <f>IF(V10="Yes",1,0)</f>
        <v>0</v>
      </c>
      <c r="Y10" s="22">
        <f>IF(H10="Active",0,1)</f>
        <v>1</v>
      </c>
    </row>
    <row r="11" spans="1:25" ht="18" customHeight="1" x14ac:dyDescent="0.35">
      <c r="A11" s="8" t="s">
        <v>542</v>
      </c>
      <c r="B11" s="8" t="s">
        <v>461</v>
      </c>
      <c r="C11" s="8" t="s">
        <v>25</v>
      </c>
      <c r="D11" s="9">
        <v>58</v>
      </c>
      <c r="E11" s="8" t="s">
        <v>86</v>
      </c>
      <c r="F11" s="8" t="s">
        <v>12</v>
      </c>
      <c r="G11" s="10">
        <v>46018</v>
      </c>
      <c r="H11" s="8" t="s">
        <v>26</v>
      </c>
      <c r="I11" s="8" t="s">
        <v>36</v>
      </c>
      <c r="J11" s="8" t="s">
        <v>2270</v>
      </c>
      <c r="K11" s="8" t="s">
        <v>55</v>
      </c>
      <c r="L11" s="8" t="s">
        <v>44</v>
      </c>
      <c r="M11" s="8" t="s">
        <v>60</v>
      </c>
      <c r="N11" s="11">
        <v>187096</v>
      </c>
      <c r="O11" s="11">
        <v>24133</v>
      </c>
      <c r="P11" s="12">
        <v>86</v>
      </c>
      <c r="Q11" s="9">
        <v>3</v>
      </c>
      <c r="R11" s="13">
        <v>3</v>
      </c>
      <c r="S11" s="13">
        <v>3</v>
      </c>
      <c r="T11" s="9">
        <v>23</v>
      </c>
      <c r="U11" s="13">
        <v>64</v>
      </c>
      <c r="V11" s="8" t="s">
        <v>31</v>
      </c>
      <c r="W11" s="8"/>
      <c r="X11" s="22">
        <f>IF(V11="Yes",1,0)</f>
        <v>0</v>
      </c>
      <c r="Y11" s="22">
        <f>IF(H11="Active",0,1)</f>
        <v>0</v>
      </c>
    </row>
    <row r="12" spans="1:25" ht="18" customHeight="1" x14ac:dyDescent="0.35">
      <c r="A12" s="14" t="s">
        <v>1013</v>
      </c>
      <c r="B12" s="14" t="s">
        <v>33</v>
      </c>
      <c r="C12" s="14" t="s">
        <v>34</v>
      </c>
      <c r="D12" s="15">
        <v>51</v>
      </c>
      <c r="E12" s="14" t="s">
        <v>42</v>
      </c>
      <c r="F12" s="14" t="s">
        <v>90</v>
      </c>
      <c r="G12" s="16">
        <v>46018</v>
      </c>
      <c r="H12" s="14" t="s">
        <v>26</v>
      </c>
      <c r="I12" s="14" t="s">
        <v>36</v>
      </c>
      <c r="J12" s="14" t="s">
        <v>2270</v>
      </c>
      <c r="K12" s="14" t="s">
        <v>37</v>
      </c>
      <c r="L12" s="14" t="s">
        <v>68</v>
      </c>
      <c r="M12" s="14" t="s">
        <v>64</v>
      </c>
      <c r="N12" s="17">
        <v>148380</v>
      </c>
      <c r="O12" s="17">
        <v>13466</v>
      </c>
      <c r="P12" s="18">
        <v>96.4</v>
      </c>
      <c r="Q12" s="15">
        <v>4</v>
      </c>
      <c r="R12" s="19">
        <v>25</v>
      </c>
      <c r="S12" s="19">
        <v>4</v>
      </c>
      <c r="T12" s="15">
        <v>8</v>
      </c>
      <c r="U12" s="19">
        <v>87</v>
      </c>
      <c r="V12" s="14" t="s">
        <v>31</v>
      </c>
      <c r="W12" s="14"/>
      <c r="X12" s="14">
        <f>IF(V12="Yes",1,0)</f>
        <v>0</v>
      </c>
      <c r="Y12" s="14">
        <f>IF(H12="Active",0,1)</f>
        <v>0</v>
      </c>
    </row>
    <row r="13" spans="1:25" ht="18" customHeight="1" x14ac:dyDescent="0.35">
      <c r="A13" s="8" t="s">
        <v>1659</v>
      </c>
      <c r="B13" s="8" t="s">
        <v>556</v>
      </c>
      <c r="C13" s="8" t="s">
        <v>34</v>
      </c>
      <c r="D13" s="9">
        <v>33</v>
      </c>
      <c r="E13" s="8" t="s">
        <v>109</v>
      </c>
      <c r="F13" s="8" t="s">
        <v>35</v>
      </c>
      <c r="G13" s="10">
        <v>46018</v>
      </c>
      <c r="H13" s="8" t="s">
        <v>26</v>
      </c>
      <c r="I13" s="8" t="s">
        <v>2267</v>
      </c>
      <c r="J13" s="8" t="s">
        <v>80</v>
      </c>
      <c r="K13" s="8" t="s">
        <v>37</v>
      </c>
      <c r="L13" s="8" t="s">
        <v>38</v>
      </c>
      <c r="M13" s="8" t="s">
        <v>60</v>
      </c>
      <c r="N13" s="11">
        <v>176444</v>
      </c>
      <c r="O13" s="11">
        <v>18335</v>
      </c>
      <c r="P13" s="12">
        <v>82.9</v>
      </c>
      <c r="Q13" s="9">
        <v>8</v>
      </c>
      <c r="R13" s="13">
        <v>20</v>
      </c>
      <c r="S13" s="13">
        <v>3</v>
      </c>
      <c r="T13" s="9">
        <v>35</v>
      </c>
      <c r="U13" s="13">
        <v>96</v>
      </c>
      <c r="V13" s="8" t="s">
        <v>31</v>
      </c>
      <c r="W13" s="8"/>
      <c r="X13" s="22">
        <f>IF(V13="Yes",1,0)</f>
        <v>0</v>
      </c>
      <c r="Y13" s="22">
        <f>IF(H13="Active",0,1)</f>
        <v>0</v>
      </c>
    </row>
    <row r="14" spans="1:25" ht="18" customHeight="1" x14ac:dyDescent="0.35">
      <c r="A14" s="8" t="s">
        <v>626</v>
      </c>
      <c r="B14" s="8" t="s">
        <v>323</v>
      </c>
      <c r="C14" s="8" t="s">
        <v>34</v>
      </c>
      <c r="D14" s="9">
        <v>52</v>
      </c>
      <c r="E14" s="8" t="s">
        <v>109</v>
      </c>
      <c r="F14" s="8" t="s">
        <v>53</v>
      </c>
      <c r="G14" s="10">
        <v>46017</v>
      </c>
      <c r="H14" s="8" t="s">
        <v>26</v>
      </c>
      <c r="I14" s="8" t="s">
        <v>36</v>
      </c>
      <c r="J14" s="8" t="s">
        <v>2269</v>
      </c>
      <c r="K14" s="8" t="s">
        <v>55</v>
      </c>
      <c r="L14" s="8" t="s">
        <v>87</v>
      </c>
      <c r="M14" s="8" t="s">
        <v>30</v>
      </c>
      <c r="N14" s="11">
        <v>56826</v>
      </c>
      <c r="O14" s="11">
        <v>38163</v>
      </c>
      <c r="P14" s="12">
        <v>95.6</v>
      </c>
      <c r="Q14" s="9">
        <v>4</v>
      </c>
      <c r="R14" s="13">
        <v>21</v>
      </c>
      <c r="S14" s="13">
        <v>4</v>
      </c>
      <c r="T14" s="9">
        <v>35</v>
      </c>
      <c r="U14" s="13">
        <v>80</v>
      </c>
      <c r="V14" s="8" t="s">
        <v>31</v>
      </c>
      <c r="W14" s="8"/>
      <c r="X14" s="22">
        <f>IF(V14="Yes",1,0)</f>
        <v>0</v>
      </c>
      <c r="Y14" s="22">
        <f>IF(H14="Active",0,1)</f>
        <v>0</v>
      </c>
    </row>
    <row r="15" spans="1:25" ht="18" customHeight="1" x14ac:dyDescent="0.35">
      <c r="A15" s="14" t="s">
        <v>1042</v>
      </c>
      <c r="B15" s="14" t="s">
        <v>638</v>
      </c>
      <c r="C15" s="14" t="s">
        <v>25</v>
      </c>
      <c r="D15" s="15">
        <v>44</v>
      </c>
      <c r="E15" s="14" t="s">
        <v>109</v>
      </c>
      <c r="F15" s="14" t="s">
        <v>53</v>
      </c>
      <c r="G15" s="16">
        <v>46017</v>
      </c>
      <c r="H15" s="14" t="s">
        <v>26</v>
      </c>
      <c r="I15" s="14" t="s">
        <v>36</v>
      </c>
      <c r="J15" s="14" t="s">
        <v>2269</v>
      </c>
      <c r="K15" s="14" t="s">
        <v>73</v>
      </c>
      <c r="L15" s="14" t="s">
        <v>38</v>
      </c>
      <c r="M15" s="14" t="s">
        <v>60</v>
      </c>
      <c r="N15" s="17">
        <v>55690</v>
      </c>
      <c r="O15" s="17">
        <v>29309</v>
      </c>
      <c r="P15" s="18">
        <v>84.4</v>
      </c>
      <c r="Q15" s="15">
        <v>4</v>
      </c>
      <c r="R15" s="19">
        <v>14</v>
      </c>
      <c r="S15" s="19">
        <v>5</v>
      </c>
      <c r="T15" s="15">
        <v>3</v>
      </c>
      <c r="U15" s="19">
        <v>63</v>
      </c>
      <c r="V15" s="14" t="s">
        <v>31</v>
      </c>
      <c r="W15" s="14"/>
      <c r="X15" s="14">
        <f>IF(V15="Yes",1,0)</f>
        <v>0</v>
      </c>
      <c r="Y15" s="14">
        <f>IF(H15="Active",0,1)</f>
        <v>0</v>
      </c>
    </row>
    <row r="16" spans="1:25" ht="18" customHeight="1" x14ac:dyDescent="0.35">
      <c r="A16" s="14" t="s">
        <v>1702</v>
      </c>
      <c r="B16" s="14" t="s">
        <v>329</v>
      </c>
      <c r="C16" s="14" t="s">
        <v>25</v>
      </c>
      <c r="D16" s="15">
        <v>27</v>
      </c>
      <c r="E16" s="14" t="s">
        <v>2303</v>
      </c>
      <c r="F16" s="14" t="s">
        <v>35</v>
      </c>
      <c r="G16" s="16">
        <v>46017</v>
      </c>
      <c r="H16" s="14" t="s">
        <v>26</v>
      </c>
      <c r="I16" s="14" t="s">
        <v>36</v>
      </c>
      <c r="J16" s="14" t="s">
        <v>48</v>
      </c>
      <c r="K16" s="14" t="s">
        <v>55</v>
      </c>
      <c r="L16" s="14" t="s">
        <v>87</v>
      </c>
      <c r="M16" s="14" t="s">
        <v>60</v>
      </c>
      <c r="N16" s="17">
        <v>128273</v>
      </c>
      <c r="O16" s="17">
        <v>42351</v>
      </c>
      <c r="P16" s="18">
        <v>83.7</v>
      </c>
      <c r="Q16" s="15">
        <v>0</v>
      </c>
      <c r="R16" s="19">
        <v>13</v>
      </c>
      <c r="S16" s="19">
        <v>5</v>
      </c>
      <c r="T16" s="15">
        <v>35</v>
      </c>
      <c r="U16" s="19">
        <v>72</v>
      </c>
      <c r="V16" s="14" t="s">
        <v>69</v>
      </c>
      <c r="W16" s="14"/>
      <c r="X16" s="14">
        <f>IF(V16="Yes",1,0)</f>
        <v>1</v>
      </c>
      <c r="Y16" s="14">
        <f>IF(H16="Active",0,1)</f>
        <v>0</v>
      </c>
    </row>
    <row r="17" spans="1:25" ht="18" customHeight="1" x14ac:dyDescent="0.35">
      <c r="A17" s="14" t="s">
        <v>535</v>
      </c>
      <c r="B17" s="14" t="s">
        <v>118</v>
      </c>
      <c r="C17" s="14" t="s">
        <v>25</v>
      </c>
      <c r="D17" s="15">
        <v>39</v>
      </c>
      <c r="E17" s="14" t="s">
        <v>109</v>
      </c>
      <c r="F17" s="14" t="s">
        <v>76</v>
      </c>
      <c r="G17" s="16">
        <v>46016</v>
      </c>
      <c r="H17" s="14" t="s">
        <v>26</v>
      </c>
      <c r="I17" s="14" t="s">
        <v>36</v>
      </c>
      <c r="J17" s="14" t="s">
        <v>2268</v>
      </c>
      <c r="K17" s="14" t="s">
        <v>73</v>
      </c>
      <c r="L17" s="14" t="s">
        <v>38</v>
      </c>
      <c r="M17" s="14" t="s">
        <v>30</v>
      </c>
      <c r="N17" s="17">
        <v>154597</v>
      </c>
      <c r="O17" s="17">
        <v>43121</v>
      </c>
      <c r="P17" s="18">
        <v>94.2</v>
      </c>
      <c r="Q17" s="15">
        <v>4</v>
      </c>
      <c r="R17" s="19">
        <v>2</v>
      </c>
      <c r="S17" s="19">
        <v>4</v>
      </c>
      <c r="T17" s="15">
        <v>39</v>
      </c>
      <c r="U17" s="19">
        <v>72</v>
      </c>
      <c r="V17" s="14" t="s">
        <v>31</v>
      </c>
      <c r="W17" s="14"/>
      <c r="X17" s="14">
        <f>IF(V17="Yes",1,0)</f>
        <v>0</v>
      </c>
      <c r="Y17" s="14">
        <f>IF(H17="Active",0,1)</f>
        <v>0</v>
      </c>
    </row>
    <row r="18" spans="1:25" ht="18" customHeight="1" x14ac:dyDescent="0.35">
      <c r="A18" s="14" t="s">
        <v>569</v>
      </c>
      <c r="B18" s="14" t="s">
        <v>506</v>
      </c>
      <c r="C18" s="14" t="s">
        <v>25</v>
      </c>
      <c r="D18" s="15">
        <v>45</v>
      </c>
      <c r="E18" s="14" t="s">
        <v>52</v>
      </c>
      <c r="F18" s="14" t="s">
        <v>35</v>
      </c>
      <c r="G18" s="16">
        <v>46016</v>
      </c>
      <c r="H18" s="14" t="s">
        <v>26</v>
      </c>
      <c r="I18" s="14" t="s">
        <v>2267</v>
      </c>
      <c r="J18" s="14" t="s">
        <v>48</v>
      </c>
      <c r="K18" s="14" t="s">
        <v>73</v>
      </c>
      <c r="L18" s="14" t="s">
        <v>44</v>
      </c>
      <c r="M18" s="14" t="s">
        <v>60</v>
      </c>
      <c r="N18" s="17">
        <v>65241</v>
      </c>
      <c r="O18" s="17">
        <v>35207</v>
      </c>
      <c r="P18" s="18">
        <v>99</v>
      </c>
      <c r="Q18" s="15">
        <v>4</v>
      </c>
      <c r="R18" s="19">
        <v>21</v>
      </c>
      <c r="S18" s="19">
        <v>1</v>
      </c>
      <c r="T18" s="15">
        <v>13</v>
      </c>
      <c r="U18" s="19">
        <v>100</v>
      </c>
      <c r="V18" s="14" t="s">
        <v>31</v>
      </c>
      <c r="W18" s="14"/>
      <c r="X18" s="14">
        <f>IF(V18="Yes",1,0)</f>
        <v>0</v>
      </c>
      <c r="Y18" s="14">
        <f>IF(H18="Active",0,1)</f>
        <v>0</v>
      </c>
    </row>
    <row r="19" spans="1:25" ht="18" customHeight="1" x14ac:dyDescent="0.35">
      <c r="A19" s="8" t="s">
        <v>1505</v>
      </c>
      <c r="B19" s="8" t="s">
        <v>356</v>
      </c>
      <c r="C19" s="8" t="s">
        <v>34</v>
      </c>
      <c r="D19" s="9">
        <v>21</v>
      </c>
      <c r="E19" s="8" t="s">
        <v>52</v>
      </c>
      <c r="F19" s="8" t="s">
        <v>53</v>
      </c>
      <c r="G19" s="10">
        <v>46016</v>
      </c>
      <c r="H19" s="8" t="s">
        <v>26</v>
      </c>
      <c r="I19" s="8" t="s">
        <v>36</v>
      </c>
      <c r="J19" s="8" t="s">
        <v>48</v>
      </c>
      <c r="K19" s="8" t="s">
        <v>55</v>
      </c>
      <c r="L19" s="8" t="s">
        <v>87</v>
      </c>
      <c r="M19" s="8" t="s">
        <v>30</v>
      </c>
      <c r="N19" s="11">
        <v>188869</v>
      </c>
      <c r="O19" s="11">
        <v>19608</v>
      </c>
      <c r="P19" s="12">
        <v>84.9</v>
      </c>
      <c r="Q19" s="9">
        <v>7</v>
      </c>
      <c r="R19" s="13">
        <v>13</v>
      </c>
      <c r="S19" s="13">
        <v>2</v>
      </c>
      <c r="T19" s="9">
        <v>1</v>
      </c>
      <c r="U19" s="13">
        <v>85</v>
      </c>
      <c r="V19" s="8" t="s">
        <v>31</v>
      </c>
      <c r="W19" s="8"/>
      <c r="X19" s="22">
        <f>IF(V19="Yes",1,0)</f>
        <v>0</v>
      </c>
      <c r="Y19" s="22">
        <f>IF(H19="Active",0,1)</f>
        <v>0</v>
      </c>
    </row>
    <row r="20" spans="1:25" ht="18" customHeight="1" x14ac:dyDescent="0.35">
      <c r="A20" s="14" t="s">
        <v>1140</v>
      </c>
      <c r="B20" s="14" t="s">
        <v>581</v>
      </c>
      <c r="C20" s="14" t="s">
        <v>25</v>
      </c>
      <c r="D20" s="15">
        <v>33</v>
      </c>
      <c r="E20" s="14" t="s">
        <v>2304</v>
      </c>
      <c r="F20" s="14" t="s">
        <v>35</v>
      </c>
      <c r="G20" s="16">
        <v>46014</v>
      </c>
      <c r="H20" s="14" t="s">
        <v>26</v>
      </c>
      <c r="I20" s="14" t="s">
        <v>36</v>
      </c>
      <c r="J20" s="14" t="s">
        <v>48</v>
      </c>
      <c r="K20" s="14" t="s">
        <v>37</v>
      </c>
      <c r="L20" s="14" t="s">
        <v>56</v>
      </c>
      <c r="M20" s="14" t="s">
        <v>60</v>
      </c>
      <c r="N20" s="17">
        <v>241687</v>
      </c>
      <c r="O20" s="17">
        <v>16301</v>
      </c>
      <c r="P20" s="18">
        <v>93.6</v>
      </c>
      <c r="Q20" s="15">
        <v>3</v>
      </c>
      <c r="R20" s="19">
        <v>27</v>
      </c>
      <c r="S20" s="19">
        <v>4</v>
      </c>
      <c r="T20" s="15">
        <v>38</v>
      </c>
      <c r="U20" s="19">
        <v>66</v>
      </c>
      <c r="V20" s="14" t="s">
        <v>31</v>
      </c>
      <c r="W20" s="14"/>
      <c r="X20" s="14">
        <f>IF(V20="Yes",1,0)</f>
        <v>0</v>
      </c>
      <c r="Y20" s="14">
        <f>IF(H20="Active",0,1)</f>
        <v>0</v>
      </c>
    </row>
    <row r="21" spans="1:25" ht="18" customHeight="1" x14ac:dyDescent="0.35">
      <c r="A21" s="8" t="s">
        <v>472</v>
      </c>
      <c r="B21" s="8" t="s">
        <v>399</v>
      </c>
      <c r="C21" s="8" t="s">
        <v>34</v>
      </c>
      <c r="D21" s="9">
        <v>56</v>
      </c>
      <c r="E21" s="8" t="s">
        <v>109</v>
      </c>
      <c r="F21" s="8" t="s">
        <v>76</v>
      </c>
      <c r="G21" s="10">
        <v>46013</v>
      </c>
      <c r="H21" s="8" t="s">
        <v>26</v>
      </c>
      <c r="I21" s="8" t="s">
        <v>2267</v>
      </c>
      <c r="J21" s="8" t="s">
        <v>2270</v>
      </c>
      <c r="K21" s="8" t="s">
        <v>37</v>
      </c>
      <c r="L21" s="8" t="s">
        <v>116</v>
      </c>
      <c r="M21" s="8" t="s">
        <v>64</v>
      </c>
      <c r="N21" s="11">
        <v>182392</v>
      </c>
      <c r="O21" s="11">
        <v>40037</v>
      </c>
      <c r="P21" s="12">
        <v>93.1</v>
      </c>
      <c r="Q21" s="9">
        <v>6</v>
      </c>
      <c r="R21" s="13">
        <v>26</v>
      </c>
      <c r="S21" s="13">
        <v>3</v>
      </c>
      <c r="T21" s="9">
        <v>35</v>
      </c>
      <c r="U21" s="13">
        <v>69</v>
      </c>
      <c r="V21" s="8" t="s">
        <v>31</v>
      </c>
      <c r="W21" s="8"/>
      <c r="X21" s="22">
        <f>IF(V21="Yes",1,0)</f>
        <v>0</v>
      </c>
      <c r="Y21" s="22">
        <f>IF(H21="Active",0,1)</f>
        <v>0</v>
      </c>
    </row>
    <row r="22" spans="1:25" ht="18" customHeight="1" x14ac:dyDescent="0.35">
      <c r="A22" s="8" t="s">
        <v>1567</v>
      </c>
      <c r="B22" s="8" t="s">
        <v>548</v>
      </c>
      <c r="C22" s="8" t="s">
        <v>34</v>
      </c>
      <c r="D22" s="9">
        <v>56</v>
      </c>
      <c r="E22" s="8" t="s">
        <v>2304</v>
      </c>
      <c r="F22" s="8" t="s">
        <v>90</v>
      </c>
      <c r="G22" s="10">
        <v>46013</v>
      </c>
      <c r="H22" s="8" t="s">
        <v>26</v>
      </c>
      <c r="I22" s="8" t="s">
        <v>36</v>
      </c>
      <c r="J22" s="8" t="s">
        <v>80</v>
      </c>
      <c r="K22" s="8" t="s">
        <v>55</v>
      </c>
      <c r="L22" s="8" t="s">
        <v>38</v>
      </c>
      <c r="M22" s="8" t="s">
        <v>30</v>
      </c>
      <c r="N22" s="11">
        <v>242675</v>
      </c>
      <c r="O22" s="11">
        <v>6682</v>
      </c>
      <c r="P22" s="12">
        <v>92.4</v>
      </c>
      <c r="Q22" s="9">
        <v>1</v>
      </c>
      <c r="R22" s="13">
        <v>21</v>
      </c>
      <c r="S22" s="13">
        <v>3</v>
      </c>
      <c r="T22" s="9">
        <v>7</v>
      </c>
      <c r="U22" s="13">
        <v>68</v>
      </c>
      <c r="V22" s="8" t="s">
        <v>31</v>
      </c>
      <c r="W22" s="8"/>
      <c r="X22" s="22">
        <f>IF(V22="Yes",1,0)</f>
        <v>0</v>
      </c>
      <c r="Y22" s="22">
        <f>IF(H22="Active",0,1)</f>
        <v>0</v>
      </c>
    </row>
    <row r="23" spans="1:25" ht="18" customHeight="1" x14ac:dyDescent="0.35">
      <c r="A23" s="8" t="s">
        <v>336</v>
      </c>
      <c r="B23" s="8" t="s">
        <v>210</v>
      </c>
      <c r="C23" s="8" t="s">
        <v>34</v>
      </c>
      <c r="D23" s="9">
        <v>44</v>
      </c>
      <c r="E23" s="8" t="s">
        <v>2303</v>
      </c>
      <c r="F23" s="8" t="s">
        <v>12</v>
      </c>
      <c r="G23" s="10">
        <v>46012</v>
      </c>
      <c r="H23" s="8" t="s">
        <v>26</v>
      </c>
      <c r="I23" s="8" t="s">
        <v>36</v>
      </c>
      <c r="J23" s="8" t="s">
        <v>2270</v>
      </c>
      <c r="K23" s="8" t="s">
        <v>28</v>
      </c>
      <c r="L23" s="8" t="s">
        <v>44</v>
      </c>
      <c r="M23" s="8" t="s">
        <v>64</v>
      </c>
      <c r="N23" s="11">
        <v>165915</v>
      </c>
      <c r="O23" s="11">
        <v>36136</v>
      </c>
      <c r="P23" s="12">
        <v>97.7</v>
      </c>
      <c r="Q23" s="9">
        <v>4</v>
      </c>
      <c r="R23" s="13">
        <v>24</v>
      </c>
      <c r="S23" s="13">
        <v>4</v>
      </c>
      <c r="T23" s="9">
        <v>31</v>
      </c>
      <c r="U23" s="13">
        <v>86</v>
      </c>
      <c r="V23" s="8" t="s">
        <v>31</v>
      </c>
      <c r="W23" s="8"/>
      <c r="X23" s="22">
        <f>IF(V23="Yes",1,0)</f>
        <v>0</v>
      </c>
      <c r="Y23" s="22">
        <f>IF(H23="Active",0,1)</f>
        <v>0</v>
      </c>
    </row>
    <row r="24" spans="1:25" ht="18" customHeight="1" x14ac:dyDescent="0.35">
      <c r="A24" s="14" t="s">
        <v>629</v>
      </c>
      <c r="B24" s="14" t="s">
        <v>630</v>
      </c>
      <c r="C24" s="14" t="s">
        <v>25</v>
      </c>
      <c r="D24" s="15">
        <v>49</v>
      </c>
      <c r="E24" s="14" t="s">
        <v>86</v>
      </c>
      <c r="F24" s="14" t="s">
        <v>53</v>
      </c>
      <c r="G24" s="16">
        <v>46012</v>
      </c>
      <c r="H24" s="14" t="s">
        <v>26</v>
      </c>
      <c r="I24" s="14" t="s">
        <v>2267</v>
      </c>
      <c r="J24" s="14" t="s">
        <v>48</v>
      </c>
      <c r="K24" s="14" t="s">
        <v>28</v>
      </c>
      <c r="L24" s="14" t="s">
        <v>116</v>
      </c>
      <c r="M24" s="14" t="s">
        <v>64</v>
      </c>
      <c r="N24" s="17">
        <v>142848</v>
      </c>
      <c r="O24" s="17">
        <v>27068</v>
      </c>
      <c r="P24" s="18">
        <v>92.2</v>
      </c>
      <c r="Q24" s="15">
        <v>7</v>
      </c>
      <c r="R24" s="19">
        <v>21</v>
      </c>
      <c r="S24" s="19">
        <v>1</v>
      </c>
      <c r="T24" s="15">
        <v>9</v>
      </c>
      <c r="U24" s="19">
        <v>99</v>
      </c>
      <c r="V24" s="14" t="s">
        <v>31</v>
      </c>
      <c r="W24" s="14"/>
      <c r="X24" s="14">
        <f>IF(V24="Yes",1,0)</f>
        <v>0</v>
      </c>
      <c r="Y24" s="14">
        <f>IF(H24="Active",0,1)</f>
        <v>0</v>
      </c>
    </row>
    <row r="25" spans="1:25" ht="18" customHeight="1" x14ac:dyDescent="0.35">
      <c r="A25" s="8" t="s">
        <v>1033</v>
      </c>
      <c r="B25" s="8" t="s">
        <v>1010</v>
      </c>
      <c r="C25" s="8" t="s">
        <v>25</v>
      </c>
      <c r="D25" s="9">
        <v>34</v>
      </c>
      <c r="E25" s="8" t="s">
        <v>42</v>
      </c>
      <c r="F25" s="8" t="s">
        <v>53</v>
      </c>
      <c r="G25" s="10">
        <v>46012</v>
      </c>
      <c r="H25" s="8" t="s">
        <v>26</v>
      </c>
      <c r="I25" s="8" t="s">
        <v>27</v>
      </c>
      <c r="J25" s="8" t="s">
        <v>2269</v>
      </c>
      <c r="K25" s="8" t="s">
        <v>37</v>
      </c>
      <c r="L25" s="8" t="s">
        <v>68</v>
      </c>
      <c r="M25" s="8" t="s">
        <v>30</v>
      </c>
      <c r="N25" s="11">
        <v>136026</v>
      </c>
      <c r="O25" s="11">
        <v>26066</v>
      </c>
      <c r="P25" s="12">
        <v>93.1</v>
      </c>
      <c r="Q25" s="9">
        <v>8</v>
      </c>
      <c r="R25" s="13">
        <v>14</v>
      </c>
      <c r="S25" s="13">
        <v>5</v>
      </c>
      <c r="T25" s="9">
        <v>9</v>
      </c>
      <c r="U25" s="13">
        <v>84</v>
      </c>
      <c r="V25" s="8" t="s">
        <v>31</v>
      </c>
      <c r="W25" s="8"/>
      <c r="X25" s="22">
        <f>IF(V25="Yes",1,0)</f>
        <v>0</v>
      </c>
      <c r="Y25" s="22">
        <f>IF(H25="Active",0,1)</f>
        <v>0</v>
      </c>
    </row>
    <row r="26" spans="1:25" ht="18" customHeight="1" x14ac:dyDescent="0.35">
      <c r="A26" s="8" t="s">
        <v>1343</v>
      </c>
      <c r="B26" s="8" t="s">
        <v>471</v>
      </c>
      <c r="C26" s="8" t="s">
        <v>34</v>
      </c>
      <c r="D26" s="9">
        <v>41</v>
      </c>
      <c r="E26" s="8" t="s">
        <v>93</v>
      </c>
      <c r="F26" s="8" t="s">
        <v>43</v>
      </c>
      <c r="G26" s="10">
        <v>46012</v>
      </c>
      <c r="H26" s="8" t="s">
        <v>26</v>
      </c>
      <c r="I26" s="8" t="s">
        <v>36</v>
      </c>
      <c r="J26" s="8" t="s">
        <v>2268</v>
      </c>
      <c r="K26" s="8" t="s">
        <v>73</v>
      </c>
      <c r="L26" s="8" t="s">
        <v>29</v>
      </c>
      <c r="M26" s="8" t="s">
        <v>45</v>
      </c>
      <c r="N26" s="11">
        <v>93581</v>
      </c>
      <c r="O26" s="11">
        <v>7327</v>
      </c>
      <c r="P26" s="12">
        <v>99.7</v>
      </c>
      <c r="Q26" s="9">
        <v>10</v>
      </c>
      <c r="R26" s="13">
        <v>16</v>
      </c>
      <c r="S26" s="13">
        <v>2</v>
      </c>
      <c r="T26" s="9">
        <v>32</v>
      </c>
      <c r="U26" s="13">
        <v>85</v>
      </c>
      <c r="V26" s="8" t="s">
        <v>31</v>
      </c>
      <c r="W26" s="8"/>
      <c r="X26" s="22">
        <f>IF(V26="Yes",1,0)</f>
        <v>0</v>
      </c>
      <c r="Y26" s="22">
        <f>IF(H26="Active",0,1)</f>
        <v>0</v>
      </c>
    </row>
    <row r="27" spans="1:25" ht="18" customHeight="1" x14ac:dyDescent="0.35">
      <c r="A27" s="14" t="s">
        <v>1436</v>
      </c>
      <c r="B27" s="14" t="s">
        <v>265</v>
      </c>
      <c r="C27" s="14" t="s">
        <v>34</v>
      </c>
      <c r="D27" s="15">
        <v>55</v>
      </c>
      <c r="E27" s="14" t="s">
        <v>67</v>
      </c>
      <c r="F27" s="14" t="s">
        <v>12</v>
      </c>
      <c r="G27" s="16">
        <v>46012</v>
      </c>
      <c r="H27" s="14" t="s">
        <v>26</v>
      </c>
      <c r="I27" s="14" t="s">
        <v>2267</v>
      </c>
      <c r="J27" s="14" t="s">
        <v>2270</v>
      </c>
      <c r="K27" s="14" t="s">
        <v>28</v>
      </c>
      <c r="L27" s="14" t="s">
        <v>87</v>
      </c>
      <c r="M27" s="14" t="s">
        <v>39</v>
      </c>
      <c r="N27" s="17">
        <v>174541</v>
      </c>
      <c r="O27" s="17">
        <v>8837</v>
      </c>
      <c r="P27" s="18">
        <v>83.6</v>
      </c>
      <c r="Q27" s="15">
        <v>10</v>
      </c>
      <c r="R27" s="19">
        <v>5</v>
      </c>
      <c r="S27" s="19">
        <v>3</v>
      </c>
      <c r="T27" s="15">
        <v>19</v>
      </c>
      <c r="U27" s="19">
        <v>71</v>
      </c>
      <c r="V27" s="14" t="s">
        <v>31</v>
      </c>
      <c r="W27" s="14"/>
      <c r="X27" s="14">
        <f>IF(V27="Yes",1,0)</f>
        <v>0</v>
      </c>
      <c r="Y27" s="14">
        <f>IF(H27="Active",0,1)</f>
        <v>0</v>
      </c>
    </row>
    <row r="28" spans="1:25" ht="18" customHeight="1" x14ac:dyDescent="0.35">
      <c r="A28" s="8" t="s">
        <v>1801</v>
      </c>
      <c r="B28" s="8" t="s">
        <v>228</v>
      </c>
      <c r="C28" s="8" t="s">
        <v>34</v>
      </c>
      <c r="D28" s="9">
        <v>31</v>
      </c>
      <c r="E28" s="8" t="s">
        <v>52</v>
      </c>
      <c r="F28" s="8" t="s">
        <v>43</v>
      </c>
      <c r="G28" s="10">
        <v>46012</v>
      </c>
      <c r="H28" s="8" t="s">
        <v>26</v>
      </c>
      <c r="I28" s="8" t="s">
        <v>2267</v>
      </c>
      <c r="J28" s="8" t="s">
        <v>80</v>
      </c>
      <c r="K28" s="8" t="s">
        <v>73</v>
      </c>
      <c r="L28" s="8" t="s">
        <v>87</v>
      </c>
      <c r="M28" s="8" t="s">
        <v>39</v>
      </c>
      <c r="N28" s="11">
        <v>70263</v>
      </c>
      <c r="O28" s="11">
        <v>7596</v>
      </c>
      <c r="P28" s="12">
        <v>88.2</v>
      </c>
      <c r="Q28" s="9">
        <v>10</v>
      </c>
      <c r="R28" s="13">
        <v>19</v>
      </c>
      <c r="S28" s="13">
        <v>2</v>
      </c>
      <c r="T28" s="9">
        <v>21</v>
      </c>
      <c r="U28" s="13">
        <v>70</v>
      </c>
      <c r="V28" s="8" t="s">
        <v>69</v>
      </c>
      <c r="W28" s="8"/>
      <c r="X28" s="22">
        <f>IF(V28="Yes",1,0)</f>
        <v>1</v>
      </c>
      <c r="Y28" s="22">
        <f>IF(H28="Active",0,1)</f>
        <v>0</v>
      </c>
    </row>
    <row r="29" spans="1:25" ht="18" customHeight="1" x14ac:dyDescent="0.35">
      <c r="A29" s="8" t="s">
        <v>902</v>
      </c>
      <c r="B29" s="8" t="s">
        <v>339</v>
      </c>
      <c r="C29" s="8" t="s">
        <v>34</v>
      </c>
      <c r="D29" s="9">
        <v>47</v>
      </c>
      <c r="E29" s="8" t="s">
        <v>42</v>
      </c>
      <c r="F29" s="8" t="s">
        <v>76</v>
      </c>
      <c r="G29" s="10">
        <v>46011</v>
      </c>
      <c r="H29" s="8" t="s">
        <v>26</v>
      </c>
      <c r="I29" s="8" t="s">
        <v>27</v>
      </c>
      <c r="J29" s="8" t="s">
        <v>80</v>
      </c>
      <c r="K29" s="8" t="s">
        <v>73</v>
      </c>
      <c r="L29" s="8" t="s">
        <v>44</v>
      </c>
      <c r="M29" s="8" t="s">
        <v>64</v>
      </c>
      <c r="N29" s="11">
        <v>139735</v>
      </c>
      <c r="O29" s="11">
        <v>17146</v>
      </c>
      <c r="P29" s="12">
        <v>97</v>
      </c>
      <c r="Q29" s="9">
        <v>10</v>
      </c>
      <c r="R29" s="13">
        <v>10</v>
      </c>
      <c r="S29" s="13">
        <v>5</v>
      </c>
      <c r="T29" s="9">
        <v>39</v>
      </c>
      <c r="U29" s="13">
        <v>79</v>
      </c>
      <c r="V29" s="8" t="s">
        <v>31</v>
      </c>
      <c r="W29" s="8"/>
      <c r="X29" s="22">
        <f>IF(V29="Yes",1,0)</f>
        <v>0</v>
      </c>
      <c r="Y29" s="22">
        <f>IF(H29="Active",0,1)</f>
        <v>0</v>
      </c>
    </row>
    <row r="30" spans="1:25" ht="18" customHeight="1" x14ac:dyDescent="0.35">
      <c r="A30" s="8" t="s">
        <v>910</v>
      </c>
      <c r="B30" s="8" t="s">
        <v>288</v>
      </c>
      <c r="C30" s="8" t="s">
        <v>34</v>
      </c>
      <c r="D30" s="9">
        <v>59</v>
      </c>
      <c r="E30" s="8" t="s">
        <v>67</v>
      </c>
      <c r="F30" s="8" t="s">
        <v>76</v>
      </c>
      <c r="G30" s="10">
        <v>46011</v>
      </c>
      <c r="H30" s="8" t="s">
        <v>26</v>
      </c>
      <c r="I30" s="8" t="s">
        <v>27</v>
      </c>
      <c r="J30" s="8" t="s">
        <v>2269</v>
      </c>
      <c r="K30" s="8" t="s">
        <v>55</v>
      </c>
      <c r="L30" s="8" t="s">
        <v>116</v>
      </c>
      <c r="M30" s="8" t="s">
        <v>39</v>
      </c>
      <c r="N30" s="11">
        <v>97342</v>
      </c>
      <c r="O30" s="11">
        <v>15082</v>
      </c>
      <c r="P30" s="12">
        <v>96.9</v>
      </c>
      <c r="Q30" s="9">
        <v>3</v>
      </c>
      <c r="R30" s="13">
        <v>14</v>
      </c>
      <c r="S30" s="13">
        <v>4</v>
      </c>
      <c r="T30" s="9">
        <v>21</v>
      </c>
      <c r="U30" s="13">
        <v>88</v>
      </c>
      <c r="V30" s="8" t="s">
        <v>69</v>
      </c>
      <c r="W30" s="8"/>
      <c r="X30" s="22">
        <f>IF(V30="Yes",1,0)</f>
        <v>1</v>
      </c>
      <c r="Y30" s="22">
        <f>IF(H30="Active",0,1)</f>
        <v>0</v>
      </c>
    </row>
    <row r="31" spans="1:25" ht="18" customHeight="1" x14ac:dyDescent="0.35">
      <c r="A31" s="8" t="s">
        <v>1327</v>
      </c>
      <c r="B31" s="8" t="s">
        <v>149</v>
      </c>
      <c r="C31" s="8" t="s">
        <v>34</v>
      </c>
      <c r="D31" s="9">
        <v>41</v>
      </c>
      <c r="E31" s="8" t="s">
        <v>86</v>
      </c>
      <c r="F31" s="8" t="s">
        <v>76</v>
      </c>
      <c r="G31" s="10">
        <v>46011</v>
      </c>
      <c r="H31" s="8" t="s">
        <v>26</v>
      </c>
      <c r="I31" s="8" t="s">
        <v>2267</v>
      </c>
      <c r="J31" s="8" t="s">
        <v>2270</v>
      </c>
      <c r="K31" s="8" t="s">
        <v>28</v>
      </c>
      <c r="L31" s="8" t="s">
        <v>56</v>
      </c>
      <c r="M31" s="8" t="s">
        <v>30</v>
      </c>
      <c r="N31" s="11">
        <v>190397</v>
      </c>
      <c r="O31" s="11">
        <v>11580</v>
      </c>
      <c r="P31" s="12">
        <v>89.3</v>
      </c>
      <c r="Q31" s="9">
        <v>9</v>
      </c>
      <c r="R31" s="13">
        <v>3</v>
      </c>
      <c r="S31" s="13">
        <v>5</v>
      </c>
      <c r="T31" s="9">
        <v>22</v>
      </c>
      <c r="U31" s="13">
        <v>80</v>
      </c>
      <c r="V31" s="8" t="s">
        <v>31</v>
      </c>
      <c r="W31" s="8"/>
      <c r="X31" s="22">
        <f>IF(V31="Yes",1,0)</f>
        <v>0</v>
      </c>
      <c r="Y31" s="22">
        <f>IF(H31="Active",0,1)</f>
        <v>0</v>
      </c>
    </row>
    <row r="32" spans="1:25" ht="18" customHeight="1" x14ac:dyDescent="0.35">
      <c r="A32" s="8" t="s">
        <v>1663</v>
      </c>
      <c r="B32" s="8" t="s">
        <v>240</v>
      </c>
      <c r="C32" s="8" t="s">
        <v>34</v>
      </c>
      <c r="D32" s="9">
        <v>60</v>
      </c>
      <c r="E32" s="8" t="s">
        <v>109</v>
      </c>
      <c r="F32" s="8" t="s">
        <v>43</v>
      </c>
      <c r="G32" s="10">
        <v>46011</v>
      </c>
      <c r="H32" s="8" t="s">
        <v>26</v>
      </c>
      <c r="I32" s="8" t="s">
        <v>2267</v>
      </c>
      <c r="J32" s="8" t="s">
        <v>2269</v>
      </c>
      <c r="K32" s="8" t="s">
        <v>55</v>
      </c>
      <c r="L32" s="8" t="s">
        <v>116</v>
      </c>
      <c r="M32" s="8" t="s">
        <v>30</v>
      </c>
      <c r="N32" s="11">
        <v>222550</v>
      </c>
      <c r="O32" s="11">
        <v>12181</v>
      </c>
      <c r="P32" s="12">
        <v>88.5</v>
      </c>
      <c r="Q32" s="9">
        <v>6</v>
      </c>
      <c r="R32" s="13">
        <v>29</v>
      </c>
      <c r="S32" s="13">
        <v>3</v>
      </c>
      <c r="T32" s="9">
        <v>2</v>
      </c>
      <c r="U32" s="13">
        <v>69</v>
      </c>
      <c r="V32" s="8" t="s">
        <v>31</v>
      </c>
      <c r="W32" s="8"/>
      <c r="X32" s="22">
        <f>IF(V32="Yes",1,0)</f>
        <v>0</v>
      </c>
      <c r="Y32" s="22">
        <f>IF(H32="Active",0,1)</f>
        <v>0</v>
      </c>
    </row>
    <row r="33" spans="1:25" ht="18" customHeight="1" x14ac:dyDescent="0.35">
      <c r="A33" s="14" t="s">
        <v>350</v>
      </c>
      <c r="B33" s="14" t="s">
        <v>339</v>
      </c>
      <c r="C33" s="14" t="s">
        <v>25</v>
      </c>
      <c r="D33" s="15">
        <v>30</v>
      </c>
      <c r="E33" s="14" t="s">
        <v>93</v>
      </c>
      <c r="F33" s="14" t="s">
        <v>43</v>
      </c>
      <c r="G33" s="16">
        <v>46010</v>
      </c>
      <c r="H33" s="14" t="s">
        <v>26</v>
      </c>
      <c r="I33" s="14" t="s">
        <v>2267</v>
      </c>
      <c r="J33" s="14" t="s">
        <v>2268</v>
      </c>
      <c r="K33" s="14" t="s">
        <v>2271</v>
      </c>
      <c r="L33" s="14" t="s">
        <v>44</v>
      </c>
      <c r="M33" s="14" t="s">
        <v>60</v>
      </c>
      <c r="N33" s="17">
        <v>210798</v>
      </c>
      <c r="O33" s="17">
        <v>32205</v>
      </c>
      <c r="P33" s="18">
        <v>84.7</v>
      </c>
      <c r="Q33" s="15">
        <v>0</v>
      </c>
      <c r="R33" s="19">
        <v>22</v>
      </c>
      <c r="S33" s="19">
        <v>4</v>
      </c>
      <c r="T33" s="15">
        <v>36</v>
      </c>
      <c r="U33" s="19">
        <v>92</v>
      </c>
      <c r="V33" s="14" t="s">
        <v>31</v>
      </c>
      <c r="W33" s="14"/>
      <c r="X33" s="14">
        <f>IF(V33="Yes",1,0)</f>
        <v>0</v>
      </c>
      <c r="Y33" s="14">
        <f>IF(H33="Active",0,1)</f>
        <v>0</v>
      </c>
    </row>
    <row r="34" spans="1:25" ht="18" customHeight="1" x14ac:dyDescent="0.35">
      <c r="A34" s="8" t="s">
        <v>703</v>
      </c>
      <c r="B34" s="8" t="s">
        <v>302</v>
      </c>
      <c r="C34" s="8" t="s">
        <v>25</v>
      </c>
      <c r="D34" s="9">
        <v>32</v>
      </c>
      <c r="E34" s="8" t="s">
        <v>86</v>
      </c>
      <c r="F34" s="8" t="s">
        <v>53</v>
      </c>
      <c r="G34" s="10">
        <v>46010</v>
      </c>
      <c r="H34" s="8" t="s">
        <v>26</v>
      </c>
      <c r="I34" s="8" t="s">
        <v>2267</v>
      </c>
      <c r="J34" s="8" t="s">
        <v>2270</v>
      </c>
      <c r="K34" s="8" t="s">
        <v>73</v>
      </c>
      <c r="L34" s="8" t="s">
        <v>87</v>
      </c>
      <c r="M34" s="8" t="s">
        <v>64</v>
      </c>
      <c r="N34" s="11">
        <v>77676</v>
      </c>
      <c r="O34" s="11">
        <v>20303</v>
      </c>
      <c r="P34" s="12">
        <v>99.8</v>
      </c>
      <c r="Q34" s="9">
        <v>0</v>
      </c>
      <c r="R34" s="13">
        <v>23</v>
      </c>
      <c r="S34" s="13">
        <v>3</v>
      </c>
      <c r="T34" s="9">
        <v>20</v>
      </c>
      <c r="U34" s="13">
        <v>87</v>
      </c>
      <c r="V34" s="8" t="s">
        <v>31</v>
      </c>
      <c r="W34" s="8"/>
      <c r="X34" s="22">
        <f>IF(V34="Yes",1,0)</f>
        <v>0</v>
      </c>
      <c r="Y34" s="22">
        <f>IF(H34="Active",0,1)</f>
        <v>0</v>
      </c>
    </row>
    <row r="35" spans="1:25" ht="18" customHeight="1" x14ac:dyDescent="0.35">
      <c r="A35" s="8" t="s">
        <v>1135</v>
      </c>
      <c r="B35" s="8" t="s">
        <v>422</v>
      </c>
      <c r="C35" s="8" t="s">
        <v>25</v>
      </c>
      <c r="D35" s="9">
        <v>31</v>
      </c>
      <c r="E35" s="8" t="s">
        <v>86</v>
      </c>
      <c r="F35" s="8" t="s">
        <v>43</v>
      </c>
      <c r="G35" s="10">
        <v>46010</v>
      </c>
      <c r="H35" s="8" t="s">
        <v>26</v>
      </c>
      <c r="I35" s="8" t="s">
        <v>36</v>
      </c>
      <c r="J35" s="8" t="s">
        <v>2268</v>
      </c>
      <c r="K35" s="8" t="s">
        <v>37</v>
      </c>
      <c r="L35" s="8" t="s">
        <v>49</v>
      </c>
      <c r="M35" s="8" t="s">
        <v>60</v>
      </c>
      <c r="N35" s="11">
        <v>105396</v>
      </c>
      <c r="O35" s="11">
        <v>13661</v>
      </c>
      <c r="P35" s="12">
        <v>86.8</v>
      </c>
      <c r="Q35" s="9">
        <v>10</v>
      </c>
      <c r="R35" s="13">
        <v>26</v>
      </c>
      <c r="S35" s="13">
        <v>5</v>
      </c>
      <c r="T35" s="9">
        <v>11</v>
      </c>
      <c r="U35" s="13">
        <v>77</v>
      </c>
      <c r="V35" s="8" t="s">
        <v>31</v>
      </c>
      <c r="W35" s="8"/>
      <c r="X35" s="22">
        <f>IF(V35="Yes",1,0)</f>
        <v>0</v>
      </c>
      <c r="Y35" s="22">
        <f>IF(H35="Active",0,1)</f>
        <v>0</v>
      </c>
    </row>
    <row r="36" spans="1:25" ht="18" customHeight="1" x14ac:dyDescent="0.35">
      <c r="A36" s="14" t="s">
        <v>1948</v>
      </c>
      <c r="B36" s="14" t="s">
        <v>672</v>
      </c>
      <c r="C36" s="14" t="s">
        <v>25</v>
      </c>
      <c r="D36" s="15">
        <v>36</v>
      </c>
      <c r="E36" s="14" t="s">
        <v>52</v>
      </c>
      <c r="F36" s="14" t="s">
        <v>12</v>
      </c>
      <c r="G36" s="16">
        <v>46010</v>
      </c>
      <c r="H36" s="14" t="s">
        <v>26</v>
      </c>
      <c r="I36" s="14" t="s">
        <v>2267</v>
      </c>
      <c r="J36" s="14" t="s">
        <v>2270</v>
      </c>
      <c r="K36" s="14" t="s">
        <v>73</v>
      </c>
      <c r="L36" s="14" t="s">
        <v>29</v>
      </c>
      <c r="M36" s="14" t="s">
        <v>60</v>
      </c>
      <c r="N36" s="17">
        <v>184496</v>
      </c>
      <c r="O36" s="17">
        <v>12520</v>
      </c>
      <c r="P36" s="18">
        <v>96.2</v>
      </c>
      <c r="Q36" s="15">
        <v>2</v>
      </c>
      <c r="R36" s="19">
        <v>4</v>
      </c>
      <c r="S36" s="19">
        <v>4</v>
      </c>
      <c r="T36" s="15">
        <v>5</v>
      </c>
      <c r="U36" s="19">
        <v>82</v>
      </c>
      <c r="V36" s="14" t="s">
        <v>31</v>
      </c>
      <c r="W36" s="14"/>
      <c r="X36" s="14">
        <f>IF(V36="Yes",1,0)</f>
        <v>0</v>
      </c>
      <c r="Y36" s="14">
        <f>IF(H36="Active",0,1)</f>
        <v>0</v>
      </c>
    </row>
    <row r="37" spans="1:25" ht="18" customHeight="1" x14ac:dyDescent="0.35">
      <c r="A37" s="14" t="s">
        <v>484</v>
      </c>
      <c r="B37" s="14" t="s">
        <v>485</v>
      </c>
      <c r="C37" s="14" t="s">
        <v>34</v>
      </c>
      <c r="D37" s="15">
        <v>32</v>
      </c>
      <c r="E37" s="14" t="s">
        <v>2304</v>
      </c>
      <c r="F37" s="14" t="s">
        <v>43</v>
      </c>
      <c r="G37" s="16">
        <v>46009</v>
      </c>
      <c r="H37" s="14" t="s">
        <v>26</v>
      </c>
      <c r="I37" s="14" t="s">
        <v>2267</v>
      </c>
      <c r="J37" s="14" t="s">
        <v>2270</v>
      </c>
      <c r="K37" s="14" t="s">
        <v>55</v>
      </c>
      <c r="L37" s="14" t="s">
        <v>44</v>
      </c>
      <c r="M37" s="14" t="s">
        <v>39</v>
      </c>
      <c r="N37" s="17">
        <v>164686</v>
      </c>
      <c r="O37" s="17">
        <v>21876</v>
      </c>
      <c r="P37" s="18">
        <v>93.7</v>
      </c>
      <c r="Q37" s="15">
        <v>10</v>
      </c>
      <c r="R37" s="19">
        <v>14</v>
      </c>
      <c r="S37" s="19">
        <v>4</v>
      </c>
      <c r="T37" s="15">
        <v>40</v>
      </c>
      <c r="U37" s="19">
        <v>63</v>
      </c>
      <c r="V37" s="14" t="s">
        <v>69</v>
      </c>
      <c r="W37" s="14"/>
      <c r="X37" s="14">
        <f>IF(V37="Yes",1,0)</f>
        <v>1</v>
      </c>
      <c r="Y37" s="14">
        <f>IF(H37="Active",0,1)</f>
        <v>0</v>
      </c>
    </row>
    <row r="38" spans="1:25" ht="18" customHeight="1" x14ac:dyDescent="0.35">
      <c r="A38" s="14" t="s">
        <v>692</v>
      </c>
      <c r="B38" s="14" t="s">
        <v>244</v>
      </c>
      <c r="C38" s="14" t="s">
        <v>34</v>
      </c>
      <c r="D38" s="15">
        <v>51</v>
      </c>
      <c r="E38" s="14" t="s">
        <v>2303</v>
      </c>
      <c r="F38" s="14" t="s">
        <v>76</v>
      </c>
      <c r="G38" s="16">
        <v>46009</v>
      </c>
      <c r="H38" s="14" t="s">
        <v>26</v>
      </c>
      <c r="I38" s="14" t="s">
        <v>27</v>
      </c>
      <c r="J38" s="14" t="s">
        <v>2268</v>
      </c>
      <c r="K38" s="14" t="s">
        <v>37</v>
      </c>
      <c r="L38" s="14" t="s">
        <v>44</v>
      </c>
      <c r="M38" s="14" t="s">
        <v>60</v>
      </c>
      <c r="N38" s="17">
        <v>46189</v>
      </c>
      <c r="O38" s="17">
        <v>19344</v>
      </c>
      <c r="P38" s="18">
        <v>98.9</v>
      </c>
      <c r="Q38" s="15">
        <v>3</v>
      </c>
      <c r="R38" s="19">
        <v>29</v>
      </c>
      <c r="S38" s="19">
        <v>1</v>
      </c>
      <c r="T38" s="15">
        <v>33</v>
      </c>
      <c r="U38" s="19">
        <v>77</v>
      </c>
      <c r="V38" s="14" t="s">
        <v>31</v>
      </c>
      <c r="W38" s="14"/>
      <c r="X38" s="14">
        <f>IF(V38="Yes",1,0)</f>
        <v>0</v>
      </c>
      <c r="Y38" s="14">
        <f>IF(H38="Active",0,1)</f>
        <v>0</v>
      </c>
    </row>
    <row r="39" spans="1:25" ht="18" customHeight="1" x14ac:dyDescent="0.35">
      <c r="A39" s="14" t="s">
        <v>776</v>
      </c>
      <c r="B39" s="14" t="s">
        <v>157</v>
      </c>
      <c r="C39" s="14" t="s">
        <v>34</v>
      </c>
      <c r="D39" s="15">
        <v>58</v>
      </c>
      <c r="E39" s="14" t="s">
        <v>93</v>
      </c>
      <c r="F39" s="14" t="s">
        <v>79</v>
      </c>
      <c r="G39" s="16">
        <v>46009</v>
      </c>
      <c r="H39" s="14" t="s">
        <v>26</v>
      </c>
      <c r="I39" s="14" t="s">
        <v>2267</v>
      </c>
      <c r="J39" s="14" t="s">
        <v>48</v>
      </c>
      <c r="K39" s="14" t="s">
        <v>28</v>
      </c>
      <c r="L39" s="14" t="s">
        <v>56</v>
      </c>
      <c r="M39" s="14" t="s">
        <v>39</v>
      </c>
      <c r="N39" s="17">
        <v>73563</v>
      </c>
      <c r="O39" s="17">
        <v>22175</v>
      </c>
      <c r="P39" s="18">
        <v>97.6</v>
      </c>
      <c r="Q39" s="15">
        <v>3</v>
      </c>
      <c r="R39" s="19">
        <v>3</v>
      </c>
      <c r="S39" s="19">
        <v>4</v>
      </c>
      <c r="T39" s="15">
        <v>24</v>
      </c>
      <c r="U39" s="19">
        <v>62</v>
      </c>
      <c r="V39" s="14" t="s">
        <v>31</v>
      </c>
      <c r="W39" s="14"/>
      <c r="X39" s="14">
        <f>IF(V39="Yes",1,0)</f>
        <v>0</v>
      </c>
      <c r="Y39" s="14">
        <f>IF(H39="Active",0,1)</f>
        <v>0</v>
      </c>
    </row>
    <row r="40" spans="1:25" ht="18" customHeight="1" x14ac:dyDescent="0.35">
      <c r="A40" s="8" t="s">
        <v>908</v>
      </c>
      <c r="B40" s="8" t="s">
        <v>789</v>
      </c>
      <c r="C40" s="8" t="s">
        <v>34</v>
      </c>
      <c r="D40" s="9">
        <v>25</v>
      </c>
      <c r="E40" s="8" t="s">
        <v>2304</v>
      </c>
      <c r="F40" s="8" t="s">
        <v>12</v>
      </c>
      <c r="G40" s="10">
        <v>46009</v>
      </c>
      <c r="H40" s="8" t="s">
        <v>26</v>
      </c>
      <c r="I40" s="8" t="s">
        <v>36</v>
      </c>
      <c r="J40" s="8" t="s">
        <v>48</v>
      </c>
      <c r="K40" s="8" t="s">
        <v>2271</v>
      </c>
      <c r="L40" s="8" t="s">
        <v>56</v>
      </c>
      <c r="M40" s="8" t="s">
        <v>30</v>
      </c>
      <c r="N40" s="11">
        <v>41203</v>
      </c>
      <c r="O40" s="11">
        <v>33126</v>
      </c>
      <c r="P40" s="12">
        <v>92</v>
      </c>
      <c r="Q40" s="9">
        <v>1</v>
      </c>
      <c r="R40" s="13">
        <v>3</v>
      </c>
      <c r="S40" s="13">
        <v>1</v>
      </c>
      <c r="T40" s="9">
        <v>6</v>
      </c>
      <c r="U40" s="13">
        <v>75</v>
      </c>
      <c r="V40" s="8" t="s">
        <v>31</v>
      </c>
      <c r="W40" s="8"/>
      <c r="X40" s="22">
        <f>IF(V40="Yes",1,0)</f>
        <v>0</v>
      </c>
      <c r="Y40" s="22">
        <f>IF(H40="Active",0,1)</f>
        <v>0</v>
      </c>
    </row>
    <row r="41" spans="1:25" ht="18" customHeight="1" x14ac:dyDescent="0.35">
      <c r="A41" s="14" t="s">
        <v>361</v>
      </c>
      <c r="B41" s="14" t="s">
        <v>362</v>
      </c>
      <c r="C41" s="14" t="s">
        <v>34</v>
      </c>
      <c r="D41" s="15">
        <v>44</v>
      </c>
      <c r="E41" s="14" t="s">
        <v>93</v>
      </c>
      <c r="F41" s="14" t="s">
        <v>35</v>
      </c>
      <c r="G41" s="16">
        <v>46008</v>
      </c>
      <c r="H41" s="14" t="s">
        <v>26</v>
      </c>
      <c r="I41" s="14" t="s">
        <v>36</v>
      </c>
      <c r="J41" s="14" t="s">
        <v>80</v>
      </c>
      <c r="K41" s="14" t="s">
        <v>55</v>
      </c>
      <c r="L41" s="14" t="s">
        <v>56</v>
      </c>
      <c r="M41" s="14" t="s">
        <v>39</v>
      </c>
      <c r="N41" s="17">
        <v>200911</v>
      </c>
      <c r="O41" s="17">
        <v>38247</v>
      </c>
      <c r="P41" s="18">
        <v>91.4</v>
      </c>
      <c r="Q41" s="15">
        <v>10</v>
      </c>
      <c r="R41" s="19">
        <v>3</v>
      </c>
      <c r="S41" s="19">
        <v>2</v>
      </c>
      <c r="T41" s="15">
        <v>28</v>
      </c>
      <c r="U41" s="19">
        <v>82</v>
      </c>
      <c r="V41" s="14" t="s">
        <v>31</v>
      </c>
      <c r="W41" s="14"/>
      <c r="X41" s="14">
        <f>IF(V41="Yes",1,0)</f>
        <v>0</v>
      </c>
      <c r="Y41" s="14">
        <f>IF(H41="Active",0,1)</f>
        <v>0</v>
      </c>
    </row>
    <row r="42" spans="1:25" ht="18" customHeight="1" x14ac:dyDescent="0.35">
      <c r="A42" s="8" t="s">
        <v>1411</v>
      </c>
      <c r="B42" s="8" t="s">
        <v>1010</v>
      </c>
      <c r="C42" s="8" t="s">
        <v>34</v>
      </c>
      <c r="D42" s="9">
        <v>41</v>
      </c>
      <c r="E42" s="8" t="s">
        <v>42</v>
      </c>
      <c r="F42" s="8" t="s">
        <v>53</v>
      </c>
      <c r="G42" s="10">
        <v>46008</v>
      </c>
      <c r="H42" s="8" t="s">
        <v>26</v>
      </c>
      <c r="I42" s="8" t="s">
        <v>36</v>
      </c>
      <c r="J42" s="8" t="s">
        <v>2270</v>
      </c>
      <c r="K42" s="8" t="s">
        <v>28</v>
      </c>
      <c r="L42" s="8" t="s">
        <v>44</v>
      </c>
      <c r="M42" s="8" t="s">
        <v>39</v>
      </c>
      <c r="N42" s="11">
        <v>232448</v>
      </c>
      <c r="O42" s="11">
        <v>17863</v>
      </c>
      <c r="P42" s="12">
        <v>91.1</v>
      </c>
      <c r="Q42" s="9">
        <v>5</v>
      </c>
      <c r="R42" s="13">
        <v>5</v>
      </c>
      <c r="S42" s="13">
        <v>2</v>
      </c>
      <c r="T42" s="9">
        <v>37</v>
      </c>
      <c r="U42" s="13">
        <v>94</v>
      </c>
      <c r="V42" s="8" t="s">
        <v>31</v>
      </c>
      <c r="W42" s="8"/>
      <c r="X42" s="22">
        <f>IF(V42="Yes",1,0)</f>
        <v>0</v>
      </c>
      <c r="Y42" s="22">
        <f>IF(H42="Active",0,1)</f>
        <v>0</v>
      </c>
    </row>
    <row r="43" spans="1:25" ht="18" customHeight="1" x14ac:dyDescent="0.35">
      <c r="A43" s="14" t="s">
        <v>702</v>
      </c>
      <c r="B43" s="14" t="s">
        <v>33</v>
      </c>
      <c r="C43" s="14" t="s">
        <v>34</v>
      </c>
      <c r="D43" s="15">
        <v>50</v>
      </c>
      <c r="E43" s="14" t="s">
        <v>93</v>
      </c>
      <c r="F43" s="14" t="s">
        <v>35</v>
      </c>
      <c r="G43" s="16">
        <v>46007</v>
      </c>
      <c r="H43" s="14" t="s">
        <v>26</v>
      </c>
      <c r="I43" s="14" t="s">
        <v>2267</v>
      </c>
      <c r="J43" s="14" t="s">
        <v>48</v>
      </c>
      <c r="K43" s="14" t="s">
        <v>37</v>
      </c>
      <c r="L43" s="14" t="s">
        <v>29</v>
      </c>
      <c r="M43" s="14" t="s">
        <v>30</v>
      </c>
      <c r="N43" s="17">
        <v>147375</v>
      </c>
      <c r="O43" s="17">
        <v>27711</v>
      </c>
      <c r="P43" s="18">
        <v>94.7</v>
      </c>
      <c r="Q43" s="15">
        <v>9</v>
      </c>
      <c r="R43" s="19">
        <v>3</v>
      </c>
      <c r="S43" s="19">
        <v>3</v>
      </c>
      <c r="T43" s="15">
        <v>17</v>
      </c>
      <c r="U43" s="19">
        <v>81</v>
      </c>
      <c r="V43" s="14" t="s">
        <v>69</v>
      </c>
      <c r="W43" s="14"/>
      <c r="X43" s="14">
        <f>IF(V43="Yes",1,0)</f>
        <v>1</v>
      </c>
      <c r="Y43" s="14">
        <f>IF(H43="Active",0,1)</f>
        <v>0</v>
      </c>
    </row>
    <row r="44" spans="1:25" ht="18" customHeight="1" x14ac:dyDescent="0.35">
      <c r="A44" s="14" t="s">
        <v>1080</v>
      </c>
      <c r="B44" s="14" t="s">
        <v>265</v>
      </c>
      <c r="C44" s="14" t="s">
        <v>25</v>
      </c>
      <c r="D44" s="15">
        <v>25</v>
      </c>
      <c r="E44" s="14" t="s">
        <v>52</v>
      </c>
      <c r="F44" s="14" t="s">
        <v>90</v>
      </c>
      <c r="G44" s="16">
        <v>46007</v>
      </c>
      <c r="H44" s="14" t="s">
        <v>26</v>
      </c>
      <c r="I44" s="14" t="s">
        <v>2267</v>
      </c>
      <c r="J44" s="14" t="s">
        <v>2269</v>
      </c>
      <c r="K44" s="14" t="s">
        <v>28</v>
      </c>
      <c r="L44" s="14" t="s">
        <v>87</v>
      </c>
      <c r="M44" s="14" t="s">
        <v>30</v>
      </c>
      <c r="N44" s="17">
        <v>223737</v>
      </c>
      <c r="O44" s="17">
        <v>43585</v>
      </c>
      <c r="P44" s="18">
        <v>82.1</v>
      </c>
      <c r="Q44" s="15">
        <v>10</v>
      </c>
      <c r="R44" s="19">
        <v>5</v>
      </c>
      <c r="S44" s="19">
        <v>4</v>
      </c>
      <c r="T44" s="15">
        <v>27</v>
      </c>
      <c r="U44" s="19">
        <v>79</v>
      </c>
      <c r="V44" s="14" t="s">
        <v>31</v>
      </c>
      <c r="W44" s="14"/>
      <c r="X44" s="14">
        <f>IF(V44="Yes",1,0)</f>
        <v>0</v>
      </c>
      <c r="Y44" s="14">
        <f>IF(H44="Active",0,1)</f>
        <v>0</v>
      </c>
    </row>
    <row r="45" spans="1:25" ht="18" customHeight="1" x14ac:dyDescent="0.35">
      <c r="A45" s="14" t="s">
        <v>1616</v>
      </c>
      <c r="B45" s="14" t="s">
        <v>131</v>
      </c>
      <c r="C45" s="14" t="s">
        <v>25</v>
      </c>
      <c r="D45" s="15">
        <v>57</v>
      </c>
      <c r="E45" s="14" t="s">
        <v>2304</v>
      </c>
      <c r="F45" s="14" t="s">
        <v>72</v>
      </c>
      <c r="G45" s="16">
        <v>46007</v>
      </c>
      <c r="H45" s="14" t="s">
        <v>54</v>
      </c>
      <c r="I45" s="14" t="s">
        <v>27</v>
      </c>
      <c r="J45" s="14" t="s">
        <v>80</v>
      </c>
      <c r="K45" s="14" t="s">
        <v>2271</v>
      </c>
      <c r="L45" s="14" t="s">
        <v>68</v>
      </c>
      <c r="M45" s="14" t="s">
        <v>39</v>
      </c>
      <c r="N45" s="17">
        <v>206421</v>
      </c>
      <c r="O45" s="17">
        <v>40086</v>
      </c>
      <c r="P45" s="18">
        <v>86.2</v>
      </c>
      <c r="Q45" s="15">
        <v>8</v>
      </c>
      <c r="R45" s="19">
        <v>5</v>
      </c>
      <c r="S45" s="19">
        <v>2</v>
      </c>
      <c r="T45" s="15">
        <v>6</v>
      </c>
      <c r="U45" s="19">
        <v>79</v>
      </c>
      <c r="V45" s="14" t="s">
        <v>31</v>
      </c>
      <c r="W45" s="14" t="s">
        <v>205</v>
      </c>
      <c r="X45" s="14">
        <f>IF(V45="Yes",1,0)</f>
        <v>0</v>
      </c>
      <c r="Y45" s="14">
        <f>IF(H45="Active",0,1)</f>
        <v>1</v>
      </c>
    </row>
    <row r="46" spans="1:25" ht="18" customHeight="1" x14ac:dyDescent="0.35">
      <c r="A46" s="14" t="s">
        <v>2004</v>
      </c>
      <c r="B46" s="14" t="s">
        <v>318</v>
      </c>
      <c r="C46" s="14" t="s">
        <v>34</v>
      </c>
      <c r="D46" s="15">
        <v>25</v>
      </c>
      <c r="E46" s="14" t="s">
        <v>109</v>
      </c>
      <c r="F46" s="14" t="s">
        <v>90</v>
      </c>
      <c r="G46" s="16">
        <v>46007</v>
      </c>
      <c r="H46" s="14" t="s">
        <v>26</v>
      </c>
      <c r="I46" s="14" t="s">
        <v>27</v>
      </c>
      <c r="J46" s="14" t="s">
        <v>80</v>
      </c>
      <c r="K46" s="14" t="s">
        <v>2271</v>
      </c>
      <c r="L46" s="14" t="s">
        <v>49</v>
      </c>
      <c r="M46" s="14" t="s">
        <v>60</v>
      </c>
      <c r="N46" s="17">
        <v>248476</v>
      </c>
      <c r="O46" s="17">
        <v>40595</v>
      </c>
      <c r="P46" s="18">
        <v>88.6</v>
      </c>
      <c r="Q46" s="15">
        <v>1</v>
      </c>
      <c r="R46" s="19">
        <v>30</v>
      </c>
      <c r="S46" s="19">
        <v>1</v>
      </c>
      <c r="T46" s="15">
        <v>15</v>
      </c>
      <c r="U46" s="19">
        <v>62</v>
      </c>
      <c r="V46" s="14" t="s">
        <v>31</v>
      </c>
      <c r="W46" s="14"/>
      <c r="X46" s="14">
        <f>IF(V46="Yes",1,0)</f>
        <v>0</v>
      </c>
      <c r="Y46" s="14">
        <f>IF(H46="Active",0,1)</f>
        <v>0</v>
      </c>
    </row>
    <row r="47" spans="1:25" ht="18" customHeight="1" x14ac:dyDescent="0.35">
      <c r="A47" s="8" t="s">
        <v>1955</v>
      </c>
      <c r="B47" s="8" t="s">
        <v>386</v>
      </c>
      <c r="C47" s="8" t="s">
        <v>25</v>
      </c>
      <c r="D47" s="9">
        <v>48</v>
      </c>
      <c r="E47" s="8" t="s">
        <v>63</v>
      </c>
      <c r="F47" s="8" t="s">
        <v>12</v>
      </c>
      <c r="G47" s="10">
        <v>46006</v>
      </c>
      <c r="H47" s="8" t="s">
        <v>26</v>
      </c>
      <c r="I47" s="8" t="s">
        <v>27</v>
      </c>
      <c r="J47" s="8" t="s">
        <v>2270</v>
      </c>
      <c r="K47" s="8" t="s">
        <v>73</v>
      </c>
      <c r="L47" s="8" t="s">
        <v>56</v>
      </c>
      <c r="M47" s="8" t="s">
        <v>39</v>
      </c>
      <c r="N47" s="11">
        <v>135797</v>
      </c>
      <c r="O47" s="11">
        <v>30093</v>
      </c>
      <c r="P47" s="12">
        <v>95.8</v>
      </c>
      <c r="Q47" s="9">
        <v>3</v>
      </c>
      <c r="R47" s="13">
        <v>11</v>
      </c>
      <c r="S47" s="13">
        <v>2</v>
      </c>
      <c r="T47" s="9">
        <v>21</v>
      </c>
      <c r="U47" s="13">
        <v>71</v>
      </c>
      <c r="V47" s="8" t="s">
        <v>31</v>
      </c>
      <c r="W47" s="8"/>
      <c r="X47" s="22">
        <f>IF(V47="Yes",1,0)</f>
        <v>0</v>
      </c>
      <c r="Y47" s="22">
        <f>IF(H47="Active",0,1)</f>
        <v>0</v>
      </c>
    </row>
    <row r="48" spans="1:25" ht="18" customHeight="1" x14ac:dyDescent="0.35">
      <c r="A48" s="14" t="s">
        <v>1958</v>
      </c>
      <c r="B48" s="14" t="s">
        <v>134</v>
      </c>
      <c r="C48" s="14" t="s">
        <v>34</v>
      </c>
      <c r="D48" s="15">
        <v>57</v>
      </c>
      <c r="E48" s="14" t="s">
        <v>42</v>
      </c>
      <c r="F48" s="14" t="s">
        <v>79</v>
      </c>
      <c r="G48" s="16">
        <v>46006</v>
      </c>
      <c r="H48" s="14" t="s">
        <v>26</v>
      </c>
      <c r="I48" s="14" t="s">
        <v>36</v>
      </c>
      <c r="J48" s="14" t="s">
        <v>2268</v>
      </c>
      <c r="K48" s="14" t="s">
        <v>73</v>
      </c>
      <c r="L48" s="14" t="s">
        <v>29</v>
      </c>
      <c r="M48" s="14" t="s">
        <v>30</v>
      </c>
      <c r="N48" s="17">
        <v>193901</v>
      </c>
      <c r="O48" s="17">
        <v>40219</v>
      </c>
      <c r="P48" s="18">
        <v>93.1</v>
      </c>
      <c r="Q48" s="15">
        <v>5</v>
      </c>
      <c r="R48" s="19">
        <v>8</v>
      </c>
      <c r="S48" s="19">
        <v>2</v>
      </c>
      <c r="T48" s="15">
        <v>32</v>
      </c>
      <c r="U48" s="19">
        <v>70</v>
      </c>
      <c r="V48" s="14" t="s">
        <v>31</v>
      </c>
      <c r="W48" s="14"/>
      <c r="X48" s="14">
        <f>IF(V48="Yes",1,0)</f>
        <v>0</v>
      </c>
      <c r="Y48" s="14">
        <f>IF(H48="Active",0,1)</f>
        <v>0</v>
      </c>
    </row>
    <row r="49" spans="1:25" ht="18" customHeight="1" x14ac:dyDescent="0.35">
      <c r="A49" s="14" t="s">
        <v>2096</v>
      </c>
      <c r="B49" s="14" t="s">
        <v>624</v>
      </c>
      <c r="C49" s="14" t="s">
        <v>34</v>
      </c>
      <c r="D49" s="15">
        <v>26</v>
      </c>
      <c r="E49" s="14" t="s">
        <v>63</v>
      </c>
      <c r="F49" s="14" t="s">
        <v>12</v>
      </c>
      <c r="G49" s="16">
        <v>46006</v>
      </c>
      <c r="H49" s="14" t="s">
        <v>26</v>
      </c>
      <c r="I49" s="14" t="s">
        <v>2267</v>
      </c>
      <c r="J49" s="14" t="s">
        <v>80</v>
      </c>
      <c r="K49" s="14" t="s">
        <v>2271</v>
      </c>
      <c r="L49" s="14" t="s">
        <v>116</v>
      </c>
      <c r="M49" s="14" t="s">
        <v>45</v>
      </c>
      <c r="N49" s="17">
        <v>119008</v>
      </c>
      <c r="O49" s="17">
        <v>35685</v>
      </c>
      <c r="P49" s="18">
        <v>83</v>
      </c>
      <c r="Q49" s="15">
        <v>6</v>
      </c>
      <c r="R49" s="19">
        <v>9</v>
      </c>
      <c r="S49" s="19">
        <v>4</v>
      </c>
      <c r="T49" s="15">
        <v>2</v>
      </c>
      <c r="U49" s="19">
        <v>81</v>
      </c>
      <c r="V49" s="14" t="s">
        <v>31</v>
      </c>
      <c r="W49" s="14"/>
      <c r="X49" s="14">
        <f>IF(V49="Yes",1,0)</f>
        <v>0</v>
      </c>
      <c r="Y49" s="14">
        <f>IF(H49="Active",0,1)</f>
        <v>0</v>
      </c>
    </row>
    <row r="50" spans="1:25" ht="18" customHeight="1" x14ac:dyDescent="0.35">
      <c r="A50" s="8" t="s">
        <v>2117</v>
      </c>
      <c r="B50" s="8" t="s">
        <v>471</v>
      </c>
      <c r="C50" s="8" t="s">
        <v>25</v>
      </c>
      <c r="D50" s="9">
        <v>58</v>
      </c>
      <c r="E50" s="8" t="s">
        <v>2303</v>
      </c>
      <c r="F50" s="8" t="s">
        <v>35</v>
      </c>
      <c r="G50" s="10">
        <v>46006</v>
      </c>
      <c r="H50" s="8" t="s">
        <v>26</v>
      </c>
      <c r="I50" s="8" t="s">
        <v>2267</v>
      </c>
      <c r="J50" s="8" t="s">
        <v>2270</v>
      </c>
      <c r="K50" s="8" t="s">
        <v>73</v>
      </c>
      <c r="L50" s="8" t="s">
        <v>68</v>
      </c>
      <c r="M50" s="8" t="s">
        <v>60</v>
      </c>
      <c r="N50" s="11">
        <v>183775</v>
      </c>
      <c r="O50" s="11">
        <v>8332</v>
      </c>
      <c r="P50" s="12">
        <v>85.4</v>
      </c>
      <c r="Q50" s="9">
        <v>6</v>
      </c>
      <c r="R50" s="13">
        <v>11</v>
      </c>
      <c r="S50" s="13">
        <v>2</v>
      </c>
      <c r="T50" s="9">
        <v>36</v>
      </c>
      <c r="U50" s="13">
        <v>89</v>
      </c>
      <c r="V50" s="8" t="s">
        <v>31</v>
      </c>
      <c r="W50" s="8"/>
      <c r="X50" s="22">
        <f>IF(V50="Yes",1,0)</f>
        <v>0</v>
      </c>
      <c r="Y50" s="22">
        <f>IF(H50="Active",0,1)</f>
        <v>0</v>
      </c>
    </row>
    <row r="51" spans="1:25" ht="18" customHeight="1" x14ac:dyDescent="0.35">
      <c r="A51" s="14" t="s">
        <v>2140</v>
      </c>
      <c r="B51" s="14" t="s">
        <v>246</v>
      </c>
      <c r="C51" s="14" t="s">
        <v>25</v>
      </c>
      <c r="D51" s="15">
        <v>41</v>
      </c>
      <c r="E51" s="14" t="s">
        <v>52</v>
      </c>
      <c r="F51" s="14" t="s">
        <v>35</v>
      </c>
      <c r="G51" s="16">
        <v>46006</v>
      </c>
      <c r="H51" s="14" t="s">
        <v>26</v>
      </c>
      <c r="I51" s="14" t="s">
        <v>27</v>
      </c>
      <c r="J51" s="14" t="s">
        <v>2269</v>
      </c>
      <c r="K51" s="14" t="s">
        <v>37</v>
      </c>
      <c r="L51" s="14" t="s">
        <v>38</v>
      </c>
      <c r="M51" s="14" t="s">
        <v>64</v>
      </c>
      <c r="N51" s="17">
        <v>205041</v>
      </c>
      <c r="O51" s="17">
        <v>37205</v>
      </c>
      <c r="P51" s="18">
        <v>98.1</v>
      </c>
      <c r="Q51" s="15">
        <v>10</v>
      </c>
      <c r="R51" s="19">
        <v>4</v>
      </c>
      <c r="S51" s="19">
        <v>4</v>
      </c>
      <c r="T51" s="15">
        <v>24</v>
      </c>
      <c r="U51" s="19">
        <v>85</v>
      </c>
      <c r="V51" s="14" t="s">
        <v>31</v>
      </c>
      <c r="W51" s="14"/>
      <c r="X51" s="14">
        <f>IF(V51="Yes",1,0)</f>
        <v>0</v>
      </c>
      <c r="Y51" s="14">
        <f>IF(H51="Active",0,1)</f>
        <v>0</v>
      </c>
    </row>
    <row r="52" spans="1:25" ht="18" customHeight="1" x14ac:dyDescent="0.35">
      <c r="A52" s="14" t="s">
        <v>1238</v>
      </c>
      <c r="B52" s="14" t="s">
        <v>467</v>
      </c>
      <c r="C52" s="14" t="s">
        <v>34</v>
      </c>
      <c r="D52" s="15">
        <v>53</v>
      </c>
      <c r="E52" s="14" t="s">
        <v>63</v>
      </c>
      <c r="F52" s="14" t="s">
        <v>43</v>
      </c>
      <c r="G52" s="16">
        <v>46005</v>
      </c>
      <c r="H52" s="14" t="s">
        <v>26</v>
      </c>
      <c r="I52" s="14" t="s">
        <v>27</v>
      </c>
      <c r="J52" s="14" t="s">
        <v>2268</v>
      </c>
      <c r="K52" s="14" t="s">
        <v>37</v>
      </c>
      <c r="L52" s="14" t="s">
        <v>49</v>
      </c>
      <c r="M52" s="14" t="s">
        <v>45</v>
      </c>
      <c r="N52" s="17">
        <v>47287</v>
      </c>
      <c r="O52" s="17">
        <v>15275</v>
      </c>
      <c r="P52" s="18">
        <v>80.900000000000006</v>
      </c>
      <c r="Q52" s="15">
        <v>0</v>
      </c>
      <c r="R52" s="19">
        <v>23</v>
      </c>
      <c r="S52" s="19">
        <v>1</v>
      </c>
      <c r="T52" s="15">
        <v>28</v>
      </c>
      <c r="U52" s="19">
        <v>93</v>
      </c>
      <c r="V52" s="14" t="s">
        <v>31</v>
      </c>
      <c r="W52" s="14"/>
      <c r="X52" s="14">
        <f>IF(V52="Yes",1,0)</f>
        <v>0</v>
      </c>
      <c r="Y52" s="14">
        <f>IF(H52="Active",0,1)</f>
        <v>0</v>
      </c>
    </row>
    <row r="53" spans="1:25" ht="18" customHeight="1" x14ac:dyDescent="0.35">
      <c r="A53" s="14" t="s">
        <v>778</v>
      </c>
      <c r="B53" s="14" t="s">
        <v>386</v>
      </c>
      <c r="C53" s="14" t="s">
        <v>25</v>
      </c>
      <c r="D53" s="15">
        <v>24</v>
      </c>
      <c r="E53" s="14" t="s">
        <v>52</v>
      </c>
      <c r="F53" s="14" t="s">
        <v>79</v>
      </c>
      <c r="G53" s="16">
        <v>46004</v>
      </c>
      <c r="H53" s="14" t="s">
        <v>54</v>
      </c>
      <c r="I53" s="14" t="s">
        <v>2267</v>
      </c>
      <c r="J53" s="14" t="s">
        <v>2268</v>
      </c>
      <c r="K53" s="14" t="s">
        <v>28</v>
      </c>
      <c r="L53" s="14" t="s">
        <v>49</v>
      </c>
      <c r="M53" s="14" t="s">
        <v>39</v>
      </c>
      <c r="N53" s="17">
        <v>150937</v>
      </c>
      <c r="O53" s="17">
        <v>42547</v>
      </c>
      <c r="P53" s="18">
        <v>97.3</v>
      </c>
      <c r="Q53" s="15">
        <v>0</v>
      </c>
      <c r="R53" s="19">
        <v>8</v>
      </c>
      <c r="S53" s="19">
        <v>3</v>
      </c>
      <c r="T53" s="15">
        <v>22</v>
      </c>
      <c r="U53" s="19">
        <v>64</v>
      </c>
      <c r="V53" s="14" t="s">
        <v>31</v>
      </c>
      <c r="W53" s="14" t="s">
        <v>57</v>
      </c>
      <c r="X53" s="14">
        <f>IF(V53="Yes",1,0)</f>
        <v>0</v>
      </c>
      <c r="Y53" s="14">
        <f>IF(H53="Active",0,1)</f>
        <v>1</v>
      </c>
    </row>
    <row r="54" spans="1:25" ht="18" customHeight="1" x14ac:dyDescent="0.35">
      <c r="A54" s="8" t="s">
        <v>1307</v>
      </c>
      <c r="B54" s="8" t="s">
        <v>118</v>
      </c>
      <c r="C54" s="8" t="s">
        <v>25</v>
      </c>
      <c r="D54" s="9">
        <v>21</v>
      </c>
      <c r="E54" s="8" t="s">
        <v>109</v>
      </c>
      <c r="F54" s="8" t="s">
        <v>90</v>
      </c>
      <c r="G54" s="10">
        <v>46004</v>
      </c>
      <c r="H54" s="8" t="s">
        <v>26</v>
      </c>
      <c r="I54" s="8" t="s">
        <v>36</v>
      </c>
      <c r="J54" s="8" t="s">
        <v>48</v>
      </c>
      <c r="K54" s="8" t="s">
        <v>73</v>
      </c>
      <c r="L54" s="8" t="s">
        <v>29</v>
      </c>
      <c r="M54" s="8" t="s">
        <v>30</v>
      </c>
      <c r="N54" s="11">
        <v>148002</v>
      </c>
      <c r="O54" s="11">
        <v>37623</v>
      </c>
      <c r="P54" s="12">
        <v>83.2</v>
      </c>
      <c r="Q54" s="9">
        <v>1</v>
      </c>
      <c r="R54" s="13">
        <v>4</v>
      </c>
      <c r="S54" s="13">
        <v>3</v>
      </c>
      <c r="T54" s="9">
        <v>2</v>
      </c>
      <c r="U54" s="13">
        <v>66</v>
      </c>
      <c r="V54" s="8" t="s">
        <v>69</v>
      </c>
      <c r="W54" s="8"/>
      <c r="X54" s="22">
        <f>IF(V54="Yes",1,0)</f>
        <v>1</v>
      </c>
      <c r="Y54" s="22">
        <f>IF(H54="Active",0,1)</f>
        <v>0</v>
      </c>
    </row>
    <row r="55" spans="1:25" ht="18" customHeight="1" x14ac:dyDescent="0.35">
      <c r="A55" s="8" t="s">
        <v>1465</v>
      </c>
      <c r="B55" s="8" t="s">
        <v>293</v>
      </c>
      <c r="C55" s="8" t="s">
        <v>25</v>
      </c>
      <c r="D55" s="9">
        <v>27</v>
      </c>
      <c r="E55" s="8" t="s">
        <v>2303</v>
      </c>
      <c r="F55" s="8" t="s">
        <v>35</v>
      </c>
      <c r="G55" s="10">
        <v>46004</v>
      </c>
      <c r="H55" s="8" t="s">
        <v>26</v>
      </c>
      <c r="I55" s="8" t="s">
        <v>36</v>
      </c>
      <c r="J55" s="8" t="s">
        <v>80</v>
      </c>
      <c r="K55" s="8" t="s">
        <v>73</v>
      </c>
      <c r="L55" s="8" t="s">
        <v>49</v>
      </c>
      <c r="M55" s="8" t="s">
        <v>45</v>
      </c>
      <c r="N55" s="11">
        <v>153542</v>
      </c>
      <c r="O55" s="11">
        <v>34429</v>
      </c>
      <c r="P55" s="12">
        <v>82.4</v>
      </c>
      <c r="Q55" s="9">
        <v>10</v>
      </c>
      <c r="R55" s="13">
        <v>27</v>
      </c>
      <c r="S55" s="13">
        <v>3</v>
      </c>
      <c r="T55" s="9">
        <v>22</v>
      </c>
      <c r="U55" s="13">
        <v>69</v>
      </c>
      <c r="V55" s="8" t="s">
        <v>31</v>
      </c>
      <c r="W55" s="8"/>
      <c r="X55" s="22">
        <f>IF(V55="Yes",1,0)</f>
        <v>0</v>
      </c>
      <c r="Y55" s="22">
        <f>IF(H55="Active",0,1)</f>
        <v>0</v>
      </c>
    </row>
    <row r="56" spans="1:25" ht="18" customHeight="1" x14ac:dyDescent="0.35">
      <c r="A56" s="14" t="s">
        <v>1508</v>
      </c>
      <c r="B56" s="14" t="s">
        <v>344</v>
      </c>
      <c r="C56" s="14" t="s">
        <v>25</v>
      </c>
      <c r="D56" s="15">
        <v>42</v>
      </c>
      <c r="E56" s="14" t="s">
        <v>2304</v>
      </c>
      <c r="F56" s="14" t="s">
        <v>35</v>
      </c>
      <c r="G56" s="16">
        <v>46004</v>
      </c>
      <c r="H56" s="14" t="s">
        <v>54</v>
      </c>
      <c r="I56" s="14" t="s">
        <v>2267</v>
      </c>
      <c r="J56" s="14" t="s">
        <v>2268</v>
      </c>
      <c r="K56" s="14" t="s">
        <v>55</v>
      </c>
      <c r="L56" s="14" t="s">
        <v>29</v>
      </c>
      <c r="M56" s="14" t="s">
        <v>39</v>
      </c>
      <c r="N56" s="17">
        <v>234966</v>
      </c>
      <c r="O56" s="17">
        <v>5051</v>
      </c>
      <c r="P56" s="18">
        <v>88.7</v>
      </c>
      <c r="Q56" s="15">
        <v>3</v>
      </c>
      <c r="R56" s="19">
        <v>0</v>
      </c>
      <c r="S56" s="19">
        <v>3</v>
      </c>
      <c r="T56" s="15">
        <v>18</v>
      </c>
      <c r="U56" s="19">
        <v>96</v>
      </c>
      <c r="V56" s="14" t="s">
        <v>31</v>
      </c>
      <c r="W56" s="14" t="s">
        <v>205</v>
      </c>
      <c r="X56" s="14">
        <f>IF(V56="Yes",1,0)</f>
        <v>0</v>
      </c>
      <c r="Y56" s="14">
        <f>IF(H56="Active",0,1)</f>
        <v>1</v>
      </c>
    </row>
    <row r="57" spans="1:25" ht="18" customHeight="1" x14ac:dyDescent="0.35">
      <c r="A57" s="14" t="s">
        <v>1648</v>
      </c>
      <c r="B57" s="14" t="s">
        <v>131</v>
      </c>
      <c r="C57" s="14" t="s">
        <v>34</v>
      </c>
      <c r="D57" s="15">
        <v>47</v>
      </c>
      <c r="E57" s="14" t="s">
        <v>2304</v>
      </c>
      <c r="F57" s="14" t="s">
        <v>72</v>
      </c>
      <c r="G57" s="16">
        <v>46004</v>
      </c>
      <c r="H57" s="14" t="s">
        <v>26</v>
      </c>
      <c r="I57" s="14" t="s">
        <v>36</v>
      </c>
      <c r="J57" s="14" t="s">
        <v>2270</v>
      </c>
      <c r="K57" s="14" t="s">
        <v>37</v>
      </c>
      <c r="L57" s="14" t="s">
        <v>56</v>
      </c>
      <c r="M57" s="14" t="s">
        <v>39</v>
      </c>
      <c r="N57" s="17">
        <v>129928</v>
      </c>
      <c r="O57" s="17">
        <v>31794</v>
      </c>
      <c r="P57" s="18">
        <v>83.5</v>
      </c>
      <c r="Q57" s="15">
        <v>5</v>
      </c>
      <c r="R57" s="19">
        <v>16</v>
      </c>
      <c r="S57" s="19">
        <v>4</v>
      </c>
      <c r="T57" s="15">
        <v>5</v>
      </c>
      <c r="U57" s="19">
        <v>60</v>
      </c>
      <c r="V57" s="14" t="s">
        <v>31</v>
      </c>
      <c r="W57" s="14"/>
      <c r="X57" s="14">
        <f>IF(V57="Yes",1,0)</f>
        <v>0</v>
      </c>
      <c r="Y57" s="14">
        <f>IF(H57="Active",0,1)</f>
        <v>0</v>
      </c>
    </row>
    <row r="58" spans="1:25" ht="18" customHeight="1" x14ac:dyDescent="0.35">
      <c r="A58" s="14" t="s">
        <v>1006</v>
      </c>
      <c r="B58" s="14" t="s">
        <v>297</v>
      </c>
      <c r="C58" s="14" t="s">
        <v>34</v>
      </c>
      <c r="D58" s="15">
        <v>52</v>
      </c>
      <c r="E58" s="14" t="s">
        <v>2303</v>
      </c>
      <c r="F58" s="14" t="s">
        <v>76</v>
      </c>
      <c r="G58" s="16">
        <v>46003</v>
      </c>
      <c r="H58" s="14" t="s">
        <v>26</v>
      </c>
      <c r="I58" s="14" t="s">
        <v>2267</v>
      </c>
      <c r="J58" s="14" t="s">
        <v>2270</v>
      </c>
      <c r="K58" s="14" t="s">
        <v>37</v>
      </c>
      <c r="L58" s="14" t="s">
        <v>87</v>
      </c>
      <c r="M58" s="14" t="s">
        <v>64</v>
      </c>
      <c r="N58" s="17">
        <v>240381</v>
      </c>
      <c r="O58" s="17">
        <v>45095</v>
      </c>
      <c r="P58" s="18">
        <v>91</v>
      </c>
      <c r="Q58" s="15">
        <v>3</v>
      </c>
      <c r="R58" s="19">
        <v>8</v>
      </c>
      <c r="S58" s="19">
        <v>1</v>
      </c>
      <c r="T58" s="15">
        <v>1</v>
      </c>
      <c r="U58" s="19">
        <v>73</v>
      </c>
      <c r="V58" s="14" t="s">
        <v>31</v>
      </c>
      <c r="W58" s="14"/>
      <c r="X58" s="14">
        <f>IF(V58="Yes",1,0)</f>
        <v>0</v>
      </c>
      <c r="Y58" s="14">
        <f>IF(H58="Active",0,1)</f>
        <v>0</v>
      </c>
    </row>
    <row r="59" spans="1:25" ht="18" customHeight="1" x14ac:dyDescent="0.35">
      <c r="A59" s="8" t="s">
        <v>1523</v>
      </c>
      <c r="B59" s="8" t="s">
        <v>177</v>
      </c>
      <c r="C59" s="8" t="s">
        <v>25</v>
      </c>
      <c r="D59" s="9">
        <v>32</v>
      </c>
      <c r="E59" s="8" t="s">
        <v>86</v>
      </c>
      <c r="F59" s="8" t="s">
        <v>79</v>
      </c>
      <c r="G59" s="10">
        <v>46003</v>
      </c>
      <c r="H59" s="8" t="s">
        <v>26</v>
      </c>
      <c r="I59" s="8" t="s">
        <v>27</v>
      </c>
      <c r="J59" s="8" t="s">
        <v>80</v>
      </c>
      <c r="K59" s="8" t="s">
        <v>73</v>
      </c>
      <c r="L59" s="8" t="s">
        <v>116</v>
      </c>
      <c r="M59" s="8" t="s">
        <v>64</v>
      </c>
      <c r="N59" s="11">
        <v>136490</v>
      </c>
      <c r="O59" s="11">
        <v>19568</v>
      </c>
      <c r="P59" s="12">
        <v>80.599999999999994</v>
      </c>
      <c r="Q59" s="9">
        <v>6</v>
      </c>
      <c r="R59" s="13">
        <v>23</v>
      </c>
      <c r="S59" s="13">
        <v>5</v>
      </c>
      <c r="T59" s="9">
        <v>27</v>
      </c>
      <c r="U59" s="13">
        <v>70</v>
      </c>
      <c r="V59" s="8" t="s">
        <v>69</v>
      </c>
      <c r="W59" s="8"/>
      <c r="X59" s="22">
        <f>IF(V59="Yes",1,0)</f>
        <v>1</v>
      </c>
      <c r="Y59" s="22">
        <f>IF(H59="Active",0,1)</f>
        <v>0</v>
      </c>
    </row>
    <row r="60" spans="1:25" ht="18" customHeight="1" x14ac:dyDescent="0.35">
      <c r="A60" s="8" t="s">
        <v>1439</v>
      </c>
      <c r="B60" s="8" t="s">
        <v>207</v>
      </c>
      <c r="C60" s="8" t="s">
        <v>34</v>
      </c>
      <c r="D60" s="9">
        <v>35</v>
      </c>
      <c r="E60" s="8" t="s">
        <v>2304</v>
      </c>
      <c r="F60" s="8" t="s">
        <v>90</v>
      </c>
      <c r="G60" s="10">
        <v>46002</v>
      </c>
      <c r="H60" s="8" t="s">
        <v>26</v>
      </c>
      <c r="I60" s="8" t="s">
        <v>36</v>
      </c>
      <c r="J60" s="8" t="s">
        <v>2270</v>
      </c>
      <c r="K60" s="8" t="s">
        <v>55</v>
      </c>
      <c r="L60" s="8" t="s">
        <v>56</v>
      </c>
      <c r="M60" s="8" t="s">
        <v>45</v>
      </c>
      <c r="N60" s="11">
        <v>230229</v>
      </c>
      <c r="O60" s="11">
        <v>40600</v>
      </c>
      <c r="P60" s="12">
        <v>83.8</v>
      </c>
      <c r="Q60" s="9">
        <v>9</v>
      </c>
      <c r="R60" s="13">
        <v>18</v>
      </c>
      <c r="S60" s="13">
        <v>5</v>
      </c>
      <c r="T60" s="9">
        <v>30</v>
      </c>
      <c r="U60" s="13">
        <v>72</v>
      </c>
      <c r="V60" s="8" t="s">
        <v>69</v>
      </c>
      <c r="W60" s="8"/>
      <c r="X60" s="22">
        <f>IF(V60="Yes",1,0)</f>
        <v>1</v>
      </c>
      <c r="Y60" s="22">
        <f>IF(H60="Active",0,1)</f>
        <v>0</v>
      </c>
    </row>
    <row r="61" spans="1:25" ht="18" customHeight="1" x14ac:dyDescent="0.35">
      <c r="A61" s="14" t="s">
        <v>1468</v>
      </c>
      <c r="B61" s="14" t="s">
        <v>177</v>
      </c>
      <c r="C61" s="14" t="s">
        <v>25</v>
      </c>
      <c r="D61" s="15">
        <v>35</v>
      </c>
      <c r="E61" s="14" t="s">
        <v>2304</v>
      </c>
      <c r="F61" s="14" t="s">
        <v>53</v>
      </c>
      <c r="G61" s="16">
        <v>46002</v>
      </c>
      <c r="H61" s="14" t="s">
        <v>26</v>
      </c>
      <c r="I61" s="14" t="s">
        <v>27</v>
      </c>
      <c r="J61" s="14" t="s">
        <v>2269</v>
      </c>
      <c r="K61" s="14" t="s">
        <v>28</v>
      </c>
      <c r="L61" s="14" t="s">
        <v>87</v>
      </c>
      <c r="M61" s="14" t="s">
        <v>39</v>
      </c>
      <c r="N61" s="17">
        <v>65294</v>
      </c>
      <c r="O61" s="17">
        <v>8722</v>
      </c>
      <c r="P61" s="18">
        <v>98.7</v>
      </c>
      <c r="Q61" s="15">
        <v>10</v>
      </c>
      <c r="R61" s="19">
        <v>6</v>
      </c>
      <c r="S61" s="19">
        <v>5</v>
      </c>
      <c r="T61" s="15">
        <v>6</v>
      </c>
      <c r="U61" s="19">
        <v>84</v>
      </c>
      <c r="V61" s="14" t="s">
        <v>31</v>
      </c>
      <c r="W61" s="14"/>
      <c r="X61" s="14">
        <f>IF(V61="Yes",1,0)</f>
        <v>0</v>
      </c>
      <c r="Y61" s="14">
        <f>IF(H61="Active",0,1)</f>
        <v>0</v>
      </c>
    </row>
    <row r="62" spans="1:25" ht="18" customHeight="1" x14ac:dyDescent="0.35">
      <c r="A62" s="14" t="s">
        <v>2160</v>
      </c>
      <c r="B62" s="14" t="s">
        <v>191</v>
      </c>
      <c r="C62" s="14" t="s">
        <v>25</v>
      </c>
      <c r="D62" s="15">
        <v>42</v>
      </c>
      <c r="E62" s="14" t="s">
        <v>63</v>
      </c>
      <c r="F62" s="14" t="s">
        <v>35</v>
      </c>
      <c r="G62" s="16">
        <v>46002</v>
      </c>
      <c r="H62" s="14" t="s">
        <v>26</v>
      </c>
      <c r="I62" s="14" t="s">
        <v>36</v>
      </c>
      <c r="J62" s="14" t="s">
        <v>2270</v>
      </c>
      <c r="K62" s="14" t="s">
        <v>37</v>
      </c>
      <c r="L62" s="14" t="s">
        <v>116</v>
      </c>
      <c r="M62" s="14" t="s">
        <v>64</v>
      </c>
      <c r="N62" s="17">
        <v>145785</v>
      </c>
      <c r="O62" s="17">
        <v>16039</v>
      </c>
      <c r="P62" s="18">
        <v>81.3</v>
      </c>
      <c r="Q62" s="15">
        <v>2</v>
      </c>
      <c r="R62" s="19">
        <v>27</v>
      </c>
      <c r="S62" s="19">
        <v>1</v>
      </c>
      <c r="T62" s="15">
        <v>39</v>
      </c>
      <c r="U62" s="19">
        <v>77</v>
      </c>
      <c r="V62" s="14" t="s">
        <v>31</v>
      </c>
      <c r="W62" s="14"/>
      <c r="X62" s="14">
        <f>IF(V62="Yes",1,0)</f>
        <v>0</v>
      </c>
      <c r="Y62" s="14">
        <f>IF(H62="Active",0,1)</f>
        <v>0</v>
      </c>
    </row>
    <row r="63" spans="1:25" ht="18" customHeight="1" x14ac:dyDescent="0.35">
      <c r="A63" s="14" t="s">
        <v>2244</v>
      </c>
      <c r="B63" s="14" t="s">
        <v>305</v>
      </c>
      <c r="C63" s="14" t="s">
        <v>25</v>
      </c>
      <c r="D63" s="15">
        <v>30</v>
      </c>
      <c r="E63" s="14" t="s">
        <v>93</v>
      </c>
      <c r="F63" s="14" t="s">
        <v>12</v>
      </c>
      <c r="G63" s="16">
        <v>46002</v>
      </c>
      <c r="H63" s="14" t="s">
        <v>26</v>
      </c>
      <c r="I63" s="14" t="s">
        <v>36</v>
      </c>
      <c r="J63" s="14" t="s">
        <v>80</v>
      </c>
      <c r="K63" s="14" t="s">
        <v>55</v>
      </c>
      <c r="L63" s="14" t="s">
        <v>38</v>
      </c>
      <c r="M63" s="14" t="s">
        <v>39</v>
      </c>
      <c r="N63" s="17">
        <v>155440</v>
      </c>
      <c r="O63" s="17">
        <v>11437</v>
      </c>
      <c r="P63" s="18">
        <v>99.3</v>
      </c>
      <c r="Q63" s="15">
        <v>2</v>
      </c>
      <c r="R63" s="19">
        <v>6</v>
      </c>
      <c r="S63" s="19">
        <v>2</v>
      </c>
      <c r="T63" s="15">
        <v>11</v>
      </c>
      <c r="U63" s="19">
        <v>94</v>
      </c>
      <c r="V63" s="14" t="s">
        <v>31</v>
      </c>
      <c r="W63" s="14"/>
      <c r="X63" s="14">
        <f>IF(V63="Yes",1,0)</f>
        <v>0</v>
      </c>
      <c r="Y63" s="14">
        <f>IF(H63="Active",0,1)</f>
        <v>0</v>
      </c>
    </row>
    <row r="64" spans="1:25" ht="18" customHeight="1" x14ac:dyDescent="0.35">
      <c r="A64" s="14" t="s">
        <v>870</v>
      </c>
      <c r="B64" s="14" t="s">
        <v>291</v>
      </c>
      <c r="C64" s="14" t="s">
        <v>34</v>
      </c>
      <c r="D64" s="15">
        <v>60</v>
      </c>
      <c r="E64" s="14" t="s">
        <v>67</v>
      </c>
      <c r="F64" s="14" t="s">
        <v>76</v>
      </c>
      <c r="G64" s="16">
        <v>46001</v>
      </c>
      <c r="H64" s="14" t="s">
        <v>54</v>
      </c>
      <c r="I64" s="14" t="s">
        <v>2267</v>
      </c>
      <c r="J64" s="14" t="s">
        <v>2269</v>
      </c>
      <c r="K64" s="14" t="s">
        <v>73</v>
      </c>
      <c r="L64" s="14" t="s">
        <v>116</v>
      </c>
      <c r="M64" s="14" t="s">
        <v>60</v>
      </c>
      <c r="N64" s="17">
        <v>176745</v>
      </c>
      <c r="O64" s="17">
        <v>28492</v>
      </c>
      <c r="P64" s="18">
        <v>94.5</v>
      </c>
      <c r="Q64" s="15">
        <v>2</v>
      </c>
      <c r="R64" s="19">
        <v>11</v>
      </c>
      <c r="S64" s="19">
        <v>3</v>
      </c>
      <c r="T64" s="15">
        <v>19</v>
      </c>
      <c r="U64" s="19">
        <v>66</v>
      </c>
      <c r="V64" s="14" t="s">
        <v>31</v>
      </c>
      <c r="W64" s="14" t="s">
        <v>123</v>
      </c>
      <c r="X64" s="14">
        <f>IF(V64="Yes",1,0)</f>
        <v>0</v>
      </c>
      <c r="Y64" s="14">
        <f>IF(H64="Active",0,1)</f>
        <v>1</v>
      </c>
    </row>
    <row r="65" spans="1:25" ht="18" customHeight="1" x14ac:dyDescent="0.35">
      <c r="A65" s="8" t="s">
        <v>1210</v>
      </c>
      <c r="B65" s="8" t="s">
        <v>175</v>
      </c>
      <c r="C65" s="8" t="s">
        <v>25</v>
      </c>
      <c r="D65" s="9">
        <v>31</v>
      </c>
      <c r="E65" s="8" t="s">
        <v>63</v>
      </c>
      <c r="F65" s="8" t="s">
        <v>90</v>
      </c>
      <c r="G65" s="10">
        <v>46001</v>
      </c>
      <c r="H65" s="8" t="s">
        <v>54</v>
      </c>
      <c r="I65" s="8" t="s">
        <v>27</v>
      </c>
      <c r="J65" s="8" t="s">
        <v>2269</v>
      </c>
      <c r="K65" s="8" t="s">
        <v>73</v>
      </c>
      <c r="L65" s="8" t="s">
        <v>29</v>
      </c>
      <c r="M65" s="8" t="s">
        <v>39</v>
      </c>
      <c r="N65" s="11">
        <v>152719</v>
      </c>
      <c r="O65" s="11">
        <v>13536</v>
      </c>
      <c r="P65" s="12">
        <v>86</v>
      </c>
      <c r="Q65" s="9">
        <v>2</v>
      </c>
      <c r="R65" s="13">
        <v>27</v>
      </c>
      <c r="S65" s="13">
        <v>4</v>
      </c>
      <c r="T65" s="9">
        <v>17</v>
      </c>
      <c r="U65" s="13">
        <v>78</v>
      </c>
      <c r="V65" s="8" t="s">
        <v>31</v>
      </c>
      <c r="W65" s="8" t="s">
        <v>83</v>
      </c>
      <c r="X65" s="22">
        <f>IF(V65="Yes",1,0)</f>
        <v>0</v>
      </c>
      <c r="Y65" s="22">
        <f>IF(H65="Active",0,1)</f>
        <v>1</v>
      </c>
    </row>
    <row r="66" spans="1:25" ht="18" customHeight="1" x14ac:dyDescent="0.35">
      <c r="A66" s="14" t="s">
        <v>1382</v>
      </c>
      <c r="B66" s="14" t="s">
        <v>66</v>
      </c>
      <c r="C66" s="14" t="s">
        <v>34</v>
      </c>
      <c r="D66" s="15">
        <v>31</v>
      </c>
      <c r="E66" s="14" t="s">
        <v>63</v>
      </c>
      <c r="F66" s="14" t="s">
        <v>35</v>
      </c>
      <c r="G66" s="16">
        <v>46001</v>
      </c>
      <c r="H66" s="14" t="s">
        <v>26</v>
      </c>
      <c r="I66" s="14" t="s">
        <v>27</v>
      </c>
      <c r="J66" s="14" t="s">
        <v>80</v>
      </c>
      <c r="K66" s="14" t="s">
        <v>28</v>
      </c>
      <c r="L66" s="14" t="s">
        <v>68</v>
      </c>
      <c r="M66" s="14" t="s">
        <v>39</v>
      </c>
      <c r="N66" s="17">
        <v>42479</v>
      </c>
      <c r="O66" s="17">
        <v>28262</v>
      </c>
      <c r="P66" s="18">
        <v>87.1</v>
      </c>
      <c r="Q66" s="15">
        <v>0</v>
      </c>
      <c r="R66" s="19">
        <v>0</v>
      </c>
      <c r="S66" s="19">
        <v>1</v>
      </c>
      <c r="T66" s="15">
        <v>39</v>
      </c>
      <c r="U66" s="19">
        <v>78</v>
      </c>
      <c r="V66" s="14" t="s">
        <v>31</v>
      </c>
      <c r="W66" s="14"/>
      <c r="X66" s="14">
        <f>IF(V66="Yes",1,0)</f>
        <v>0</v>
      </c>
      <c r="Y66" s="14">
        <f>IF(H66="Active",0,1)</f>
        <v>0</v>
      </c>
    </row>
    <row r="67" spans="1:25" ht="18" customHeight="1" x14ac:dyDescent="0.35">
      <c r="A67" s="14" t="s">
        <v>1918</v>
      </c>
      <c r="B67" s="14" t="s">
        <v>179</v>
      </c>
      <c r="C67" s="14" t="s">
        <v>34</v>
      </c>
      <c r="D67" s="15">
        <v>43</v>
      </c>
      <c r="E67" s="14" t="s">
        <v>109</v>
      </c>
      <c r="F67" s="14" t="s">
        <v>12</v>
      </c>
      <c r="G67" s="16">
        <v>46001</v>
      </c>
      <c r="H67" s="14" t="s">
        <v>26</v>
      </c>
      <c r="I67" s="14" t="s">
        <v>27</v>
      </c>
      <c r="J67" s="14" t="s">
        <v>80</v>
      </c>
      <c r="K67" s="14" t="s">
        <v>73</v>
      </c>
      <c r="L67" s="14" t="s">
        <v>56</v>
      </c>
      <c r="M67" s="14" t="s">
        <v>30</v>
      </c>
      <c r="N67" s="17">
        <v>194037</v>
      </c>
      <c r="O67" s="17">
        <v>41395</v>
      </c>
      <c r="P67" s="18">
        <v>94.4</v>
      </c>
      <c r="Q67" s="15">
        <v>5</v>
      </c>
      <c r="R67" s="19">
        <v>10</v>
      </c>
      <c r="S67" s="19">
        <v>4</v>
      </c>
      <c r="T67" s="15">
        <v>35</v>
      </c>
      <c r="U67" s="19">
        <v>61</v>
      </c>
      <c r="V67" s="14" t="s">
        <v>31</v>
      </c>
      <c r="W67" s="14"/>
      <c r="X67" s="14">
        <f>IF(V67="Yes",1,0)</f>
        <v>0</v>
      </c>
      <c r="Y67" s="14">
        <f>IF(H67="Active",0,1)</f>
        <v>0</v>
      </c>
    </row>
    <row r="68" spans="1:25" ht="18" customHeight="1" x14ac:dyDescent="0.35">
      <c r="A68" s="8" t="s">
        <v>576</v>
      </c>
      <c r="B68" s="8" t="s">
        <v>89</v>
      </c>
      <c r="C68" s="8" t="s">
        <v>25</v>
      </c>
      <c r="D68" s="9">
        <v>25</v>
      </c>
      <c r="E68" s="8" t="s">
        <v>2304</v>
      </c>
      <c r="F68" s="8" t="s">
        <v>72</v>
      </c>
      <c r="G68" s="10">
        <v>46000</v>
      </c>
      <c r="H68" s="8" t="s">
        <v>26</v>
      </c>
      <c r="I68" s="8" t="s">
        <v>36</v>
      </c>
      <c r="J68" s="8" t="s">
        <v>48</v>
      </c>
      <c r="K68" s="8" t="s">
        <v>73</v>
      </c>
      <c r="L68" s="8" t="s">
        <v>56</v>
      </c>
      <c r="M68" s="8" t="s">
        <v>30</v>
      </c>
      <c r="N68" s="11">
        <v>144766</v>
      </c>
      <c r="O68" s="11">
        <v>48083</v>
      </c>
      <c r="P68" s="12">
        <v>84.5</v>
      </c>
      <c r="Q68" s="9">
        <v>6</v>
      </c>
      <c r="R68" s="13">
        <v>27</v>
      </c>
      <c r="S68" s="13">
        <v>5</v>
      </c>
      <c r="T68" s="9">
        <v>32</v>
      </c>
      <c r="U68" s="13">
        <v>100</v>
      </c>
      <c r="V68" s="8" t="s">
        <v>31</v>
      </c>
      <c r="W68" s="8"/>
      <c r="X68" s="22">
        <f>IF(V68="Yes",1,0)</f>
        <v>0</v>
      </c>
      <c r="Y68" s="22">
        <f>IF(H68="Active",0,1)</f>
        <v>0</v>
      </c>
    </row>
    <row r="69" spans="1:25" ht="18" customHeight="1" x14ac:dyDescent="0.35">
      <c r="A69" s="8" t="s">
        <v>728</v>
      </c>
      <c r="B69" s="8" t="s">
        <v>518</v>
      </c>
      <c r="C69" s="8" t="s">
        <v>25</v>
      </c>
      <c r="D69" s="9">
        <v>30</v>
      </c>
      <c r="E69" s="8" t="s">
        <v>2303</v>
      </c>
      <c r="F69" s="8" t="s">
        <v>35</v>
      </c>
      <c r="G69" s="10">
        <v>46000</v>
      </c>
      <c r="H69" s="8" t="s">
        <v>26</v>
      </c>
      <c r="I69" s="8" t="s">
        <v>27</v>
      </c>
      <c r="J69" s="8" t="s">
        <v>2268</v>
      </c>
      <c r="K69" s="8" t="s">
        <v>37</v>
      </c>
      <c r="L69" s="8" t="s">
        <v>44</v>
      </c>
      <c r="M69" s="8" t="s">
        <v>30</v>
      </c>
      <c r="N69" s="11">
        <v>221616</v>
      </c>
      <c r="O69" s="11">
        <v>6274</v>
      </c>
      <c r="P69" s="12">
        <v>80.400000000000006</v>
      </c>
      <c r="Q69" s="9">
        <v>3</v>
      </c>
      <c r="R69" s="13">
        <v>24</v>
      </c>
      <c r="S69" s="13">
        <v>5</v>
      </c>
      <c r="T69" s="9">
        <v>16</v>
      </c>
      <c r="U69" s="13">
        <v>69</v>
      </c>
      <c r="V69" s="8" t="s">
        <v>69</v>
      </c>
      <c r="W69" s="8"/>
      <c r="X69" s="22">
        <f>IF(V69="Yes",1,0)</f>
        <v>1</v>
      </c>
      <c r="Y69" s="22">
        <f>IF(H69="Active",0,1)</f>
        <v>0</v>
      </c>
    </row>
    <row r="70" spans="1:25" ht="18" customHeight="1" x14ac:dyDescent="0.35">
      <c r="A70" s="14" t="s">
        <v>1960</v>
      </c>
      <c r="B70" s="14" t="s">
        <v>356</v>
      </c>
      <c r="C70" s="14" t="s">
        <v>25</v>
      </c>
      <c r="D70" s="15">
        <v>21</v>
      </c>
      <c r="E70" s="14" t="s">
        <v>63</v>
      </c>
      <c r="F70" s="14" t="s">
        <v>79</v>
      </c>
      <c r="G70" s="16">
        <v>46000</v>
      </c>
      <c r="H70" s="14" t="s">
        <v>26</v>
      </c>
      <c r="I70" s="14" t="s">
        <v>27</v>
      </c>
      <c r="J70" s="14" t="s">
        <v>48</v>
      </c>
      <c r="K70" s="14" t="s">
        <v>28</v>
      </c>
      <c r="L70" s="14" t="s">
        <v>87</v>
      </c>
      <c r="M70" s="14" t="s">
        <v>39</v>
      </c>
      <c r="N70" s="17">
        <v>58691</v>
      </c>
      <c r="O70" s="17">
        <v>21823</v>
      </c>
      <c r="P70" s="18">
        <v>97.9</v>
      </c>
      <c r="Q70" s="15">
        <v>4</v>
      </c>
      <c r="R70" s="19">
        <v>12</v>
      </c>
      <c r="S70" s="19">
        <v>4</v>
      </c>
      <c r="T70" s="15">
        <v>5</v>
      </c>
      <c r="U70" s="19">
        <v>99</v>
      </c>
      <c r="V70" s="14" t="s">
        <v>31</v>
      </c>
      <c r="W70" s="14"/>
      <c r="X70" s="14">
        <f>IF(V70="Yes",1,0)</f>
        <v>0</v>
      </c>
      <c r="Y70" s="14">
        <f>IF(H70="Active",0,1)</f>
        <v>0</v>
      </c>
    </row>
    <row r="71" spans="1:25" ht="18" customHeight="1" x14ac:dyDescent="0.35">
      <c r="A71" s="8" t="s">
        <v>1895</v>
      </c>
      <c r="B71" s="8" t="s">
        <v>153</v>
      </c>
      <c r="C71" s="8" t="s">
        <v>25</v>
      </c>
      <c r="D71" s="9">
        <v>33</v>
      </c>
      <c r="E71" s="8" t="s">
        <v>2304</v>
      </c>
      <c r="F71" s="8" t="s">
        <v>53</v>
      </c>
      <c r="G71" s="10">
        <v>45999</v>
      </c>
      <c r="H71" s="8" t="s">
        <v>26</v>
      </c>
      <c r="I71" s="8" t="s">
        <v>27</v>
      </c>
      <c r="J71" s="8" t="s">
        <v>48</v>
      </c>
      <c r="K71" s="8" t="s">
        <v>37</v>
      </c>
      <c r="L71" s="8" t="s">
        <v>87</v>
      </c>
      <c r="M71" s="8" t="s">
        <v>30</v>
      </c>
      <c r="N71" s="11">
        <v>201726</v>
      </c>
      <c r="O71" s="11">
        <v>40566</v>
      </c>
      <c r="P71" s="12">
        <v>86.7</v>
      </c>
      <c r="Q71" s="9">
        <v>3</v>
      </c>
      <c r="R71" s="13">
        <v>22</v>
      </c>
      <c r="S71" s="13">
        <v>1</v>
      </c>
      <c r="T71" s="9">
        <v>2</v>
      </c>
      <c r="U71" s="13">
        <v>85</v>
      </c>
      <c r="V71" s="8" t="s">
        <v>31</v>
      </c>
      <c r="W71" s="8"/>
      <c r="X71" s="22">
        <f>IF(V71="Yes",1,0)</f>
        <v>0</v>
      </c>
      <c r="Y71" s="22">
        <f>IF(H71="Active",0,1)</f>
        <v>0</v>
      </c>
    </row>
    <row r="72" spans="1:25" ht="18" customHeight="1" x14ac:dyDescent="0.35">
      <c r="A72" s="14" t="s">
        <v>2060</v>
      </c>
      <c r="B72" s="14" t="s">
        <v>177</v>
      </c>
      <c r="C72" s="14" t="s">
        <v>25</v>
      </c>
      <c r="D72" s="15">
        <v>55</v>
      </c>
      <c r="E72" s="14" t="s">
        <v>63</v>
      </c>
      <c r="F72" s="14" t="s">
        <v>72</v>
      </c>
      <c r="G72" s="16">
        <v>45999</v>
      </c>
      <c r="H72" s="14" t="s">
        <v>26</v>
      </c>
      <c r="I72" s="14" t="s">
        <v>27</v>
      </c>
      <c r="J72" s="14" t="s">
        <v>2269</v>
      </c>
      <c r="K72" s="14" t="s">
        <v>37</v>
      </c>
      <c r="L72" s="14" t="s">
        <v>38</v>
      </c>
      <c r="M72" s="14" t="s">
        <v>60</v>
      </c>
      <c r="N72" s="17">
        <v>192929</v>
      </c>
      <c r="O72" s="17">
        <v>12610</v>
      </c>
      <c r="P72" s="18">
        <v>83.3</v>
      </c>
      <c r="Q72" s="15">
        <v>9</v>
      </c>
      <c r="R72" s="19">
        <v>22</v>
      </c>
      <c r="S72" s="19">
        <v>2</v>
      </c>
      <c r="T72" s="15">
        <v>11</v>
      </c>
      <c r="U72" s="19">
        <v>99</v>
      </c>
      <c r="V72" s="14" t="s">
        <v>31</v>
      </c>
      <c r="W72" s="14"/>
      <c r="X72" s="14">
        <f>IF(V72="Yes",1,0)</f>
        <v>0</v>
      </c>
      <c r="Y72" s="14">
        <f>IF(H72="Active",0,1)</f>
        <v>0</v>
      </c>
    </row>
    <row r="73" spans="1:25" ht="18" customHeight="1" x14ac:dyDescent="0.35">
      <c r="A73" s="14" t="s">
        <v>392</v>
      </c>
      <c r="B73" s="14" t="s">
        <v>393</v>
      </c>
      <c r="C73" s="14" t="s">
        <v>34</v>
      </c>
      <c r="D73" s="15">
        <v>37</v>
      </c>
      <c r="E73" s="14" t="s">
        <v>67</v>
      </c>
      <c r="F73" s="14" t="s">
        <v>72</v>
      </c>
      <c r="G73" s="16">
        <v>45998</v>
      </c>
      <c r="H73" s="14" t="s">
        <v>26</v>
      </c>
      <c r="I73" s="14" t="s">
        <v>27</v>
      </c>
      <c r="J73" s="14" t="s">
        <v>80</v>
      </c>
      <c r="K73" s="14" t="s">
        <v>28</v>
      </c>
      <c r="L73" s="14" t="s">
        <v>44</v>
      </c>
      <c r="M73" s="14" t="s">
        <v>64</v>
      </c>
      <c r="N73" s="17">
        <v>142436</v>
      </c>
      <c r="O73" s="17">
        <v>9550</v>
      </c>
      <c r="P73" s="18">
        <v>93</v>
      </c>
      <c r="Q73" s="15">
        <v>4</v>
      </c>
      <c r="R73" s="19">
        <v>7</v>
      </c>
      <c r="S73" s="19">
        <v>1</v>
      </c>
      <c r="T73" s="15">
        <v>19</v>
      </c>
      <c r="U73" s="19">
        <v>75</v>
      </c>
      <c r="V73" s="14" t="s">
        <v>31</v>
      </c>
      <c r="W73" s="14"/>
      <c r="X73" s="14">
        <f>IF(V73="Yes",1,0)</f>
        <v>0</v>
      </c>
      <c r="Y73" s="14">
        <f>IF(H73="Active",0,1)</f>
        <v>0</v>
      </c>
    </row>
    <row r="74" spans="1:25" ht="18" customHeight="1" x14ac:dyDescent="0.35">
      <c r="A74" s="14" t="s">
        <v>994</v>
      </c>
      <c r="B74" s="14" t="s">
        <v>285</v>
      </c>
      <c r="C74" s="14" t="s">
        <v>25</v>
      </c>
      <c r="D74" s="15">
        <v>39</v>
      </c>
      <c r="E74" s="14" t="s">
        <v>42</v>
      </c>
      <c r="F74" s="14" t="s">
        <v>35</v>
      </c>
      <c r="G74" s="16">
        <v>45997</v>
      </c>
      <c r="H74" s="14" t="s">
        <v>26</v>
      </c>
      <c r="I74" s="14" t="s">
        <v>2267</v>
      </c>
      <c r="J74" s="14" t="s">
        <v>2268</v>
      </c>
      <c r="K74" s="14" t="s">
        <v>28</v>
      </c>
      <c r="L74" s="14" t="s">
        <v>56</v>
      </c>
      <c r="M74" s="14" t="s">
        <v>45</v>
      </c>
      <c r="N74" s="17">
        <v>228918</v>
      </c>
      <c r="O74" s="17">
        <v>24562</v>
      </c>
      <c r="P74" s="18">
        <v>85</v>
      </c>
      <c r="Q74" s="15">
        <v>8</v>
      </c>
      <c r="R74" s="19">
        <v>12</v>
      </c>
      <c r="S74" s="19">
        <v>1</v>
      </c>
      <c r="T74" s="15">
        <v>37</v>
      </c>
      <c r="U74" s="19">
        <v>74</v>
      </c>
      <c r="V74" s="14" t="s">
        <v>31</v>
      </c>
      <c r="W74" s="14"/>
      <c r="X74" s="14">
        <f>IF(V74="Yes",1,0)</f>
        <v>0</v>
      </c>
      <c r="Y74" s="14">
        <f>IF(H74="Active",0,1)</f>
        <v>0</v>
      </c>
    </row>
    <row r="75" spans="1:25" ht="18" customHeight="1" x14ac:dyDescent="0.35">
      <c r="A75" s="14" t="s">
        <v>1982</v>
      </c>
      <c r="B75" s="14" t="s">
        <v>537</v>
      </c>
      <c r="C75" s="14" t="s">
        <v>25</v>
      </c>
      <c r="D75" s="15">
        <v>30</v>
      </c>
      <c r="E75" s="14" t="s">
        <v>52</v>
      </c>
      <c r="F75" s="14" t="s">
        <v>53</v>
      </c>
      <c r="G75" s="16">
        <v>45997</v>
      </c>
      <c r="H75" s="14" t="s">
        <v>26</v>
      </c>
      <c r="I75" s="14" t="s">
        <v>27</v>
      </c>
      <c r="J75" s="14" t="s">
        <v>48</v>
      </c>
      <c r="K75" s="14" t="s">
        <v>2271</v>
      </c>
      <c r="L75" s="14" t="s">
        <v>49</v>
      </c>
      <c r="M75" s="14" t="s">
        <v>45</v>
      </c>
      <c r="N75" s="17">
        <v>46516</v>
      </c>
      <c r="O75" s="17">
        <v>11366</v>
      </c>
      <c r="P75" s="18">
        <v>95.2</v>
      </c>
      <c r="Q75" s="15">
        <v>4</v>
      </c>
      <c r="R75" s="19">
        <v>26</v>
      </c>
      <c r="S75" s="19">
        <v>1</v>
      </c>
      <c r="T75" s="15">
        <v>13</v>
      </c>
      <c r="U75" s="19">
        <v>73</v>
      </c>
      <c r="V75" s="14" t="s">
        <v>31</v>
      </c>
      <c r="W75" s="14"/>
      <c r="X75" s="14">
        <f>IF(V75="Yes",1,0)</f>
        <v>0</v>
      </c>
      <c r="Y75" s="14">
        <f>IF(H75="Active",0,1)</f>
        <v>0</v>
      </c>
    </row>
    <row r="76" spans="1:25" ht="18" customHeight="1" x14ac:dyDescent="0.35">
      <c r="A76" s="8" t="s">
        <v>2115</v>
      </c>
      <c r="B76" s="8" t="s">
        <v>413</v>
      </c>
      <c r="C76" s="8" t="s">
        <v>25</v>
      </c>
      <c r="D76" s="9">
        <v>39</v>
      </c>
      <c r="E76" s="8" t="s">
        <v>86</v>
      </c>
      <c r="F76" s="8" t="s">
        <v>79</v>
      </c>
      <c r="G76" s="10">
        <v>45997</v>
      </c>
      <c r="H76" s="8" t="s">
        <v>26</v>
      </c>
      <c r="I76" s="8" t="s">
        <v>27</v>
      </c>
      <c r="J76" s="8" t="s">
        <v>48</v>
      </c>
      <c r="K76" s="8" t="s">
        <v>28</v>
      </c>
      <c r="L76" s="8" t="s">
        <v>87</v>
      </c>
      <c r="M76" s="8" t="s">
        <v>60</v>
      </c>
      <c r="N76" s="11">
        <v>88021</v>
      </c>
      <c r="O76" s="11">
        <v>31049</v>
      </c>
      <c r="P76" s="12">
        <v>84.9</v>
      </c>
      <c r="Q76" s="9">
        <v>2</v>
      </c>
      <c r="R76" s="13">
        <v>22</v>
      </c>
      <c r="S76" s="13">
        <v>3</v>
      </c>
      <c r="T76" s="9">
        <v>19</v>
      </c>
      <c r="U76" s="13">
        <v>62</v>
      </c>
      <c r="V76" s="8" t="s">
        <v>31</v>
      </c>
      <c r="W76" s="8"/>
      <c r="X76" s="22">
        <f>IF(V76="Yes",1,0)</f>
        <v>0</v>
      </c>
      <c r="Y76" s="22">
        <f>IF(H76="Active",0,1)</f>
        <v>0</v>
      </c>
    </row>
    <row r="77" spans="1:25" ht="18" customHeight="1" x14ac:dyDescent="0.35">
      <c r="A77" s="8" t="s">
        <v>2121</v>
      </c>
      <c r="B77" s="8" t="s">
        <v>207</v>
      </c>
      <c r="C77" s="8" t="s">
        <v>25</v>
      </c>
      <c r="D77" s="9">
        <v>59</v>
      </c>
      <c r="E77" s="8" t="s">
        <v>86</v>
      </c>
      <c r="F77" s="8" t="s">
        <v>53</v>
      </c>
      <c r="G77" s="10">
        <v>45997</v>
      </c>
      <c r="H77" s="8" t="s">
        <v>26</v>
      </c>
      <c r="I77" s="8" t="s">
        <v>2267</v>
      </c>
      <c r="J77" s="8" t="s">
        <v>2270</v>
      </c>
      <c r="K77" s="8" t="s">
        <v>55</v>
      </c>
      <c r="L77" s="8" t="s">
        <v>116</v>
      </c>
      <c r="M77" s="8" t="s">
        <v>39</v>
      </c>
      <c r="N77" s="11">
        <v>212138</v>
      </c>
      <c r="O77" s="11">
        <v>33738</v>
      </c>
      <c r="P77" s="12">
        <v>91.1</v>
      </c>
      <c r="Q77" s="9">
        <v>2</v>
      </c>
      <c r="R77" s="13">
        <v>29</v>
      </c>
      <c r="S77" s="13">
        <v>3</v>
      </c>
      <c r="T77" s="9">
        <v>40</v>
      </c>
      <c r="U77" s="13">
        <v>84</v>
      </c>
      <c r="V77" s="8" t="s">
        <v>31</v>
      </c>
      <c r="W77" s="8"/>
      <c r="X77" s="22">
        <f>IF(V77="Yes",1,0)</f>
        <v>0</v>
      </c>
      <c r="Y77" s="22">
        <f>IF(H77="Active",0,1)</f>
        <v>0</v>
      </c>
    </row>
    <row r="78" spans="1:25" ht="18" customHeight="1" x14ac:dyDescent="0.35">
      <c r="A78" s="14" t="s">
        <v>1588</v>
      </c>
      <c r="B78" s="14" t="s">
        <v>443</v>
      </c>
      <c r="C78" s="14" t="s">
        <v>34</v>
      </c>
      <c r="D78" s="15">
        <v>57</v>
      </c>
      <c r="E78" s="14" t="s">
        <v>42</v>
      </c>
      <c r="F78" s="14" t="s">
        <v>90</v>
      </c>
      <c r="G78" s="16">
        <v>45996</v>
      </c>
      <c r="H78" s="14" t="s">
        <v>26</v>
      </c>
      <c r="I78" s="14" t="s">
        <v>27</v>
      </c>
      <c r="J78" s="14" t="s">
        <v>2270</v>
      </c>
      <c r="K78" s="14" t="s">
        <v>28</v>
      </c>
      <c r="L78" s="14" t="s">
        <v>56</v>
      </c>
      <c r="M78" s="14" t="s">
        <v>39</v>
      </c>
      <c r="N78" s="17">
        <v>43667</v>
      </c>
      <c r="O78" s="17">
        <v>31826</v>
      </c>
      <c r="P78" s="18">
        <v>84.5</v>
      </c>
      <c r="Q78" s="15">
        <v>6</v>
      </c>
      <c r="R78" s="19">
        <v>25</v>
      </c>
      <c r="S78" s="19">
        <v>5</v>
      </c>
      <c r="T78" s="15">
        <v>12</v>
      </c>
      <c r="U78" s="19">
        <v>90</v>
      </c>
      <c r="V78" s="14" t="s">
        <v>31</v>
      </c>
      <c r="W78" s="14"/>
      <c r="X78" s="14">
        <f>IF(V78="Yes",1,0)</f>
        <v>0</v>
      </c>
      <c r="Y78" s="14">
        <f>IF(H78="Active",0,1)</f>
        <v>0</v>
      </c>
    </row>
    <row r="79" spans="1:25" ht="18" customHeight="1" x14ac:dyDescent="0.35">
      <c r="A79" s="8" t="s">
        <v>822</v>
      </c>
      <c r="B79" s="8" t="s">
        <v>66</v>
      </c>
      <c r="C79" s="8" t="s">
        <v>25</v>
      </c>
      <c r="D79" s="9">
        <v>57</v>
      </c>
      <c r="E79" s="8" t="s">
        <v>63</v>
      </c>
      <c r="F79" s="8" t="s">
        <v>53</v>
      </c>
      <c r="G79" s="10">
        <v>45995</v>
      </c>
      <c r="H79" s="8" t="s">
        <v>54</v>
      </c>
      <c r="I79" s="8" t="s">
        <v>27</v>
      </c>
      <c r="J79" s="8" t="s">
        <v>48</v>
      </c>
      <c r="K79" s="8" t="s">
        <v>2271</v>
      </c>
      <c r="L79" s="8" t="s">
        <v>56</v>
      </c>
      <c r="M79" s="8" t="s">
        <v>30</v>
      </c>
      <c r="N79" s="11">
        <v>98508</v>
      </c>
      <c r="O79" s="11">
        <v>48826</v>
      </c>
      <c r="P79" s="12">
        <v>95.2</v>
      </c>
      <c r="Q79" s="9">
        <v>9</v>
      </c>
      <c r="R79" s="13">
        <v>18</v>
      </c>
      <c r="S79" s="13">
        <v>5</v>
      </c>
      <c r="T79" s="9">
        <v>21</v>
      </c>
      <c r="U79" s="13">
        <v>90</v>
      </c>
      <c r="V79" s="8" t="s">
        <v>31</v>
      </c>
      <c r="W79" s="8" t="s">
        <v>205</v>
      </c>
      <c r="X79" s="22">
        <f>IF(V79="Yes",1,0)</f>
        <v>0</v>
      </c>
      <c r="Y79" s="22">
        <f>IF(H79="Active",0,1)</f>
        <v>1</v>
      </c>
    </row>
    <row r="80" spans="1:25" ht="18" customHeight="1" x14ac:dyDescent="0.35">
      <c r="A80" s="14" t="s">
        <v>953</v>
      </c>
      <c r="B80" s="14" t="s">
        <v>591</v>
      </c>
      <c r="C80" s="14" t="s">
        <v>34</v>
      </c>
      <c r="D80" s="15">
        <v>53</v>
      </c>
      <c r="E80" s="14" t="s">
        <v>63</v>
      </c>
      <c r="F80" s="14" t="s">
        <v>35</v>
      </c>
      <c r="G80" s="16">
        <v>45995</v>
      </c>
      <c r="H80" s="14" t="s">
        <v>26</v>
      </c>
      <c r="I80" s="14" t="s">
        <v>36</v>
      </c>
      <c r="J80" s="14" t="s">
        <v>2270</v>
      </c>
      <c r="K80" s="14" t="s">
        <v>28</v>
      </c>
      <c r="L80" s="14" t="s">
        <v>29</v>
      </c>
      <c r="M80" s="14" t="s">
        <v>45</v>
      </c>
      <c r="N80" s="17">
        <v>154589</v>
      </c>
      <c r="O80" s="17">
        <v>36628</v>
      </c>
      <c r="P80" s="18">
        <v>88.3</v>
      </c>
      <c r="Q80" s="15">
        <v>2</v>
      </c>
      <c r="R80" s="19">
        <v>12</v>
      </c>
      <c r="S80" s="19">
        <v>2</v>
      </c>
      <c r="T80" s="15">
        <v>39</v>
      </c>
      <c r="U80" s="19">
        <v>87</v>
      </c>
      <c r="V80" s="14" t="s">
        <v>69</v>
      </c>
      <c r="W80" s="14"/>
      <c r="X80" s="14">
        <f>IF(V80="Yes",1,0)</f>
        <v>1</v>
      </c>
      <c r="Y80" s="14">
        <f>IF(H80="Active",0,1)</f>
        <v>0</v>
      </c>
    </row>
    <row r="81" spans="1:25" ht="18" customHeight="1" x14ac:dyDescent="0.35">
      <c r="A81" s="8" t="s">
        <v>1929</v>
      </c>
      <c r="B81" s="8" t="s">
        <v>386</v>
      </c>
      <c r="C81" s="8" t="s">
        <v>34</v>
      </c>
      <c r="D81" s="9">
        <v>56</v>
      </c>
      <c r="E81" s="8" t="s">
        <v>109</v>
      </c>
      <c r="F81" s="8" t="s">
        <v>76</v>
      </c>
      <c r="G81" s="10">
        <v>45995</v>
      </c>
      <c r="H81" s="8" t="s">
        <v>26</v>
      </c>
      <c r="I81" s="8" t="s">
        <v>36</v>
      </c>
      <c r="J81" s="8" t="s">
        <v>48</v>
      </c>
      <c r="K81" s="8" t="s">
        <v>55</v>
      </c>
      <c r="L81" s="8" t="s">
        <v>38</v>
      </c>
      <c r="M81" s="8" t="s">
        <v>30</v>
      </c>
      <c r="N81" s="11">
        <v>199101</v>
      </c>
      <c r="O81" s="11">
        <v>12547</v>
      </c>
      <c r="P81" s="12">
        <v>90.2</v>
      </c>
      <c r="Q81" s="9">
        <v>7</v>
      </c>
      <c r="R81" s="13">
        <v>12</v>
      </c>
      <c r="S81" s="13">
        <v>5</v>
      </c>
      <c r="T81" s="9">
        <v>14</v>
      </c>
      <c r="U81" s="13">
        <v>60</v>
      </c>
      <c r="V81" s="8" t="s">
        <v>31</v>
      </c>
      <c r="W81" s="8"/>
      <c r="X81" s="22">
        <f>IF(V81="Yes",1,0)</f>
        <v>0</v>
      </c>
      <c r="Y81" s="22">
        <f>IF(H81="Active",0,1)</f>
        <v>0</v>
      </c>
    </row>
    <row r="82" spans="1:25" ht="18" customHeight="1" x14ac:dyDescent="0.35">
      <c r="A82" s="8" t="s">
        <v>238</v>
      </c>
      <c r="B82" s="8" t="s">
        <v>215</v>
      </c>
      <c r="C82" s="8" t="s">
        <v>25</v>
      </c>
      <c r="D82" s="9">
        <v>27</v>
      </c>
      <c r="E82" s="8" t="s">
        <v>93</v>
      </c>
      <c r="F82" s="8" t="s">
        <v>12</v>
      </c>
      <c r="G82" s="10">
        <v>45994</v>
      </c>
      <c r="H82" s="8" t="s">
        <v>26</v>
      </c>
      <c r="I82" s="8" t="s">
        <v>27</v>
      </c>
      <c r="J82" s="8" t="s">
        <v>2269</v>
      </c>
      <c r="K82" s="8" t="s">
        <v>2271</v>
      </c>
      <c r="L82" s="8" t="s">
        <v>87</v>
      </c>
      <c r="M82" s="8" t="s">
        <v>64</v>
      </c>
      <c r="N82" s="11">
        <v>180061</v>
      </c>
      <c r="O82" s="11">
        <v>12587</v>
      </c>
      <c r="P82" s="12">
        <v>92.1</v>
      </c>
      <c r="Q82" s="9">
        <v>9</v>
      </c>
      <c r="R82" s="13">
        <v>9</v>
      </c>
      <c r="S82" s="13">
        <v>4</v>
      </c>
      <c r="T82" s="9">
        <v>11</v>
      </c>
      <c r="U82" s="13">
        <v>81</v>
      </c>
      <c r="V82" s="8" t="s">
        <v>69</v>
      </c>
      <c r="W82" s="8"/>
      <c r="X82" s="22">
        <f>IF(V82="Yes",1,0)</f>
        <v>1</v>
      </c>
      <c r="Y82" s="22">
        <f>IF(H82="Active",0,1)</f>
        <v>0</v>
      </c>
    </row>
    <row r="83" spans="1:25" ht="18" customHeight="1" x14ac:dyDescent="0.35">
      <c r="A83" s="8" t="s">
        <v>763</v>
      </c>
      <c r="B83" s="8" t="s">
        <v>263</v>
      </c>
      <c r="C83" s="8" t="s">
        <v>34</v>
      </c>
      <c r="D83" s="9">
        <v>26</v>
      </c>
      <c r="E83" s="8" t="s">
        <v>67</v>
      </c>
      <c r="F83" s="8" t="s">
        <v>35</v>
      </c>
      <c r="G83" s="10">
        <v>45994</v>
      </c>
      <c r="H83" s="8" t="s">
        <v>26</v>
      </c>
      <c r="I83" s="8" t="s">
        <v>27</v>
      </c>
      <c r="J83" s="8" t="s">
        <v>2269</v>
      </c>
      <c r="K83" s="8" t="s">
        <v>37</v>
      </c>
      <c r="L83" s="8" t="s">
        <v>87</v>
      </c>
      <c r="M83" s="8" t="s">
        <v>60</v>
      </c>
      <c r="N83" s="11">
        <v>100502</v>
      </c>
      <c r="O83" s="11">
        <v>27090</v>
      </c>
      <c r="P83" s="12">
        <v>85.6</v>
      </c>
      <c r="Q83" s="9">
        <v>4</v>
      </c>
      <c r="R83" s="13">
        <v>15</v>
      </c>
      <c r="S83" s="13">
        <v>1</v>
      </c>
      <c r="T83" s="9">
        <v>12</v>
      </c>
      <c r="U83" s="13">
        <v>69</v>
      </c>
      <c r="V83" s="8" t="s">
        <v>31</v>
      </c>
      <c r="W83" s="8"/>
      <c r="X83" s="22">
        <f>IF(V83="Yes",1,0)</f>
        <v>0</v>
      </c>
      <c r="Y83" s="22">
        <f>IF(H83="Active",0,1)</f>
        <v>0</v>
      </c>
    </row>
    <row r="84" spans="1:25" ht="18" customHeight="1" x14ac:dyDescent="0.35">
      <c r="A84" s="8" t="s">
        <v>1057</v>
      </c>
      <c r="B84" s="8" t="s">
        <v>583</v>
      </c>
      <c r="C84" s="8" t="s">
        <v>25</v>
      </c>
      <c r="D84" s="9">
        <v>38</v>
      </c>
      <c r="E84" s="8" t="s">
        <v>109</v>
      </c>
      <c r="F84" s="8" t="s">
        <v>90</v>
      </c>
      <c r="G84" s="10">
        <v>45994</v>
      </c>
      <c r="H84" s="8" t="s">
        <v>26</v>
      </c>
      <c r="I84" s="8" t="s">
        <v>36</v>
      </c>
      <c r="J84" s="8" t="s">
        <v>48</v>
      </c>
      <c r="K84" s="8" t="s">
        <v>37</v>
      </c>
      <c r="L84" s="8" t="s">
        <v>44</v>
      </c>
      <c r="M84" s="8" t="s">
        <v>45</v>
      </c>
      <c r="N84" s="11">
        <v>81893</v>
      </c>
      <c r="O84" s="11">
        <v>39320</v>
      </c>
      <c r="P84" s="12">
        <v>84</v>
      </c>
      <c r="Q84" s="9">
        <v>0</v>
      </c>
      <c r="R84" s="13">
        <v>20</v>
      </c>
      <c r="S84" s="13">
        <v>1</v>
      </c>
      <c r="T84" s="9">
        <v>33</v>
      </c>
      <c r="U84" s="13">
        <v>68</v>
      </c>
      <c r="V84" s="8" t="s">
        <v>31</v>
      </c>
      <c r="W84" s="8"/>
      <c r="X84" s="22">
        <f>IF(V84="Yes",1,0)</f>
        <v>0</v>
      </c>
      <c r="Y84" s="22">
        <f>IF(H84="Active",0,1)</f>
        <v>0</v>
      </c>
    </row>
    <row r="85" spans="1:25" ht="18" customHeight="1" x14ac:dyDescent="0.35">
      <c r="A85" s="14" t="s">
        <v>1215</v>
      </c>
      <c r="B85" s="14" t="s">
        <v>619</v>
      </c>
      <c r="C85" s="14" t="s">
        <v>34</v>
      </c>
      <c r="D85" s="15">
        <v>54</v>
      </c>
      <c r="E85" s="14" t="s">
        <v>86</v>
      </c>
      <c r="F85" s="14" t="s">
        <v>79</v>
      </c>
      <c r="G85" s="16">
        <v>45994</v>
      </c>
      <c r="H85" s="14" t="s">
        <v>26</v>
      </c>
      <c r="I85" s="14" t="s">
        <v>27</v>
      </c>
      <c r="J85" s="14" t="s">
        <v>48</v>
      </c>
      <c r="K85" s="14" t="s">
        <v>55</v>
      </c>
      <c r="L85" s="14" t="s">
        <v>38</v>
      </c>
      <c r="M85" s="14" t="s">
        <v>64</v>
      </c>
      <c r="N85" s="17">
        <v>64854</v>
      </c>
      <c r="O85" s="17">
        <v>18975</v>
      </c>
      <c r="P85" s="18">
        <v>93.4</v>
      </c>
      <c r="Q85" s="15">
        <v>10</v>
      </c>
      <c r="R85" s="19">
        <v>23</v>
      </c>
      <c r="S85" s="19">
        <v>2</v>
      </c>
      <c r="T85" s="15">
        <v>33</v>
      </c>
      <c r="U85" s="19">
        <v>94</v>
      </c>
      <c r="V85" s="14" t="s">
        <v>31</v>
      </c>
      <c r="W85" s="14"/>
      <c r="X85" s="14">
        <f>IF(V85="Yes",1,0)</f>
        <v>0</v>
      </c>
      <c r="Y85" s="14">
        <f>IF(H85="Active",0,1)</f>
        <v>0</v>
      </c>
    </row>
    <row r="86" spans="1:25" ht="18" customHeight="1" x14ac:dyDescent="0.35">
      <c r="A86" s="14" t="s">
        <v>1366</v>
      </c>
      <c r="B86" s="14" t="s">
        <v>497</v>
      </c>
      <c r="C86" s="14" t="s">
        <v>25</v>
      </c>
      <c r="D86" s="15">
        <v>41</v>
      </c>
      <c r="E86" s="14" t="s">
        <v>63</v>
      </c>
      <c r="F86" s="14" t="s">
        <v>90</v>
      </c>
      <c r="G86" s="16">
        <v>45994</v>
      </c>
      <c r="H86" s="14" t="s">
        <v>26</v>
      </c>
      <c r="I86" s="14" t="s">
        <v>2267</v>
      </c>
      <c r="J86" s="14" t="s">
        <v>2268</v>
      </c>
      <c r="K86" s="14" t="s">
        <v>37</v>
      </c>
      <c r="L86" s="14" t="s">
        <v>38</v>
      </c>
      <c r="M86" s="14" t="s">
        <v>64</v>
      </c>
      <c r="N86" s="17">
        <v>229720</v>
      </c>
      <c r="O86" s="17">
        <v>37729</v>
      </c>
      <c r="P86" s="18">
        <v>89.2</v>
      </c>
      <c r="Q86" s="15">
        <v>1</v>
      </c>
      <c r="R86" s="19">
        <v>21</v>
      </c>
      <c r="S86" s="19">
        <v>3</v>
      </c>
      <c r="T86" s="15">
        <v>29</v>
      </c>
      <c r="U86" s="19">
        <v>91</v>
      </c>
      <c r="V86" s="14" t="s">
        <v>69</v>
      </c>
      <c r="W86" s="14"/>
      <c r="X86" s="14">
        <f>IF(V86="Yes",1,0)</f>
        <v>1</v>
      </c>
      <c r="Y86" s="14">
        <f>IF(H86="Active",0,1)</f>
        <v>0</v>
      </c>
    </row>
    <row r="87" spans="1:25" ht="18" customHeight="1" x14ac:dyDescent="0.35">
      <c r="A87" s="8" t="s">
        <v>1489</v>
      </c>
      <c r="B87" s="8" t="s">
        <v>291</v>
      </c>
      <c r="C87" s="8" t="s">
        <v>34</v>
      </c>
      <c r="D87" s="9">
        <v>52</v>
      </c>
      <c r="E87" s="8" t="s">
        <v>63</v>
      </c>
      <c r="F87" s="8" t="s">
        <v>53</v>
      </c>
      <c r="G87" s="10">
        <v>45994</v>
      </c>
      <c r="H87" s="8" t="s">
        <v>26</v>
      </c>
      <c r="I87" s="8" t="s">
        <v>36</v>
      </c>
      <c r="J87" s="8" t="s">
        <v>48</v>
      </c>
      <c r="K87" s="8" t="s">
        <v>73</v>
      </c>
      <c r="L87" s="8" t="s">
        <v>56</v>
      </c>
      <c r="M87" s="8" t="s">
        <v>45</v>
      </c>
      <c r="N87" s="11">
        <v>56793</v>
      </c>
      <c r="O87" s="11">
        <v>12816</v>
      </c>
      <c r="P87" s="12">
        <v>88.2</v>
      </c>
      <c r="Q87" s="9">
        <v>4</v>
      </c>
      <c r="R87" s="13">
        <v>4</v>
      </c>
      <c r="S87" s="13">
        <v>5</v>
      </c>
      <c r="T87" s="9">
        <v>21</v>
      </c>
      <c r="U87" s="13">
        <v>91</v>
      </c>
      <c r="V87" s="8" t="s">
        <v>31</v>
      </c>
      <c r="W87" s="8"/>
      <c r="X87" s="22">
        <f>IF(V87="Yes",1,0)</f>
        <v>0</v>
      </c>
      <c r="Y87" s="22">
        <f>IF(H87="Active",0,1)</f>
        <v>0</v>
      </c>
    </row>
    <row r="88" spans="1:25" ht="18" customHeight="1" x14ac:dyDescent="0.35">
      <c r="A88" s="8" t="s">
        <v>2019</v>
      </c>
      <c r="B88" s="8" t="s">
        <v>265</v>
      </c>
      <c r="C88" s="8" t="s">
        <v>34</v>
      </c>
      <c r="D88" s="9">
        <v>58</v>
      </c>
      <c r="E88" s="8" t="s">
        <v>67</v>
      </c>
      <c r="F88" s="8" t="s">
        <v>12</v>
      </c>
      <c r="G88" s="10">
        <v>45994</v>
      </c>
      <c r="H88" s="8" t="s">
        <v>26</v>
      </c>
      <c r="I88" s="8" t="s">
        <v>36</v>
      </c>
      <c r="J88" s="8" t="s">
        <v>2270</v>
      </c>
      <c r="K88" s="8" t="s">
        <v>2271</v>
      </c>
      <c r="L88" s="8" t="s">
        <v>38</v>
      </c>
      <c r="M88" s="8" t="s">
        <v>64</v>
      </c>
      <c r="N88" s="11">
        <v>120695</v>
      </c>
      <c r="O88" s="11">
        <v>34411</v>
      </c>
      <c r="P88" s="12">
        <v>83.4</v>
      </c>
      <c r="Q88" s="9">
        <v>6</v>
      </c>
      <c r="R88" s="13">
        <v>27</v>
      </c>
      <c r="S88" s="13">
        <v>1</v>
      </c>
      <c r="T88" s="9">
        <v>23</v>
      </c>
      <c r="U88" s="13">
        <v>78</v>
      </c>
      <c r="V88" s="8" t="s">
        <v>31</v>
      </c>
      <c r="W88" s="8"/>
      <c r="X88" s="22">
        <f>IF(V88="Yes",1,0)</f>
        <v>0</v>
      </c>
      <c r="Y88" s="22">
        <f>IF(H88="Active",0,1)</f>
        <v>0</v>
      </c>
    </row>
    <row r="89" spans="1:25" ht="18" customHeight="1" x14ac:dyDescent="0.35">
      <c r="A89" s="8" t="s">
        <v>259</v>
      </c>
      <c r="B89" s="8" t="s">
        <v>171</v>
      </c>
      <c r="C89" s="8" t="s">
        <v>25</v>
      </c>
      <c r="D89" s="9">
        <v>48</v>
      </c>
      <c r="E89" s="8" t="s">
        <v>109</v>
      </c>
      <c r="F89" s="8" t="s">
        <v>12</v>
      </c>
      <c r="G89" s="10">
        <v>45993</v>
      </c>
      <c r="H89" s="8" t="s">
        <v>26</v>
      </c>
      <c r="I89" s="8" t="s">
        <v>27</v>
      </c>
      <c r="J89" s="8" t="s">
        <v>2268</v>
      </c>
      <c r="K89" s="8" t="s">
        <v>55</v>
      </c>
      <c r="L89" s="8" t="s">
        <v>29</v>
      </c>
      <c r="M89" s="8" t="s">
        <v>60</v>
      </c>
      <c r="N89" s="11">
        <v>189813</v>
      </c>
      <c r="O89" s="11">
        <v>37999</v>
      </c>
      <c r="P89" s="12">
        <v>94.8</v>
      </c>
      <c r="Q89" s="9">
        <v>8</v>
      </c>
      <c r="R89" s="13">
        <v>18</v>
      </c>
      <c r="S89" s="13">
        <v>4</v>
      </c>
      <c r="T89" s="9">
        <v>21</v>
      </c>
      <c r="U89" s="13">
        <v>90</v>
      </c>
      <c r="V89" s="8" t="s">
        <v>31</v>
      </c>
      <c r="W89" s="8"/>
      <c r="X89" s="22">
        <f>IF(V89="Yes",1,0)</f>
        <v>0</v>
      </c>
      <c r="Y89" s="22">
        <f>IF(H89="Active",0,1)</f>
        <v>0</v>
      </c>
    </row>
    <row r="90" spans="1:25" ht="18" customHeight="1" x14ac:dyDescent="0.35">
      <c r="A90" s="14" t="s">
        <v>1078</v>
      </c>
      <c r="B90" s="14" t="s">
        <v>111</v>
      </c>
      <c r="C90" s="14" t="s">
        <v>34</v>
      </c>
      <c r="D90" s="15">
        <v>29</v>
      </c>
      <c r="E90" s="14" t="s">
        <v>2304</v>
      </c>
      <c r="F90" s="14" t="s">
        <v>12</v>
      </c>
      <c r="G90" s="16">
        <v>45993</v>
      </c>
      <c r="H90" s="14" t="s">
        <v>26</v>
      </c>
      <c r="I90" s="14" t="s">
        <v>36</v>
      </c>
      <c r="J90" s="14" t="s">
        <v>2270</v>
      </c>
      <c r="K90" s="14" t="s">
        <v>73</v>
      </c>
      <c r="L90" s="14" t="s">
        <v>49</v>
      </c>
      <c r="M90" s="14" t="s">
        <v>39</v>
      </c>
      <c r="N90" s="17">
        <v>57659</v>
      </c>
      <c r="O90" s="17">
        <v>12585</v>
      </c>
      <c r="P90" s="18">
        <v>88.5</v>
      </c>
      <c r="Q90" s="15">
        <v>9</v>
      </c>
      <c r="R90" s="19">
        <v>18</v>
      </c>
      <c r="S90" s="19">
        <v>4</v>
      </c>
      <c r="T90" s="15">
        <v>12</v>
      </c>
      <c r="U90" s="19">
        <v>77</v>
      </c>
      <c r="V90" s="14" t="s">
        <v>31</v>
      </c>
      <c r="W90" s="14"/>
      <c r="X90" s="14">
        <f>IF(V90="Yes",1,0)</f>
        <v>0</v>
      </c>
      <c r="Y90" s="14">
        <f>IF(H90="Active",0,1)</f>
        <v>0</v>
      </c>
    </row>
    <row r="91" spans="1:25" ht="18" customHeight="1" x14ac:dyDescent="0.35">
      <c r="A91" s="8" t="s">
        <v>1637</v>
      </c>
      <c r="B91" s="8" t="s">
        <v>789</v>
      </c>
      <c r="C91" s="8" t="s">
        <v>25</v>
      </c>
      <c r="D91" s="9">
        <v>40</v>
      </c>
      <c r="E91" s="8" t="s">
        <v>2304</v>
      </c>
      <c r="F91" s="8" t="s">
        <v>72</v>
      </c>
      <c r="G91" s="10">
        <v>45993</v>
      </c>
      <c r="H91" s="8" t="s">
        <v>26</v>
      </c>
      <c r="I91" s="8" t="s">
        <v>2267</v>
      </c>
      <c r="J91" s="8" t="s">
        <v>48</v>
      </c>
      <c r="K91" s="8" t="s">
        <v>2271</v>
      </c>
      <c r="L91" s="8" t="s">
        <v>38</v>
      </c>
      <c r="M91" s="8" t="s">
        <v>30</v>
      </c>
      <c r="N91" s="11">
        <v>113206</v>
      </c>
      <c r="O91" s="11">
        <v>39741</v>
      </c>
      <c r="P91" s="12">
        <v>99.7</v>
      </c>
      <c r="Q91" s="9">
        <v>9</v>
      </c>
      <c r="R91" s="13">
        <v>14</v>
      </c>
      <c r="S91" s="13">
        <v>4</v>
      </c>
      <c r="T91" s="9">
        <v>6</v>
      </c>
      <c r="U91" s="13">
        <v>78</v>
      </c>
      <c r="V91" s="8" t="s">
        <v>31</v>
      </c>
      <c r="W91" s="8"/>
      <c r="X91" s="22">
        <f>IF(V91="Yes",1,0)</f>
        <v>0</v>
      </c>
      <c r="Y91" s="22">
        <f>IF(H91="Active",0,1)</f>
        <v>0</v>
      </c>
    </row>
    <row r="92" spans="1:25" ht="18" customHeight="1" x14ac:dyDescent="0.35">
      <c r="A92" s="8" t="s">
        <v>681</v>
      </c>
      <c r="B92" s="8" t="s">
        <v>131</v>
      </c>
      <c r="C92" s="8" t="s">
        <v>25</v>
      </c>
      <c r="D92" s="9">
        <v>39</v>
      </c>
      <c r="E92" s="8" t="s">
        <v>2303</v>
      </c>
      <c r="F92" s="8" t="s">
        <v>76</v>
      </c>
      <c r="G92" s="10">
        <v>45992</v>
      </c>
      <c r="H92" s="8" t="s">
        <v>26</v>
      </c>
      <c r="I92" s="8" t="s">
        <v>2267</v>
      </c>
      <c r="J92" s="8" t="s">
        <v>48</v>
      </c>
      <c r="K92" s="8" t="s">
        <v>2271</v>
      </c>
      <c r="L92" s="8" t="s">
        <v>56</v>
      </c>
      <c r="M92" s="8" t="s">
        <v>60</v>
      </c>
      <c r="N92" s="11">
        <v>131779</v>
      </c>
      <c r="O92" s="11">
        <v>45577</v>
      </c>
      <c r="P92" s="12">
        <v>82.7</v>
      </c>
      <c r="Q92" s="9">
        <v>8</v>
      </c>
      <c r="R92" s="13">
        <v>20</v>
      </c>
      <c r="S92" s="13">
        <v>2</v>
      </c>
      <c r="T92" s="9">
        <v>16</v>
      </c>
      <c r="U92" s="13">
        <v>89</v>
      </c>
      <c r="V92" s="8" t="s">
        <v>31</v>
      </c>
      <c r="W92" s="8"/>
      <c r="X92" s="22">
        <f>IF(V92="Yes",1,0)</f>
        <v>0</v>
      </c>
      <c r="Y92" s="22">
        <f>IF(H92="Active",0,1)</f>
        <v>0</v>
      </c>
    </row>
    <row r="93" spans="1:25" ht="18" customHeight="1" x14ac:dyDescent="0.35">
      <c r="A93" s="14" t="s">
        <v>1092</v>
      </c>
      <c r="B93" s="14" t="s">
        <v>246</v>
      </c>
      <c r="C93" s="14" t="s">
        <v>25</v>
      </c>
      <c r="D93" s="15">
        <v>28</v>
      </c>
      <c r="E93" s="14" t="s">
        <v>93</v>
      </c>
      <c r="F93" s="14" t="s">
        <v>53</v>
      </c>
      <c r="G93" s="16">
        <v>45992</v>
      </c>
      <c r="H93" s="14" t="s">
        <v>26</v>
      </c>
      <c r="I93" s="14" t="s">
        <v>36</v>
      </c>
      <c r="J93" s="14" t="s">
        <v>2269</v>
      </c>
      <c r="K93" s="14" t="s">
        <v>73</v>
      </c>
      <c r="L93" s="14" t="s">
        <v>87</v>
      </c>
      <c r="M93" s="14" t="s">
        <v>39</v>
      </c>
      <c r="N93" s="17">
        <v>92087</v>
      </c>
      <c r="O93" s="17">
        <v>26573</v>
      </c>
      <c r="P93" s="18">
        <v>87.1</v>
      </c>
      <c r="Q93" s="15">
        <v>3</v>
      </c>
      <c r="R93" s="19">
        <v>4</v>
      </c>
      <c r="S93" s="19">
        <v>1</v>
      </c>
      <c r="T93" s="15">
        <v>29</v>
      </c>
      <c r="U93" s="19">
        <v>99</v>
      </c>
      <c r="V93" s="14" t="s">
        <v>69</v>
      </c>
      <c r="W93" s="14"/>
      <c r="X93" s="14">
        <f>IF(V93="Yes",1,0)</f>
        <v>1</v>
      </c>
      <c r="Y93" s="14">
        <f>IF(H93="Active",0,1)</f>
        <v>0</v>
      </c>
    </row>
    <row r="94" spans="1:25" ht="18" customHeight="1" x14ac:dyDescent="0.35">
      <c r="A94" s="8" t="s">
        <v>1222</v>
      </c>
      <c r="B94" s="8" t="s">
        <v>195</v>
      </c>
      <c r="C94" s="8" t="s">
        <v>25</v>
      </c>
      <c r="D94" s="9">
        <v>52</v>
      </c>
      <c r="E94" s="8" t="s">
        <v>52</v>
      </c>
      <c r="F94" s="8" t="s">
        <v>53</v>
      </c>
      <c r="G94" s="10">
        <v>45992</v>
      </c>
      <c r="H94" s="8" t="s">
        <v>26</v>
      </c>
      <c r="I94" s="8" t="s">
        <v>2267</v>
      </c>
      <c r="J94" s="8" t="s">
        <v>2269</v>
      </c>
      <c r="K94" s="8" t="s">
        <v>55</v>
      </c>
      <c r="L94" s="8" t="s">
        <v>68</v>
      </c>
      <c r="M94" s="8" t="s">
        <v>30</v>
      </c>
      <c r="N94" s="11">
        <v>105792</v>
      </c>
      <c r="O94" s="11">
        <v>44435</v>
      </c>
      <c r="P94" s="12">
        <v>87.7</v>
      </c>
      <c r="Q94" s="9">
        <v>1</v>
      </c>
      <c r="R94" s="13">
        <v>17</v>
      </c>
      <c r="S94" s="13">
        <v>4</v>
      </c>
      <c r="T94" s="9">
        <v>9</v>
      </c>
      <c r="U94" s="13">
        <v>64</v>
      </c>
      <c r="V94" s="8" t="s">
        <v>31</v>
      </c>
      <c r="W94" s="8"/>
      <c r="X94" s="22">
        <f>IF(V94="Yes",1,0)</f>
        <v>0</v>
      </c>
      <c r="Y94" s="22">
        <f>IF(H94="Active",0,1)</f>
        <v>0</v>
      </c>
    </row>
    <row r="95" spans="1:25" ht="18" customHeight="1" x14ac:dyDescent="0.35">
      <c r="A95" s="8" t="s">
        <v>91</v>
      </c>
      <c r="B95" s="8" t="s">
        <v>92</v>
      </c>
      <c r="C95" s="8" t="s">
        <v>34</v>
      </c>
      <c r="D95" s="9">
        <v>46</v>
      </c>
      <c r="E95" s="8" t="s">
        <v>93</v>
      </c>
      <c r="F95" s="8" t="s">
        <v>76</v>
      </c>
      <c r="G95" s="10">
        <v>45991</v>
      </c>
      <c r="H95" s="8" t="s">
        <v>26</v>
      </c>
      <c r="I95" s="8" t="s">
        <v>36</v>
      </c>
      <c r="J95" s="8" t="s">
        <v>2269</v>
      </c>
      <c r="K95" s="8" t="s">
        <v>28</v>
      </c>
      <c r="L95" s="8" t="s">
        <v>56</v>
      </c>
      <c r="M95" s="8" t="s">
        <v>45</v>
      </c>
      <c r="N95" s="11">
        <v>207394</v>
      </c>
      <c r="O95" s="11">
        <v>19457</v>
      </c>
      <c r="P95" s="12">
        <v>95.9</v>
      </c>
      <c r="Q95" s="9">
        <v>1</v>
      </c>
      <c r="R95" s="13">
        <v>18</v>
      </c>
      <c r="S95" s="13">
        <v>2</v>
      </c>
      <c r="T95" s="9">
        <v>7</v>
      </c>
      <c r="U95" s="13">
        <v>91</v>
      </c>
      <c r="V95" s="8" t="s">
        <v>31</v>
      </c>
      <c r="W95" s="8"/>
      <c r="X95" s="22">
        <f>IF(V95="Yes",1,0)</f>
        <v>0</v>
      </c>
      <c r="Y95" s="22">
        <f>IF(H95="Active",0,1)</f>
        <v>0</v>
      </c>
    </row>
    <row r="96" spans="1:25" ht="18" customHeight="1" x14ac:dyDescent="0.35">
      <c r="A96" s="14" t="s">
        <v>1002</v>
      </c>
      <c r="B96" s="14" t="s">
        <v>386</v>
      </c>
      <c r="C96" s="14" t="s">
        <v>25</v>
      </c>
      <c r="D96" s="15">
        <v>27</v>
      </c>
      <c r="E96" s="14" t="s">
        <v>2303</v>
      </c>
      <c r="F96" s="14" t="s">
        <v>90</v>
      </c>
      <c r="G96" s="16">
        <v>45991</v>
      </c>
      <c r="H96" s="14" t="s">
        <v>26</v>
      </c>
      <c r="I96" s="14" t="s">
        <v>2267</v>
      </c>
      <c r="J96" s="14" t="s">
        <v>2269</v>
      </c>
      <c r="K96" s="14" t="s">
        <v>37</v>
      </c>
      <c r="L96" s="14" t="s">
        <v>68</v>
      </c>
      <c r="M96" s="14" t="s">
        <v>39</v>
      </c>
      <c r="N96" s="17">
        <v>226139</v>
      </c>
      <c r="O96" s="17">
        <v>34771</v>
      </c>
      <c r="P96" s="18">
        <v>82.5</v>
      </c>
      <c r="Q96" s="15">
        <v>5</v>
      </c>
      <c r="R96" s="19">
        <v>8</v>
      </c>
      <c r="S96" s="19">
        <v>2</v>
      </c>
      <c r="T96" s="15">
        <v>28</v>
      </c>
      <c r="U96" s="19">
        <v>97</v>
      </c>
      <c r="V96" s="14" t="s">
        <v>31</v>
      </c>
      <c r="W96" s="14"/>
      <c r="X96" s="14">
        <f>IF(V96="Yes",1,0)</f>
        <v>0</v>
      </c>
      <c r="Y96" s="14">
        <f>IF(H96="Active",0,1)</f>
        <v>0</v>
      </c>
    </row>
    <row r="97" spans="1:25" ht="18" customHeight="1" x14ac:dyDescent="0.35">
      <c r="A97" s="8" t="s">
        <v>1133</v>
      </c>
      <c r="B97" s="8" t="s">
        <v>709</v>
      </c>
      <c r="C97" s="8" t="s">
        <v>25</v>
      </c>
      <c r="D97" s="9">
        <v>60</v>
      </c>
      <c r="E97" s="8" t="s">
        <v>109</v>
      </c>
      <c r="F97" s="8" t="s">
        <v>90</v>
      </c>
      <c r="G97" s="10">
        <v>45991</v>
      </c>
      <c r="H97" s="8" t="s">
        <v>26</v>
      </c>
      <c r="I97" s="8" t="s">
        <v>27</v>
      </c>
      <c r="J97" s="8" t="s">
        <v>2270</v>
      </c>
      <c r="K97" s="8" t="s">
        <v>2271</v>
      </c>
      <c r="L97" s="8" t="s">
        <v>56</v>
      </c>
      <c r="M97" s="8" t="s">
        <v>30</v>
      </c>
      <c r="N97" s="11">
        <v>94236</v>
      </c>
      <c r="O97" s="11">
        <v>49157</v>
      </c>
      <c r="P97" s="12">
        <v>80.5</v>
      </c>
      <c r="Q97" s="9">
        <v>5</v>
      </c>
      <c r="R97" s="13">
        <v>28</v>
      </c>
      <c r="S97" s="13">
        <v>2</v>
      </c>
      <c r="T97" s="9">
        <v>0</v>
      </c>
      <c r="U97" s="13">
        <v>99</v>
      </c>
      <c r="V97" s="8" t="s">
        <v>31</v>
      </c>
      <c r="W97" s="8"/>
      <c r="X97" s="22">
        <f>IF(V97="Yes",1,0)</f>
        <v>0</v>
      </c>
      <c r="Y97" s="22">
        <f>IF(H97="Active",0,1)</f>
        <v>0</v>
      </c>
    </row>
    <row r="98" spans="1:25" ht="18" customHeight="1" x14ac:dyDescent="0.35">
      <c r="A98" s="8" t="s">
        <v>1208</v>
      </c>
      <c r="B98" s="8" t="s">
        <v>556</v>
      </c>
      <c r="C98" s="8" t="s">
        <v>34</v>
      </c>
      <c r="D98" s="9">
        <v>37</v>
      </c>
      <c r="E98" s="8" t="s">
        <v>52</v>
      </c>
      <c r="F98" s="8" t="s">
        <v>90</v>
      </c>
      <c r="G98" s="10">
        <v>45991</v>
      </c>
      <c r="H98" s="8" t="s">
        <v>26</v>
      </c>
      <c r="I98" s="8" t="s">
        <v>2267</v>
      </c>
      <c r="J98" s="8" t="s">
        <v>2269</v>
      </c>
      <c r="K98" s="8" t="s">
        <v>2271</v>
      </c>
      <c r="L98" s="8" t="s">
        <v>116</v>
      </c>
      <c r="M98" s="8" t="s">
        <v>39</v>
      </c>
      <c r="N98" s="11">
        <v>183785</v>
      </c>
      <c r="O98" s="11">
        <v>28137</v>
      </c>
      <c r="P98" s="12">
        <v>96.9</v>
      </c>
      <c r="Q98" s="9">
        <v>7</v>
      </c>
      <c r="R98" s="13">
        <v>21</v>
      </c>
      <c r="S98" s="13">
        <v>2</v>
      </c>
      <c r="T98" s="9">
        <v>9</v>
      </c>
      <c r="U98" s="13">
        <v>73</v>
      </c>
      <c r="V98" s="8" t="s">
        <v>69</v>
      </c>
      <c r="W98" s="8"/>
      <c r="X98" s="22">
        <f>IF(V98="Yes",1,0)</f>
        <v>1</v>
      </c>
      <c r="Y98" s="22">
        <f>IF(H98="Active",0,1)</f>
        <v>0</v>
      </c>
    </row>
    <row r="99" spans="1:25" ht="18" customHeight="1" x14ac:dyDescent="0.35">
      <c r="A99" s="8" t="s">
        <v>1453</v>
      </c>
      <c r="B99" s="8" t="s">
        <v>661</v>
      </c>
      <c r="C99" s="8" t="s">
        <v>34</v>
      </c>
      <c r="D99" s="9">
        <v>30</v>
      </c>
      <c r="E99" s="8" t="s">
        <v>93</v>
      </c>
      <c r="F99" s="8" t="s">
        <v>43</v>
      </c>
      <c r="G99" s="10">
        <v>45991</v>
      </c>
      <c r="H99" s="8" t="s">
        <v>26</v>
      </c>
      <c r="I99" s="8" t="s">
        <v>27</v>
      </c>
      <c r="J99" s="8" t="s">
        <v>48</v>
      </c>
      <c r="K99" s="8" t="s">
        <v>28</v>
      </c>
      <c r="L99" s="8" t="s">
        <v>68</v>
      </c>
      <c r="M99" s="8" t="s">
        <v>60</v>
      </c>
      <c r="N99" s="11">
        <v>200354</v>
      </c>
      <c r="O99" s="11">
        <v>43892</v>
      </c>
      <c r="P99" s="12">
        <v>87.3</v>
      </c>
      <c r="Q99" s="9">
        <v>8</v>
      </c>
      <c r="R99" s="13">
        <v>13</v>
      </c>
      <c r="S99" s="13">
        <v>2</v>
      </c>
      <c r="T99" s="9">
        <v>11</v>
      </c>
      <c r="U99" s="13">
        <v>90</v>
      </c>
      <c r="V99" s="8" t="s">
        <v>31</v>
      </c>
      <c r="W99" s="8"/>
      <c r="X99" s="22">
        <f>IF(V99="Yes",1,0)</f>
        <v>0</v>
      </c>
      <c r="Y99" s="22">
        <f>IF(H99="Active",0,1)</f>
        <v>0</v>
      </c>
    </row>
    <row r="100" spans="1:25" ht="18" customHeight="1" x14ac:dyDescent="0.35">
      <c r="A100" s="8" t="s">
        <v>1795</v>
      </c>
      <c r="B100" s="8" t="s">
        <v>344</v>
      </c>
      <c r="C100" s="8" t="s">
        <v>25</v>
      </c>
      <c r="D100" s="9">
        <v>39</v>
      </c>
      <c r="E100" s="8" t="s">
        <v>2304</v>
      </c>
      <c r="F100" s="8" t="s">
        <v>79</v>
      </c>
      <c r="G100" s="10">
        <v>45990</v>
      </c>
      <c r="H100" s="8" t="s">
        <v>26</v>
      </c>
      <c r="I100" s="8" t="s">
        <v>36</v>
      </c>
      <c r="J100" s="8" t="s">
        <v>80</v>
      </c>
      <c r="K100" s="8" t="s">
        <v>37</v>
      </c>
      <c r="L100" s="8" t="s">
        <v>68</v>
      </c>
      <c r="M100" s="8" t="s">
        <v>39</v>
      </c>
      <c r="N100" s="11">
        <v>49704</v>
      </c>
      <c r="O100" s="11">
        <v>25996</v>
      </c>
      <c r="P100" s="12">
        <v>84.8</v>
      </c>
      <c r="Q100" s="9">
        <v>0</v>
      </c>
      <c r="R100" s="13">
        <v>2</v>
      </c>
      <c r="S100" s="13">
        <v>4</v>
      </c>
      <c r="T100" s="9">
        <v>2</v>
      </c>
      <c r="U100" s="13">
        <v>77</v>
      </c>
      <c r="V100" s="8" t="s">
        <v>31</v>
      </c>
      <c r="W100" s="8"/>
      <c r="X100" s="22">
        <f>IF(V100="Yes",1,0)</f>
        <v>0</v>
      </c>
      <c r="Y100" s="22">
        <f>IF(H100="Active",0,1)</f>
        <v>0</v>
      </c>
    </row>
    <row r="101" spans="1:25" ht="18" customHeight="1" x14ac:dyDescent="0.35">
      <c r="A101" s="8" t="s">
        <v>23</v>
      </c>
      <c r="B101" s="8" t="s">
        <v>24</v>
      </c>
      <c r="C101" s="8" t="s">
        <v>25</v>
      </c>
      <c r="D101" s="9">
        <v>26</v>
      </c>
      <c r="E101" s="8" t="s">
        <v>2303</v>
      </c>
      <c r="F101" s="8" t="s">
        <v>12</v>
      </c>
      <c r="G101" s="10">
        <v>45989</v>
      </c>
      <c r="H101" s="8" t="s">
        <v>26</v>
      </c>
      <c r="I101" s="8" t="s">
        <v>27</v>
      </c>
      <c r="J101" s="8" t="s">
        <v>2268</v>
      </c>
      <c r="K101" s="8" t="s">
        <v>28</v>
      </c>
      <c r="L101" s="8" t="s">
        <v>29</v>
      </c>
      <c r="M101" s="8" t="s">
        <v>30</v>
      </c>
      <c r="N101" s="11">
        <v>203635</v>
      </c>
      <c r="O101" s="11">
        <v>28248</v>
      </c>
      <c r="P101" s="12">
        <v>80.900000000000006</v>
      </c>
      <c r="Q101" s="9">
        <v>9</v>
      </c>
      <c r="R101" s="13">
        <v>18</v>
      </c>
      <c r="S101" s="13">
        <v>5</v>
      </c>
      <c r="T101" s="9">
        <v>18</v>
      </c>
      <c r="U101" s="13">
        <v>60</v>
      </c>
      <c r="V101" s="8" t="s">
        <v>31</v>
      </c>
      <c r="W101" s="8"/>
      <c r="X101" s="22">
        <f>IF(V101="Yes",1,0)</f>
        <v>0</v>
      </c>
      <c r="Y101" s="22">
        <f>IF(H101="Active",0,1)</f>
        <v>0</v>
      </c>
    </row>
    <row r="102" spans="1:25" ht="18" customHeight="1" x14ac:dyDescent="0.35">
      <c r="A102" s="8" t="s">
        <v>740</v>
      </c>
      <c r="B102" s="8" t="s">
        <v>370</v>
      </c>
      <c r="C102" s="8" t="s">
        <v>34</v>
      </c>
      <c r="D102" s="9">
        <v>57</v>
      </c>
      <c r="E102" s="8" t="s">
        <v>42</v>
      </c>
      <c r="F102" s="8" t="s">
        <v>79</v>
      </c>
      <c r="G102" s="10">
        <v>45989</v>
      </c>
      <c r="H102" s="8" t="s">
        <v>26</v>
      </c>
      <c r="I102" s="8" t="s">
        <v>36</v>
      </c>
      <c r="J102" s="8" t="s">
        <v>2268</v>
      </c>
      <c r="K102" s="8" t="s">
        <v>37</v>
      </c>
      <c r="L102" s="8" t="s">
        <v>116</v>
      </c>
      <c r="M102" s="8" t="s">
        <v>60</v>
      </c>
      <c r="N102" s="11">
        <v>140451</v>
      </c>
      <c r="O102" s="11">
        <v>11804</v>
      </c>
      <c r="P102" s="12">
        <v>88.3</v>
      </c>
      <c r="Q102" s="9">
        <v>1</v>
      </c>
      <c r="R102" s="13">
        <v>5</v>
      </c>
      <c r="S102" s="13">
        <v>4</v>
      </c>
      <c r="T102" s="9">
        <v>20</v>
      </c>
      <c r="U102" s="13">
        <v>71</v>
      </c>
      <c r="V102" s="8" t="s">
        <v>31</v>
      </c>
      <c r="W102" s="8"/>
      <c r="X102" s="22">
        <f>IF(V102="Yes",1,0)</f>
        <v>0</v>
      </c>
      <c r="Y102" s="22">
        <f>IF(H102="Active",0,1)</f>
        <v>0</v>
      </c>
    </row>
    <row r="103" spans="1:25" ht="18" customHeight="1" x14ac:dyDescent="0.35">
      <c r="A103" s="8" t="s">
        <v>2141</v>
      </c>
      <c r="B103" s="8" t="s">
        <v>537</v>
      </c>
      <c r="C103" s="8" t="s">
        <v>34</v>
      </c>
      <c r="D103" s="9">
        <v>31</v>
      </c>
      <c r="E103" s="8" t="s">
        <v>52</v>
      </c>
      <c r="F103" s="8" t="s">
        <v>76</v>
      </c>
      <c r="G103" s="10">
        <v>45989</v>
      </c>
      <c r="H103" s="8" t="s">
        <v>26</v>
      </c>
      <c r="I103" s="8" t="s">
        <v>2267</v>
      </c>
      <c r="J103" s="8" t="s">
        <v>2270</v>
      </c>
      <c r="K103" s="8" t="s">
        <v>2271</v>
      </c>
      <c r="L103" s="8" t="s">
        <v>44</v>
      </c>
      <c r="M103" s="8" t="s">
        <v>39</v>
      </c>
      <c r="N103" s="11">
        <v>240307</v>
      </c>
      <c r="O103" s="11">
        <v>9995</v>
      </c>
      <c r="P103" s="12">
        <v>89.8</v>
      </c>
      <c r="Q103" s="9">
        <v>1</v>
      </c>
      <c r="R103" s="13">
        <v>20</v>
      </c>
      <c r="S103" s="13">
        <v>3</v>
      </c>
      <c r="T103" s="9">
        <v>26</v>
      </c>
      <c r="U103" s="13">
        <v>68</v>
      </c>
      <c r="V103" s="8" t="s">
        <v>31</v>
      </c>
      <c r="W103" s="8"/>
      <c r="X103" s="22">
        <f>IF(V103="Yes",1,0)</f>
        <v>0</v>
      </c>
      <c r="Y103" s="22">
        <f>IF(H103="Active",0,1)</f>
        <v>0</v>
      </c>
    </row>
    <row r="104" spans="1:25" ht="18" customHeight="1" x14ac:dyDescent="0.35">
      <c r="A104" s="14" t="s">
        <v>733</v>
      </c>
      <c r="B104" s="14" t="s">
        <v>672</v>
      </c>
      <c r="C104" s="14" t="s">
        <v>25</v>
      </c>
      <c r="D104" s="15">
        <v>27</v>
      </c>
      <c r="E104" s="14" t="s">
        <v>52</v>
      </c>
      <c r="F104" s="14" t="s">
        <v>35</v>
      </c>
      <c r="G104" s="16">
        <v>45988</v>
      </c>
      <c r="H104" s="14" t="s">
        <v>54</v>
      </c>
      <c r="I104" s="14" t="s">
        <v>2267</v>
      </c>
      <c r="J104" s="14" t="s">
        <v>2269</v>
      </c>
      <c r="K104" s="14" t="s">
        <v>28</v>
      </c>
      <c r="L104" s="14" t="s">
        <v>49</v>
      </c>
      <c r="M104" s="14" t="s">
        <v>64</v>
      </c>
      <c r="N104" s="17">
        <v>116222</v>
      </c>
      <c r="O104" s="17">
        <v>44928</v>
      </c>
      <c r="P104" s="18">
        <v>88.1</v>
      </c>
      <c r="Q104" s="15">
        <v>10</v>
      </c>
      <c r="R104" s="19">
        <v>14</v>
      </c>
      <c r="S104" s="19">
        <v>4</v>
      </c>
      <c r="T104" s="15">
        <v>35</v>
      </c>
      <c r="U104" s="19">
        <v>95</v>
      </c>
      <c r="V104" s="14" t="s">
        <v>31</v>
      </c>
      <c r="W104" s="14" t="s">
        <v>57</v>
      </c>
      <c r="X104" s="14">
        <f>IF(V104="Yes",1,0)</f>
        <v>0</v>
      </c>
      <c r="Y104" s="14">
        <f>IF(H104="Active",0,1)</f>
        <v>1</v>
      </c>
    </row>
    <row r="105" spans="1:25" ht="18" customHeight="1" x14ac:dyDescent="0.35">
      <c r="A105" s="14" t="s">
        <v>788</v>
      </c>
      <c r="B105" s="14" t="s">
        <v>789</v>
      </c>
      <c r="C105" s="14" t="s">
        <v>25</v>
      </c>
      <c r="D105" s="15">
        <v>23</v>
      </c>
      <c r="E105" s="14" t="s">
        <v>42</v>
      </c>
      <c r="F105" s="14" t="s">
        <v>53</v>
      </c>
      <c r="G105" s="16">
        <v>45988</v>
      </c>
      <c r="H105" s="14" t="s">
        <v>54</v>
      </c>
      <c r="I105" s="14" t="s">
        <v>27</v>
      </c>
      <c r="J105" s="14" t="s">
        <v>2270</v>
      </c>
      <c r="K105" s="14" t="s">
        <v>73</v>
      </c>
      <c r="L105" s="14" t="s">
        <v>38</v>
      </c>
      <c r="M105" s="14" t="s">
        <v>60</v>
      </c>
      <c r="N105" s="17">
        <v>56163</v>
      </c>
      <c r="O105" s="17">
        <v>30880</v>
      </c>
      <c r="P105" s="18">
        <v>92.4</v>
      </c>
      <c r="Q105" s="15">
        <v>3</v>
      </c>
      <c r="R105" s="19">
        <v>7</v>
      </c>
      <c r="S105" s="19">
        <v>5</v>
      </c>
      <c r="T105" s="15">
        <v>39</v>
      </c>
      <c r="U105" s="19">
        <v>71</v>
      </c>
      <c r="V105" s="14" t="s">
        <v>31</v>
      </c>
      <c r="W105" s="14" t="s">
        <v>123</v>
      </c>
      <c r="X105" s="14">
        <f>IF(V105="Yes",1,0)</f>
        <v>0</v>
      </c>
      <c r="Y105" s="14">
        <f>IF(H105="Active",0,1)</f>
        <v>1</v>
      </c>
    </row>
    <row r="106" spans="1:25" ht="18" customHeight="1" x14ac:dyDescent="0.35">
      <c r="A106" s="8" t="s">
        <v>1409</v>
      </c>
      <c r="B106" s="8" t="s">
        <v>278</v>
      </c>
      <c r="C106" s="8" t="s">
        <v>25</v>
      </c>
      <c r="D106" s="9">
        <v>44</v>
      </c>
      <c r="E106" s="8" t="s">
        <v>67</v>
      </c>
      <c r="F106" s="8" t="s">
        <v>35</v>
      </c>
      <c r="G106" s="10">
        <v>45988</v>
      </c>
      <c r="H106" s="8" t="s">
        <v>26</v>
      </c>
      <c r="I106" s="8" t="s">
        <v>27</v>
      </c>
      <c r="J106" s="8" t="s">
        <v>2270</v>
      </c>
      <c r="K106" s="8" t="s">
        <v>73</v>
      </c>
      <c r="L106" s="8" t="s">
        <v>116</v>
      </c>
      <c r="M106" s="8" t="s">
        <v>45</v>
      </c>
      <c r="N106" s="11">
        <v>92480</v>
      </c>
      <c r="O106" s="11">
        <v>45263</v>
      </c>
      <c r="P106" s="12">
        <v>95.5</v>
      </c>
      <c r="Q106" s="9">
        <v>1</v>
      </c>
      <c r="R106" s="13">
        <v>13</v>
      </c>
      <c r="S106" s="13">
        <v>2</v>
      </c>
      <c r="T106" s="9">
        <v>1</v>
      </c>
      <c r="U106" s="13">
        <v>94</v>
      </c>
      <c r="V106" s="8" t="s">
        <v>31</v>
      </c>
      <c r="W106" s="8"/>
      <c r="X106" s="22">
        <f>IF(V106="Yes",1,0)</f>
        <v>0</v>
      </c>
      <c r="Y106" s="22">
        <f>IF(H106="Active",0,1)</f>
        <v>0</v>
      </c>
    </row>
    <row r="107" spans="1:25" ht="18" customHeight="1" x14ac:dyDescent="0.35">
      <c r="A107" s="14" t="s">
        <v>1512</v>
      </c>
      <c r="B107" s="14" t="s">
        <v>531</v>
      </c>
      <c r="C107" s="14" t="s">
        <v>34</v>
      </c>
      <c r="D107" s="15">
        <v>58</v>
      </c>
      <c r="E107" s="14" t="s">
        <v>86</v>
      </c>
      <c r="F107" s="14" t="s">
        <v>72</v>
      </c>
      <c r="G107" s="16">
        <v>45988</v>
      </c>
      <c r="H107" s="14" t="s">
        <v>54</v>
      </c>
      <c r="I107" s="14" t="s">
        <v>27</v>
      </c>
      <c r="J107" s="14" t="s">
        <v>2268</v>
      </c>
      <c r="K107" s="14" t="s">
        <v>28</v>
      </c>
      <c r="L107" s="14" t="s">
        <v>56</v>
      </c>
      <c r="M107" s="14" t="s">
        <v>64</v>
      </c>
      <c r="N107" s="17">
        <v>126563</v>
      </c>
      <c r="O107" s="17">
        <v>6611</v>
      </c>
      <c r="P107" s="18">
        <v>98.8</v>
      </c>
      <c r="Q107" s="15">
        <v>7</v>
      </c>
      <c r="R107" s="19">
        <v>17</v>
      </c>
      <c r="S107" s="19">
        <v>1</v>
      </c>
      <c r="T107" s="15">
        <v>0</v>
      </c>
      <c r="U107" s="19">
        <v>85</v>
      </c>
      <c r="V107" s="14" t="s">
        <v>31</v>
      </c>
      <c r="W107" s="14" t="s">
        <v>205</v>
      </c>
      <c r="X107" s="14">
        <f>IF(V107="Yes",1,0)</f>
        <v>0</v>
      </c>
      <c r="Y107" s="14">
        <f>IF(H107="Active",0,1)</f>
        <v>1</v>
      </c>
    </row>
    <row r="108" spans="1:25" ht="18" customHeight="1" x14ac:dyDescent="0.35">
      <c r="A108" s="8" t="s">
        <v>964</v>
      </c>
      <c r="B108" s="8" t="s">
        <v>240</v>
      </c>
      <c r="C108" s="8" t="s">
        <v>34</v>
      </c>
      <c r="D108" s="9">
        <v>57</v>
      </c>
      <c r="E108" s="8" t="s">
        <v>93</v>
      </c>
      <c r="F108" s="8" t="s">
        <v>76</v>
      </c>
      <c r="G108" s="10">
        <v>45987</v>
      </c>
      <c r="H108" s="8" t="s">
        <v>26</v>
      </c>
      <c r="I108" s="8" t="s">
        <v>27</v>
      </c>
      <c r="J108" s="8" t="s">
        <v>2269</v>
      </c>
      <c r="K108" s="8" t="s">
        <v>2271</v>
      </c>
      <c r="L108" s="8" t="s">
        <v>68</v>
      </c>
      <c r="M108" s="8" t="s">
        <v>39</v>
      </c>
      <c r="N108" s="11">
        <v>211235</v>
      </c>
      <c r="O108" s="11">
        <v>26797</v>
      </c>
      <c r="P108" s="12">
        <v>94.9</v>
      </c>
      <c r="Q108" s="9">
        <v>9</v>
      </c>
      <c r="R108" s="13">
        <v>8</v>
      </c>
      <c r="S108" s="13">
        <v>4</v>
      </c>
      <c r="T108" s="9">
        <v>34</v>
      </c>
      <c r="U108" s="13">
        <v>92</v>
      </c>
      <c r="V108" s="8" t="s">
        <v>31</v>
      </c>
      <c r="W108" s="8"/>
      <c r="X108" s="22">
        <f>IF(V108="Yes",1,0)</f>
        <v>0</v>
      </c>
      <c r="Y108" s="22">
        <f>IF(H108="Active",0,1)</f>
        <v>0</v>
      </c>
    </row>
    <row r="109" spans="1:25" ht="18" customHeight="1" x14ac:dyDescent="0.35">
      <c r="A109" s="8" t="s">
        <v>1529</v>
      </c>
      <c r="B109" s="8" t="s">
        <v>443</v>
      </c>
      <c r="C109" s="8" t="s">
        <v>34</v>
      </c>
      <c r="D109" s="9">
        <v>30</v>
      </c>
      <c r="E109" s="8" t="s">
        <v>52</v>
      </c>
      <c r="F109" s="8" t="s">
        <v>90</v>
      </c>
      <c r="G109" s="10">
        <v>45987</v>
      </c>
      <c r="H109" s="8" t="s">
        <v>26</v>
      </c>
      <c r="I109" s="8" t="s">
        <v>36</v>
      </c>
      <c r="J109" s="8" t="s">
        <v>2268</v>
      </c>
      <c r="K109" s="8" t="s">
        <v>55</v>
      </c>
      <c r="L109" s="8" t="s">
        <v>116</v>
      </c>
      <c r="M109" s="8" t="s">
        <v>30</v>
      </c>
      <c r="N109" s="11">
        <v>94127</v>
      </c>
      <c r="O109" s="11">
        <v>18503</v>
      </c>
      <c r="P109" s="12">
        <v>90.1</v>
      </c>
      <c r="Q109" s="9">
        <v>7</v>
      </c>
      <c r="R109" s="13">
        <v>14</v>
      </c>
      <c r="S109" s="13">
        <v>5</v>
      </c>
      <c r="T109" s="9">
        <v>18</v>
      </c>
      <c r="U109" s="13">
        <v>68</v>
      </c>
      <c r="V109" s="8" t="s">
        <v>31</v>
      </c>
      <c r="W109" s="8"/>
      <c r="X109" s="22">
        <f>IF(V109="Yes",1,0)</f>
        <v>0</v>
      </c>
      <c r="Y109" s="22">
        <f>IF(H109="Active",0,1)</f>
        <v>0</v>
      </c>
    </row>
    <row r="110" spans="1:25" ht="18" customHeight="1" x14ac:dyDescent="0.35">
      <c r="A110" s="14" t="s">
        <v>1758</v>
      </c>
      <c r="B110" s="14" t="s">
        <v>646</v>
      </c>
      <c r="C110" s="14" t="s">
        <v>34</v>
      </c>
      <c r="D110" s="15">
        <v>32</v>
      </c>
      <c r="E110" s="14" t="s">
        <v>86</v>
      </c>
      <c r="F110" s="14" t="s">
        <v>53</v>
      </c>
      <c r="G110" s="16">
        <v>45987</v>
      </c>
      <c r="H110" s="14" t="s">
        <v>26</v>
      </c>
      <c r="I110" s="14" t="s">
        <v>36</v>
      </c>
      <c r="J110" s="14" t="s">
        <v>2268</v>
      </c>
      <c r="K110" s="14" t="s">
        <v>37</v>
      </c>
      <c r="L110" s="14" t="s">
        <v>56</v>
      </c>
      <c r="M110" s="14" t="s">
        <v>64</v>
      </c>
      <c r="N110" s="17">
        <v>106162</v>
      </c>
      <c r="O110" s="17">
        <v>8043</v>
      </c>
      <c r="P110" s="18">
        <v>86</v>
      </c>
      <c r="Q110" s="15">
        <v>10</v>
      </c>
      <c r="R110" s="19">
        <v>16</v>
      </c>
      <c r="S110" s="19">
        <v>1</v>
      </c>
      <c r="T110" s="15">
        <v>25</v>
      </c>
      <c r="U110" s="19">
        <v>84</v>
      </c>
      <c r="V110" s="14" t="s">
        <v>31</v>
      </c>
      <c r="W110" s="14"/>
      <c r="X110" s="14">
        <f>IF(V110="Yes",1,0)</f>
        <v>0</v>
      </c>
      <c r="Y110" s="14">
        <f>IF(H110="Active",0,1)</f>
        <v>0</v>
      </c>
    </row>
    <row r="111" spans="1:25" ht="18" customHeight="1" x14ac:dyDescent="0.35">
      <c r="A111" s="14" t="s">
        <v>1780</v>
      </c>
      <c r="B111" s="14" t="s">
        <v>347</v>
      </c>
      <c r="C111" s="14" t="s">
        <v>25</v>
      </c>
      <c r="D111" s="15">
        <v>60</v>
      </c>
      <c r="E111" s="14" t="s">
        <v>52</v>
      </c>
      <c r="F111" s="14" t="s">
        <v>72</v>
      </c>
      <c r="G111" s="16">
        <v>45987</v>
      </c>
      <c r="H111" s="14" t="s">
        <v>26</v>
      </c>
      <c r="I111" s="14" t="s">
        <v>36</v>
      </c>
      <c r="J111" s="14" t="s">
        <v>80</v>
      </c>
      <c r="K111" s="14" t="s">
        <v>2271</v>
      </c>
      <c r="L111" s="14" t="s">
        <v>56</v>
      </c>
      <c r="M111" s="14" t="s">
        <v>60</v>
      </c>
      <c r="N111" s="17">
        <v>243728</v>
      </c>
      <c r="O111" s="17">
        <v>7790</v>
      </c>
      <c r="P111" s="18">
        <v>93.2</v>
      </c>
      <c r="Q111" s="15">
        <v>6</v>
      </c>
      <c r="R111" s="19">
        <v>23</v>
      </c>
      <c r="S111" s="19">
        <v>4</v>
      </c>
      <c r="T111" s="15">
        <v>32</v>
      </c>
      <c r="U111" s="19">
        <v>73</v>
      </c>
      <c r="V111" s="14" t="s">
        <v>69</v>
      </c>
      <c r="W111" s="14"/>
      <c r="X111" s="14">
        <f>IF(V111="Yes",1,0)</f>
        <v>1</v>
      </c>
      <c r="Y111" s="14">
        <f>IF(H111="Active",0,1)</f>
        <v>0</v>
      </c>
    </row>
    <row r="112" spans="1:25" ht="18" customHeight="1" x14ac:dyDescent="0.35">
      <c r="A112" s="8" t="s">
        <v>2027</v>
      </c>
      <c r="B112" s="8" t="s">
        <v>880</v>
      </c>
      <c r="C112" s="8" t="s">
        <v>34</v>
      </c>
      <c r="D112" s="9">
        <v>42</v>
      </c>
      <c r="E112" s="8" t="s">
        <v>86</v>
      </c>
      <c r="F112" s="8" t="s">
        <v>35</v>
      </c>
      <c r="G112" s="10">
        <v>45987</v>
      </c>
      <c r="H112" s="8" t="s">
        <v>26</v>
      </c>
      <c r="I112" s="8" t="s">
        <v>2267</v>
      </c>
      <c r="J112" s="8" t="s">
        <v>48</v>
      </c>
      <c r="K112" s="8" t="s">
        <v>28</v>
      </c>
      <c r="L112" s="8" t="s">
        <v>38</v>
      </c>
      <c r="M112" s="8" t="s">
        <v>64</v>
      </c>
      <c r="N112" s="11">
        <v>37540</v>
      </c>
      <c r="O112" s="11">
        <v>18962</v>
      </c>
      <c r="P112" s="12">
        <v>99.7</v>
      </c>
      <c r="Q112" s="9">
        <v>0</v>
      </c>
      <c r="R112" s="13">
        <v>12</v>
      </c>
      <c r="S112" s="13">
        <v>5</v>
      </c>
      <c r="T112" s="9">
        <v>23</v>
      </c>
      <c r="U112" s="13">
        <v>99</v>
      </c>
      <c r="V112" s="8" t="s">
        <v>69</v>
      </c>
      <c r="W112" s="8"/>
      <c r="X112" s="22">
        <f>IF(V112="Yes",1,0)</f>
        <v>1</v>
      </c>
      <c r="Y112" s="22">
        <f>IF(H112="Active",0,1)</f>
        <v>0</v>
      </c>
    </row>
    <row r="113" spans="1:25" ht="18" customHeight="1" x14ac:dyDescent="0.35">
      <c r="A113" s="14" t="s">
        <v>2262</v>
      </c>
      <c r="B113" s="14" t="s">
        <v>261</v>
      </c>
      <c r="C113" s="14" t="s">
        <v>34</v>
      </c>
      <c r="D113" s="15">
        <v>22</v>
      </c>
      <c r="E113" s="14" t="s">
        <v>93</v>
      </c>
      <c r="F113" s="14" t="s">
        <v>79</v>
      </c>
      <c r="G113" s="16">
        <v>45987</v>
      </c>
      <c r="H113" s="14" t="s">
        <v>26</v>
      </c>
      <c r="I113" s="14" t="s">
        <v>27</v>
      </c>
      <c r="J113" s="14" t="s">
        <v>80</v>
      </c>
      <c r="K113" s="14" t="s">
        <v>37</v>
      </c>
      <c r="L113" s="14" t="s">
        <v>87</v>
      </c>
      <c r="M113" s="14" t="s">
        <v>64</v>
      </c>
      <c r="N113" s="17">
        <v>80741</v>
      </c>
      <c r="O113" s="17">
        <v>9837</v>
      </c>
      <c r="P113" s="18">
        <v>89.5</v>
      </c>
      <c r="Q113" s="15">
        <v>9</v>
      </c>
      <c r="R113" s="19">
        <v>19</v>
      </c>
      <c r="S113" s="19">
        <v>5</v>
      </c>
      <c r="T113" s="15">
        <v>12</v>
      </c>
      <c r="U113" s="19">
        <v>75</v>
      </c>
      <c r="V113" s="14" t="s">
        <v>69</v>
      </c>
      <c r="W113" s="14"/>
      <c r="X113" s="14">
        <f>IF(V113="Yes",1,0)</f>
        <v>1</v>
      </c>
      <c r="Y113" s="14">
        <f>IF(H113="Active",0,1)</f>
        <v>0</v>
      </c>
    </row>
    <row r="114" spans="1:25" ht="18" customHeight="1" x14ac:dyDescent="0.35">
      <c r="A114" s="14" t="s">
        <v>1106</v>
      </c>
      <c r="B114" s="14" t="s">
        <v>224</v>
      </c>
      <c r="C114" s="14" t="s">
        <v>34</v>
      </c>
      <c r="D114" s="15">
        <v>48</v>
      </c>
      <c r="E114" s="14" t="s">
        <v>52</v>
      </c>
      <c r="F114" s="14" t="s">
        <v>72</v>
      </c>
      <c r="G114" s="16">
        <v>45986</v>
      </c>
      <c r="H114" s="14" t="s">
        <v>26</v>
      </c>
      <c r="I114" s="14" t="s">
        <v>36</v>
      </c>
      <c r="J114" s="14" t="s">
        <v>2269</v>
      </c>
      <c r="K114" s="14" t="s">
        <v>37</v>
      </c>
      <c r="L114" s="14" t="s">
        <v>38</v>
      </c>
      <c r="M114" s="14" t="s">
        <v>64</v>
      </c>
      <c r="N114" s="17">
        <v>193178</v>
      </c>
      <c r="O114" s="17">
        <v>11873</v>
      </c>
      <c r="P114" s="18">
        <v>80.599999999999994</v>
      </c>
      <c r="Q114" s="15">
        <v>10</v>
      </c>
      <c r="R114" s="19">
        <v>30</v>
      </c>
      <c r="S114" s="19">
        <v>3</v>
      </c>
      <c r="T114" s="15">
        <v>26</v>
      </c>
      <c r="U114" s="19">
        <v>94</v>
      </c>
      <c r="V114" s="14" t="s">
        <v>31</v>
      </c>
      <c r="W114" s="14"/>
      <c r="X114" s="14">
        <f>IF(V114="Yes",1,0)</f>
        <v>0</v>
      </c>
      <c r="Y114" s="14">
        <f>IF(H114="Active",0,1)</f>
        <v>0</v>
      </c>
    </row>
    <row r="115" spans="1:25" ht="18" customHeight="1" x14ac:dyDescent="0.35">
      <c r="A115" s="14" t="s">
        <v>1794</v>
      </c>
      <c r="B115" s="14" t="s">
        <v>131</v>
      </c>
      <c r="C115" s="14" t="s">
        <v>25</v>
      </c>
      <c r="D115" s="15">
        <v>42</v>
      </c>
      <c r="E115" s="14" t="s">
        <v>63</v>
      </c>
      <c r="F115" s="14" t="s">
        <v>43</v>
      </c>
      <c r="G115" s="16">
        <v>45986</v>
      </c>
      <c r="H115" s="14" t="s">
        <v>26</v>
      </c>
      <c r="I115" s="14" t="s">
        <v>2267</v>
      </c>
      <c r="J115" s="14" t="s">
        <v>2268</v>
      </c>
      <c r="K115" s="14" t="s">
        <v>55</v>
      </c>
      <c r="L115" s="14" t="s">
        <v>38</v>
      </c>
      <c r="M115" s="14" t="s">
        <v>45</v>
      </c>
      <c r="N115" s="17">
        <v>180252</v>
      </c>
      <c r="O115" s="17">
        <v>40644</v>
      </c>
      <c r="P115" s="18">
        <v>84.1</v>
      </c>
      <c r="Q115" s="15">
        <v>0</v>
      </c>
      <c r="R115" s="19">
        <v>7</v>
      </c>
      <c r="S115" s="19">
        <v>2</v>
      </c>
      <c r="T115" s="15">
        <v>16</v>
      </c>
      <c r="U115" s="19">
        <v>79</v>
      </c>
      <c r="V115" s="14" t="s">
        <v>31</v>
      </c>
      <c r="W115" s="14"/>
      <c r="X115" s="14">
        <f>IF(V115="Yes",1,0)</f>
        <v>0</v>
      </c>
      <c r="Y115" s="14">
        <f>IF(H115="Active",0,1)</f>
        <v>0</v>
      </c>
    </row>
    <row r="116" spans="1:25" ht="18" customHeight="1" x14ac:dyDescent="0.35">
      <c r="A116" s="8" t="s">
        <v>2147</v>
      </c>
      <c r="B116" s="8" t="s">
        <v>409</v>
      </c>
      <c r="C116" s="8" t="s">
        <v>34</v>
      </c>
      <c r="D116" s="9">
        <v>25</v>
      </c>
      <c r="E116" s="8" t="s">
        <v>93</v>
      </c>
      <c r="F116" s="8" t="s">
        <v>53</v>
      </c>
      <c r="G116" s="10">
        <v>45986</v>
      </c>
      <c r="H116" s="8" t="s">
        <v>26</v>
      </c>
      <c r="I116" s="8" t="s">
        <v>36</v>
      </c>
      <c r="J116" s="8" t="s">
        <v>2270</v>
      </c>
      <c r="K116" s="8" t="s">
        <v>2271</v>
      </c>
      <c r="L116" s="8" t="s">
        <v>29</v>
      </c>
      <c r="M116" s="8" t="s">
        <v>39</v>
      </c>
      <c r="N116" s="11">
        <v>203419</v>
      </c>
      <c r="O116" s="11">
        <v>36846</v>
      </c>
      <c r="P116" s="12">
        <v>99.5</v>
      </c>
      <c r="Q116" s="9">
        <v>5</v>
      </c>
      <c r="R116" s="13">
        <v>11</v>
      </c>
      <c r="S116" s="13">
        <v>2</v>
      </c>
      <c r="T116" s="9">
        <v>4</v>
      </c>
      <c r="U116" s="13">
        <v>88</v>
      </c>
      <c r="V116" s="8" t="s">
        <v>31</v>
      </c>
      <c r="W116" s="8"/>
      <c r="X116" s="22">
        <f>IF(V116="Yes",1,0)</f>
        <v>0</v>
      </c>
      <c r="Y116" s="22">
        <f>IF(H116="Active",0,1)</f>
        <v>0</v>
      </c>
    </row>
    <row r="117" spans="1:25" ht="18" customHeight="1" x14ac:dyDescent="0.35">
      <c r="A117" s="14" t="s">
        <v>321</v>
      </c>
      <c r="B117" s="14" t="s">
        <v>232</v>
      </c>
      <c r="C117" s="14" t="s">
        <v>25</v>
      </c>
      <c r="D117" s="15">
        <v>32</v>
      </c>
      <c r="E117" s="14" t="s">
        <v>2304</v>
      </c>
      <c r="F117" s="14" t="s">
        <v>35</v>
      </c>
      <c r="G117" s="16">
        <v>45985</v>
      </c>
      <c r="H117" s="14" t="s">
        <v>26</v>
      </c>
      <c r="I117" s="14" t="s">
        <v>36</v>
      </c>
      <c r="J117" s="14" t="s">
        <v>2268</v>
      </c>
      <c r="K117" s="14" t="s">
        <v>28</v>
      </c>
      <c r="L117" s="14" t="s">
        <v>56</v>
      </c>
      <c r="M117" s="14" t="s">
        <v>30</v>
      </c>
      <c r="N117" s="17">
        <v>205089</v>
      </c>
      <c r="O117" s="17">
        <v>21839</v>
      </c>
      <c r="P117" s="18">
        <v>95.6</v>
      </c>
      <c r="Q117" s="15">
        <v>6</v>
      </c>
      <c r="R117" s="19">
        <v>25</v>
      </c>
      <c r="S117" s="19">
        <v>1</v>
      </c>
      <c r="T117" s="15">
        <v>9</v>
      </c>
      <c r="U117" s="19">
        <v>66</v>
      </c>
      <c r="V117" s="14" t="s">
        <v>31</v>
      </c>
      <c r="W117" s="14"/>
      <c r="X117" s="14">
        <f>IF(V117="Yes",1,0)</f>
        <v>0</v>
      </c>
      <c r="Y117" s="14">
        <f>IF(H117="Active",0,1)</f>
        <v>0</v>
      </c>
    </row>
    <row r="118" spans="1:25" ht="18" customHeight="1" x14ac:dyDescent="0.35">
      <c r="A118" s="8" t="s">
        <v>1190</v>
      </c>
      <c r="B118" s="8" t="s">
        <v>267</v>
      </c>
      <c r="C118" s="8" t="s">
        <v>25</v>
      </c>
      <c r="D118" s="9">
        <v>45</v>
      </c>
      <c r="E118" s="8" t="s">
        <v>86</v>
      </c>
      <c r="F118" s="8" t="s">
        <v>90</v>
      </c>
      <c r="G118" s="10">
        <v>45985</v>
      </c>
      <c r="H118" s="8" t="s">
        <v>54</v>
      </c>
      <c r="I118" s="8" t="s">
        <v>27</v>
      </c>
      <c r="J118" s="8" t="s">
        <v>80</v>
      </c>
      <c r="K118" s="8" t="s">
        <v>55</v>
      </c>
      <c r="L118" s="8" t="s">
        <v>44</v>
      </c>
      <c r="M118" s="8" t="s">
        <v>45</v>
      </c>
      <c r="N118" s="11">
        <v>45900</v>
      </c>
      <c r="O118" s="11">
        <v>19354</v>
      </c>
      <c r="P118" s="12">
        <v>88</v>
      </c>
      <c r="Q118" s="9">
        <v>10</v>
      </c>
      <c r="R118" s="13">
        <v>8</v>
      </c>
      <c r="S118" s="13">
        <v>2</v>
      </c>
      <c r="T118" s="9">
        <v>26</v>
      </c>
      <c r="U118" s="13">
        <v>77</v>
      </c>
      <c r="V118" s="8" t="s">
        <v>69</v>
      </c>
      <c r="W118" s="8" t="s">
        <v>123</v>
      </c>
      <c r="X118" s="22">
        <f>IF(V118="Yes",1,0)</f>
        <v>1</v>
      </c>
      <c r="Y118" s="22">
        <f>IF(H118="Active",0,1)</f>
        <v>1</v>
      </c>
    </row>
    <row r="119" spans="1:25" ht="18" customHeight="1" x14ac:dyDescent="0.35">
      <c r="A119" s="14" t="s">
        <v>1886</v>
      </c>
      <c r="B119" s="14" t="s">
        <v>160</v>
      </c>
      <c r="C119" s="14" t="s">
        <v>34</v>
      </c>
      <c r="D119" s="15">
        <v>30</v>
      </c>
      <c r="E119" s="14" t="s">
        <v>63</v>
      </c>
      <c r="F119" s="14" t="s">
        <v>79</v>
      </c>
      <c r="G119" s="16">
        <v>45985</v>
      </c>
      <c r="H119" s="14" t="s">
        <v>54</v>
      </c>
      <c r="I119" s="14" t="s">
        <v>27</v>
      </c>
      <c r="J119" s="14" t="s">
        <v>2269</v>
      </c>
      <c r="K119" s="14" t="s">
        <v>55</v>
      </c>
      <c r="L119" s="14" t="s">
        <v>116</v>
      </c>
      <c r="M119" s="14" t="s">
        <v>30</v>
      </c>
      <c r="N119" s="17">
        <v>81216</v>
      </c>
      <c r="O119" s="17">
        <v>31428</v>
      </c>
      <c r="P119" s="18">
        <v>97.9</v>
      </c>
      <c r="Q119" s="15">
        <v>5</v>
      </c>
      <c r="R119" s="19">
        <v>1</v>
      </c>
      <c r="S119" s="19">
        <v>3</v>
      </c>
      <c r="T119" s="15">
        <v>2</v>
      </c>
      <c r="U119" s="19">
        <v>68</v>
      </c>
      <c r="V119" s="14" t="s">
        <v>31</v>
      </c>
      <c r="W119" s="14" t="s">
        <v>205</v>
      </c>
      <c r="X119" s="14">
        <f>IF(V119="Yes",1,0)</f>
        <v>0</v>
      </c>
      <c r="Y119" s="14">
        <f>IF(H119="Active",0,1)</f>
        <v>1</v>
      </c>
    </row>
    <row r="120" spans="1:25" ht="18" customHeight="1" x14ac:dyDescent="0.35">
      <c r="A120" s="8" t="s">
        <v>771</v>
      </c>
      <c r="B120" s="8" t="s">
        <v>311</v>
      </c>
      <c r="C120" s="8" t="s">
        <v>34</v>
      </c>
      <c r="D120" s="9">
        <v>38</v>
      </c>
      <c r="E120" s="8" t="s">
        <v>2303</v>
      </c>
      <c r="F120" s="8" t="s">
        <v>43</v>
      </c>
      <c r="G120" s="10">
        <v>45984</v>
      </c>
      <c r="H120" s="8" t="s">
        <v>26</v>
      </c>
      <c r="I120" s="8" t="s">
        <v>36</v>
      </c>
      <c r="J120" s="8" t="s">
        <v>2268</v>
      </c>
      <c r="K120" s="8" t="s">
        <v>28</v>
      </c>
      <c r="L120" s="8" t="s">
        <v>116</v>
      </c>
      <c r="M120" s="8" t="s">
        <v>39</v>
      </c>
      <c r="N120" s="11">
        <v>224973</v>
      </c>
      <c r="O120" s="11">
        <v>29234</v>
      </c>
      <c r="P120" s="12">
        <v>93</v>
      </c>
      <c r="Q120" s="9">
        <v>3</v>
      </c>
      <c r="R120" s="13">
        <v>16</v>
      </c>
      <c r="S120" s="13">
        <v>2</v>
      </c>
      <c r="T120" s="9">
        <v>14</v>
      </c>
      <c r="U120" s="13">
        <v>62</v>
      </c>
      <c r="V120" s="8" t="s">
        <v>31</v>
      </c>
      <c r="W120" s="8"/>
      <c r="X120" s="22">
        <f>IF(V120="Yes",1,0)</f>
        <v>0</v>
      </c>
      <c r="Y120" s="22">
        <f>IF(H120="Active",0,1)</f>
        <v>0</v>
      </c>
    </row>
    <row r="121" spans="1:25" ht="18" customHeight="1" x14ac:dyDescent="0.35">
      <c r="A121" s="14" t="s">
        <v>1654</v>
      </c>
      <c r="B121" s="14" t="s">
        <v>516</v>
      </c>
      <c r="C121" s="14" t="s">
        <v>34</v>
      </c>
      <c r="D121" s="15">
        <v>34</v>
      </c>
      <c r="E121" s="14" t="s">
        <v>93</v>
      </c>
      <c r="F121" s="14" t="s">
        <v>35</v>
      </c>
      <c r="G121" s="16">
        <v>45984</v>
      </c>
      <c r="H121" s="14" t="s">
        <v>26</v>
      </c>
      <c r="I121" s="14" t="s">
        <v>36</v>
      </c>
      <c r="J121" s="14" t="s">
        <v>2268</v>
      </c>
      <c r="K121" s="14" t="s">
        <v>55</v>
      </c>
      <c r="L121" s="14" t="s">
        <v>116</v>
      </c>
      <c r="M121" s="14" t="s">
        <v>30</v>
      </c>
      <c r="N121" s="17">
        <v>234477</v>
      </c>
      <c r="O121" s="17">
        <v>10033</v>
      </c>
      <c r="P121" s="18">
        <v>98.5</v>
      </c>
      <c r="Q121" s="15">
        <v>1</v>
      </c>
      <c r="R121" s="19">
        <v>12</v>
      </c>
      <c r="S121" s="19">
        <v>3</v>
      </c>
      <c r="T121" s="15">
        <v>31</v>
      </c>
      <c r="U121" s="19">
        <v>69</v>
      </c>
      <c r="V121" s="14" t="s">
        <v>31</v>
      </c>
      <c r="W121" s="14"/>
      <c r="X121" s="14">
        <f>IF(V121="Yes",1,0)</f>
        <v>0</v>
      </c>
      <c r="Y121" s="14">
        <f>IF(H121="Active",0,1)</f>
        <v>0</v>
      </c>
    </row>
    <row r="122" spans="1:25" ht="18" customHeight="1" x14ac:dyDescent="0.35">
      <c r="A122" s="14" t="s">
        <v>840</v>
      </c>
      <c r="B122" s="14" t="s">
        <v>429</v>
      </c>
      <c r="C122" s="14" t="s">
        <v>34</v>
      </c>
      <c r="D122" s="15">
        <v>37</v>
      </c>
      <c r="E122" s="14" t="s">
        <v>42</v>
      </c>
      <c r="F122" s="14" t="s">
        <v>79</v>
      </c>
      <c r="G122" s="16">
        <v>45983</v>
      </c>
      <c r="H122" s="14" t="s">
        <v>26</v>
      </c>
      <c r="I122" s="14" t="s">
        <v>36</v>
      </c>
      <c r="J122" s="14" t="s">
        <v>2268</v>
      </c>
      <c r="K122" s="14" t="s">
        <v>73</v>
      </c>
      <c r="L122" s="14" t="s">
        <v>116</v>
      </c>
      <c r="M122" s="14" t="s">
        <v>39</v>
      </c>
      <c r="N122" s="17">
        <v>153008</v>
      </c>
      <c r="O122" s="17">
        <v>40446</v>
      </c>
      <c r="P122" s="18">
        <v>93.1</v>
      </c>
      <c r="Q122" s="15">
        <v>6</v>
      </c>
      <c r="R122" s="19">
        <v>6</v>
      </c>
      <c r="S122" s="19">
        <v>2</v>
      </c>
      <c r="T122" s="15">
        <v>22</v>
      </c>
      <c r="U122" s="19">
        <v>96</v>
      </c>
      <c r="V122" s="14" t="s">
        <v>31</v>
      </c>
      <c r="W122" s="14"/>
      <c r="X122" s="14">
        <f>IF(V122="Yes",1,0)</f>
        <v>0</v>
      </c>
      <c r="Y122" s="14">
        <f>IF(H122="Active",0,1)</f>
        <v>0</v>
      </c>
    </row>
    <row r="123" spans="1:25" ht="18" customHeight="1" x14ac:dyDescent="0.35">
      <c r="A123" s="8" t="s">
        <v>2135</v>
      </c>
      <c r="B123" s="8" t="s">
        <v>203</v>
      </c>
      <c r="C123" s="8" t="s">
        <v>34</v>
      </c>
      <c r="D123" s="9">
        <v>24</v>
      </c>
      <c r="E123" s="8" t="s">
        <v>93</v>
      </c>
      <c r="F123" s="8" t="s">
        <v>76</v>
      </c>
      <c r="G123" s="10">
        <v>45983</v>
      </c>
      <c r="H123" s="8" t="s">
        <v>26</v>
      </c>
      <c r="I123" s="8" t="s">
        <v>2267</v>
      </c>
      <c r="J123" s="8" t="s">
        <v>2269</v>
      </c>
      <c r="K123" s="8" t="s">
        <v>73</v>
      </c>
      <c r="L123" s="8" t="s">
        <v>49</v>
      </c>
      <c r="M123" s="8" t="s">
        <v>39</v>
      </c>
      <c r="N123" s="11">
        <v>214675</v>
      </c>
      <c r="O123" s="11">
        <v>7732</v>
      </c>
      <c r="P123" s="12">
        <v>87.1</v>
      </c>
      <c r="Q123" s="9">
        <v>0</v>
      </c>
      <c r="R123" s="13">
        <v>8</v>
      </c>
      <c r="S123" s="13">
        <v>2</v>
      </c>
      <c r="T123" s="9">
        <v>20</v>
      </c>
      <c r="U123" s="13">
        <v>93</v>
      </c>
      <c r="V123" s="8" t="s">
        <v>31</v>
      </c>
      <c r="W123" s="8"/>
      <c r="X123" s="22">
        <f>IF(V123="Yes",1,0)</f>
        <v>0</v>
      </c>
      <c r="Y123" s="22">
        <f>IF(H123="Active",0,1)</f>
        <v>0</v>
      </c>
    </row>
    <row r="124" spans="1:25" ht="18" customHeight="1" x14ac:dyDescent="0.35">
      <c r="A124" s="8" t="s">
        <v>303</v>
      </c>
      <c r="B124" s="8" t="s">
        <v>210</v>
      </c>
      <c r="C124" s="8" t="s">
        <v>34</v>
      </c>
      <c r="D124" s="9">
        <v>60</v>
      </c>
      <c r="E124" s="8" t="s">
        <v>2303</v>
      </c>
      <c r="F124" s="8" t="s">
        <v>90</v>
      </c>
      <c r="G124" s="10">
        <v>45982</v>
      </c>
      <c r="H124" s="8" t="s">
        <v>26</v>
      </c>
      <c r="I124" s="8" t="s">
        <v>27</v>
      </c>
      <c r="J124" s="8" t="s">
        <v>2269</v>
      </c>
      <c r="K124" s="8" t="s">
        <v>28</v>
      </c>
      <c r="L124" s="8" t="s">
        <v>49</v>
      </c>
      <c r="M124" s="8" t="s">
        <v>39</v>
      </c>
      <c r="N124" s="11">
        <v>174537</v>
      </c>
      <c r="O124" s="11">
        <v>29206</v>
      </c>
      <c r="P124" s="12">
        <v>87.5</v>
      </c>
      <c r="Q124" s="9">
        <v>3</v>
      </c>
      <c r="R124" s="13">
        <v>9</v>
      </c>
      <c r="S124" s="13">
        <v>3</v>
      </c>
      <c r="T124" s="9">
        <v>36</v>
      </c>
      <c r="U124" s="13">
        <v>83</v>
      </c>
      <c r="V124" s="8" t="s">
        <v>31</v>
      </c>
      <c r="W124" s="8"/>
      <c r="X124" s="22">
        <f>IF(V124="Yes",1,0)</f>
        <v>0</v>
      </c>
      <c r="Y124" s="22">
        <f>IF(H124="Active",0,1)</f>
        <v>0</v>
      </c>
    </row>
    <row r="125" spans="1:25" ht="18" customHeight="1" x14ac:dyDescent="0.35">
      <c r="A125" s="14" t="s">
        <v>766</v>
      </c>
      <c r="B125" s="14" t="s">
        <v>248</v>
      </c>
      <c r="C125" s="14" t="s">
        <v>25</v>
      </c>
      <c r="D125" s="15">
        <v>56</v>
      </c>
      <c r="E125" s="14" t="s">
        <v>52</v>
      </c>
      <c r="F125" s="14" t="s">
        <v>35</v>
      </c>
      <c r="G125" s="16">
        <v>45982</v>
      </c>
      <c r="H125" s="14" t="s">
        <v>26</v>
      </c>
      <c r="I125" s="14" t="s">
        <v>27</v>
      </c>
      <c r="J125" s="14" t="s">
        <v>2270</v>
      </c>
      <c r="K125" s="14" t="s">
        <v>55</v>
      </c>
      <c r="L125" s="14" t="s">
        <v>56</v>
      </c>
      <c r="M125" s="14" t="s">
        <v>30</v>
      </c>
      <c r="N125" s="17">
        <v>118505</v>
      </c>
      <c r="O125" s="17">
        <v>8811</v>
      </c>
      <c r="P125" s="18">
        <v>95.9</v>
      </c>
      <c r="Q125" s="15">
        <v>7</v>
      </c>
      <c r="R125" s="19">
        <v>21</v>
      </c>
      <c r="S125" s="19">
        <v>4</v>
      </c>
      <c r="T125" s="15">
        <v>35</v>
      </c>
      <c r="U125" s="19">
        <v>96</v>
      </c>
      <c r="V125" s="14" t="s">
        <v>69</v>
      </c>
      <c r="W125" s="14"/>
      <c r="X125" s="14">
        <f>IF(V125="Yes",1,0)</f>
        <v>1</v>
      </c>
      <c r="Y125" s="14">
        <f>IF(H125="Active",0,1)</f>
        <v>0</v>
      </c>
    </row>
    <row r="126" spans="1:25" ht="18" customHeight="1" x14ac:dyDescent="0.35">
      <c r="A126" s="8" t="s">
        <v>1661</v>
      </c>
      <c r="B126" s="8" t="s">
        <v>349</v>
      </c>
      <c r="C126" s="8" t="s">
        <v>34</v>
      </c>
      <c r="D126" s="9">
        <v>44</v>
      </c>
      <c r="E126" s="8" t="s">
        <v>2304</v>
      </c>
      <c r="F126" s="8" t="s">
        <v>12</v>
      </c>
      <c r="G126" s="10">
        <v>45982</v>
      </c>
      <c r="H126" s="8" t="s">
        <v>26</v>
      </c>
      <c r="I126" s="8" t="s">
        <v>36</v>
      </c>
      <c r="J126" s="8" t="s">
        <v>80</v>
      </c>
      <c r="K126" s="8" t="s">
        <v>28</v>
      </c>
      <c r="L126" s="8" t="s">
        <v>29</v>
      </c>
      <c r="M126" s="8" t="s">
        <v>60</v>
      </c>
      <c r="N126" s="11">
        <v>102457</v>
      </c>
      <c r="O126" s="11">
        <v>36871</v>
      </c>
      <c r="P126" s="12">
        <v>86.9</v>
      </c>
      <c r="Q126" s="9">
        <v>0</v>
      </c>
      <c r="R126" s="13">
        <v>8</v>
      </c>
      <c r="S126" s="13">
        <v>4</v>
      </c>
      <c r="T126" s="9">
        <v>10</v>
      </c>
      <c r="U126" s="13">
        <v>75</v>
      </c>
      <c r="V126" s="8" t="s">
        <v>31</v>
      </c>
      <c r="W126" s="8"/>
      <c r="X126" s="22">
        <f>IF(V126="Yes",1,0)</f>
        <v>0</v>
      </c>
      <c r="Y126" s="22">
        <f>IF(H126="Active",0,1)</f>
        <v>0</v>
      </c>
    </row>
    <row r="127" spans="1:25" ht="18" customHeight="1" x14ac:dyDescent="0.35">
      <c r="A127" s="8" t="s">
        <v>1727</v>
      </c>
      <c r="B127" s="8" t="s">
        <v>115</v>
      </c>
      <c r="C127" s="8" t="s">
        <v>34</v>
      </c>
      <c r="D127" s="9">
        <v>30</v>
      </c>
      <c r="E127" s="8" t="s">
        <v>109</v>
      </c>
      <c r="F127" s="8" t="s">
        <v>43</v>
      </c>
      <c r="G127" s="10">
        <v>45982</v>
      </c>
      <c r="H127" s="8" t="s">
        <v>26</v>
      </c>
      <c r="I127" s="8" t="s">
        <v>2267</v>
      </c>
      <c r="J127" s="8" t="s">
        <v>2270</v>
      </c>
      <c r="K127" s="8" t="s">
        <v>28</v>
      </c>
      <c r="L127" s="8" t="s">
        <v>87</v>
      </c>
      <c r="M127" s="8" t="s">
        <v>45</v>
      </c>
      <c r="N127" s="11">
        <v>167153</v>
      </c>
      <c r="O127" s="11">
        <v>36331</v>
      </c>
      <c r="P127" s="12">
        <v>92.8</v>
      </c>
      <c r="Q127" s="9">
        <v>10</v>
      </c>
      <c r="R127" s="13">
        <v>17</v>
      </c>
      <c r="S127" s="13">
        <v>2</v>
      </c>
      <c r="T127" s="9">
        <v>3</v>
      </c>
      <c r="U127" s="13">
        <v>75</v>
      </c>
      <c r="V127" s="8" t="s">
        <v>31</v>
      </c>
      <c r="W127" s="8"/>
      <c r="X127" s="22">
        <f>IF(V127="Yes",1,0)</f>
        <v>0</v>
      </c>
      <c r="Y127" s="22">
        <f>IF(H127="Active",0,1)</f>
        <v>0</v>
      </c>
    </row>
    <row r="128" spans="1:25" ht="18" customHeight="1" x14ac:dyDescent="0.35">
      <c r="A128" s="8" t="s">
        <v>2051</v>
      </c>
      <c r="B128" s="8" t="s">
        <v>333</v>
      </c>
      <c r="C128" s="8" t="s">
        <v>34</v>
      </c>
      <c r="D128" s="9">
        <v>51</v>
      </c>
      <c r="E128" s="8" t="s">
        <v>109</v>
      </c>
      <c r="F128" s="8" t="s">
        <v>12</v>
      </c>
      <c r="G128" s="10">
        <v>45982</v>
      </c>
      <c r="H128" s="8" t="s">
        <v>26</v>
      </c>
      <c r="I128" s="8" t="s">
        <v>27</v>
      </c>
      <c r="J128" s="8" t="s">
        <v>80</v>
      </c>
      <c r="K128" s="8" t="s">
        <v>55</v>
      </c>
      <c r="L128" s="8" t="s">
        <v>56</v>
      </c>
      <c r="M128" s="8" t="s">
        <v>64</v>
      </c>
      <c r="N128" s="11">
        <v>112092</v>
      </c>
      <c r="O128" s="11">
        <v>27858</v>
      </c>
      <c r="P128" s="12">
        <v>83.8</v>
      </c>
      <c r="Q128" s="9">
        <v>7</v>
      </c>
      <c r="R128" s="13">
        <v>26</v>
      </c>
      <c r="S128" s="13">
        <v>5</v>
      </c>
      <c r="T128" s="9">
        <v>2</v>
      </c>
      <c r="U128" s="13">
        <v>87</v>
      </c>
      <c r="V128" s="8" t="s">
        <v>31</v>
      </c>
      <c r="W128" s="8"/>
      <c r="X128" s="22">
        <f>IF(V128="Yes",1,0)</f>
        <v>0</v>
      </c>
      <c r="Y128" s="22">
        <f>IF(H128="Active",0,1)</f>
        <v>0</v>
      </c>
    </row>
    <row r="129" spans="1:25" ht="18" customHeight="1" x14ac:dyDescent="0.35">
      <c r="A129" s="14" t="s">
        <v>1716</v>
      </c>
      <c r="B129" s="14" t="s">
        <v>285</v>
      </c>
      <c r="C129" s="14" t="s">
        <v>34</v>
      </c>
      <c r="D129" s="15">
        <v>58</v>
      </c>
      <c r="E129" s="14" t="s">
        <v>67</v>
      </c>
      <c r="F129" s="14" t="s">
        <v>35</v>
      </c>
      <c r="G129" s="16">
        <v>45981</v>
      </c>
      <c r="H129" s="14" t="s">
        <v>26</v>
      </c>
      <c r="I129" s="14" t="s">
        <v>2267</v>
      </c>
      <c r="J129" s="14" t="s">
        <v>48</v>
      </c>
      <c r="K129" s="14" t="s">
        <v>55</v>
      </c>
      <c r="L129" s="14" t="s">
        <v>68</v>
      </c>
      <c r="M129" s="14" t="s">
        <v>30</v>
      </c>
      <c r="N129" s="17">
        <v>81579</v>
      </c>
      <c r="O129" s="17">
        <v>31911</v>
      </c>
      <c r="P129" s="18">
        <v>83.2</v>
      </c>
      <c r="Q129" s="15">
        <v>4</v>
      </c>
      <c r="R129" s="19">
        <v>22</v>
      </c>
      <c r="S129" s="19">
        <v>5</v>
      </c>
      <c r="T129" s="15">
        <v>34</v>
      </c>
      <c r="U129" s="19">
        <v>66</v>
      </c>
      <c r="V129" s="14" t="s">
        <v>69</v>
      </c>
      <c r="W129" s="14"/>
      <c r="X129" s="14">
        <f>IF(V129="Yes",1,0)</f>
        <v>1</v>
      </c>
      <c r="Y129" s="14">
        <f>IF(H129="Active",0,1)</f>
        <v>0</v>
      </c>
    </row>
    <row r="130" spans="1:25" ht="18" customHeight="1" x14ac:dyDescent="0.35">
      <c r="A130" s="14" t="s">
        <v>1440</v>
      </c>
      <c r="B130" s="14" t="s">
        <v>591</v>
      </c>
      <c r="C130" s="14" t="s">
        <v>34</v>
      </c>
      <c r="D130" s="15">
        <v>49</v>
      </c>
      <c r="E130" s="14" t="s">
        <v>93</v>
      </c>
      <c r="F130" s="14" t="s">
        <v>43</v>
      </c>
      <c r="G130" s="16">
        <v>45980</v>
      </c>
      <c r="H130" s="14" t="s">
        <v>26</v>
      </c>
      <c r="I130" s="14" t="s">
        <v>2267</v>
      </c>
      <c r="J130" s="14" t="s">
        <v>2268</v>
      </c>
      <c r="K130" s="14" t="s">
        <v>55</v>
      </c>
      <c r="L130" s="14" t="s">
        <v>87</v>
      </c>
      <c r="M130" s="14" t="s">
        <v>60</v>
      </c>
      <c r="N130" s="17">
        <v>101642</v>
      </c>
      <c r="O130" s="17">
        <v>39995</v>
      </c>
      <c r="P130" s="18">
        <v>98</v>
      </c>
      <c r="Q130" s="15">
        <v>0</v>
      </c>
      <c r="R130" s="19">
        <v>8</v>
      </c>
      <c r="S130" s="19">
        <v>1</v>
      </c>
      <c r="T130" s="15">
        <v>7</v>
      </c>
      <c r="U130" s="19">
        <v>75</v>
      </c>
      <c r="V130" s="14" t="s">
        <v>69</v>
      </c>
      <c r="W130" s="14"/>
      <c r="X130" s="14">
        <f>IF(V130="Yes",1,0)</f>
        <v>1</v>
      </c>
      <c r="Y130" s="14">
        <f>IF(H130="Active",0,1)</f>
        <v>0</v>
      </c>
    </row>
    <row r="131" spans="1:25" ht="18" customHeight="1" x14ac:dyDescent="0.35">
      <c r="A131" s="8" t="s">
        <v>170</v>
      </c>
      <c r="B131" s="8" t="s">
        <v>171</v>
      </c>
      <c r="C131" s="8" t="s">
        <v>25</v>
      </c>
      <c r="D131" s="9">
        <v>21</v>
      </c>
      <c r="E131" s="8" t="s">
        <v>2304</v>
      </c>
      <c r="F131" s="8" t="s">
        <v>79</v>
      </c>
      <c r="G131" s="10">
        <v>45979</v>
      </c>
      <c r="H131" s="8" t="s">
        <v>26</v>
      </c>
      <c r="I131" s="8" t="s">
        <v>2267</v>
      </c>
      <c r="J131" s="8" t="s">
        <v>80</v>
      </c>
      <c r="K131" s="8" t="s">
        <v>55</v>
      </c>
      <c r="L131" s="8" t="s">
        <v>29</v>
      </c>
      <c r="M131" s="8" t="s">
        <v>39</v>
      </c>
      <c r="N131" s="11">
        <v>109298</v>
      </c>
      <c r="O131" s="11">
        <v>40561</v>
      </c>
      <c r="P131" s="12">
        <v>93.4</v>
      </c>
      <c r="Q131" s="9">
        <v>7</v>
      </c>
      <c r="R131" s="13">
        <v>12</v>
      </c>
      <c r="S131" s="13">
        <v>1</v>
      </c>
      <c r="T131" s="9">
        <v>5</v>
      </c>
      <c r="U131" s="13">
        <v>62</v>
      </c>
      <c r="V131" s="8" t="s">
        <v>31</v>
      </c>
      <c r="W131" s="8"/>
      <c r="X131" s="22">
        <f>IF(V131="Yes",1,0)</f>
        <v>0</v>
      </c>
      <c r="Y131" s="22">
        <f>IF(H131="Active",0,1)</f>
        <v>0</v>
      </c>
    </row>
    <row r="132" spans="1:25" ht="18" customHeight="1" x14ac:dyDescent="0.35">
      <c r="A132" s="8" t="s">
        <v>231</v>
      </c>
      <c r="B132" s="8" t="s">
        <v>232</v>
      </c>
      <c r="C132" s="8" t="s">
        <v>25</v>
      </c>
      <c r="D132" s="9">
        <v>37</v>
      </c>
      <c r="E132" s="8" t="s">
        <v>93</v>
      </c>
      <c r="F132" s="8" t="s">
        <v>43</v>
      </c>
      <c r="G132" s="10">
        <v>45979</v>
      </c>
      <c r="H132" s="8" t="s">
        <v>26</v>
      </c>
      <c r="I132" s="8" t="s">
        <v>27</v>
      </c>
      <c r="J132" s="8" t="s">
        <v>2268</v>
      </c>
      <c r="K132" s="8" t="s">
        <v>37</v>
      </c>
      <c r="L132" s="8" t="s">
        <v>68</v>
      </c>
      <c r="M132" s="8" t="s">
        <v>39</v>
      </c>
      <c r="N132" s="11">
        <v>155728</v>
      </c>
      <c r="O132" s="11">
        <v>23929</v>
      </c>
      <c r="P132" s="12">
        <v>99.1</v>
      </c>
      <c r="Q132" s="9">
        <v>1</v>
      </c>
      <c r="R132" s="13">
        <v>17</v>
      </c>
      <c r="S132" s="13">
        <v>4</v>
      </c>
      <c r="T132" s="9">
        <v>8</v>
      </c>
      <c r="U132" s="13">
        <v>96</v>
      </c>
      <c r="V132" s="8" t="s">
        <v>31</v>
      </c>
      <c r="W132" s="8"/>
      <c r="X132" s="22">
        <f>IF(V132="Yes",1,0)</f>
        <v>0</v>
      </c>
      <c r="Y132" s="22">
        <f>IF(H132="Active",0,1)</f>
        <v>0</v>
      </c>
    </row>
    <row r="133" spans="1:25" ht="18" customHeight="1" x14ac:dyDescent="0.35">
      <c r="A133" s="8" t="s">
        <v>972</v>
      </c>
      <c r="B133" s="8" t="s">
        <v>880</v>
      </c>
      <c r="C133" s="8" t="s">
        <v>25</v>
      </c>
      <c r="D133" s="9">
        <v>21</v>
      </c>
      <c r="E133" s="8" t="s">
        <v>86</v>
      </c>
      <c r="F133" s="8" t="s">
        <v>43</v>
      </c>
      <c r="G133" s="10">
        <v>45979</v>
      </c>
      <c r="H133" s="8" t="s">
        <v>26</v>
      </c>
      <c r="I133" s="8" t="s">
        <v>27</v>
      </c>
      <c r="J133" s="8" t="s">
        <v>2270</v>
      </c>
      <c r="K133" s="8" t="s">
        <v>55</v>
      </c>
      <c r="L133" s="8" t="s">
        <v>49</v>
      </c>
      <c r="M133" s="8" t="s">
        <v>39</v>
      </c>
      <c r="N133" s="11">
        <v>128642</v>
      </c>
      <c r="O133" s="11">
        <v>21574</v>
      </c>
      <c r="P133" s="12">
        <v>88.9</v>
      </c>
      <c r="Q133" s="9">
        <v>2</v>
      </c>
      <c r="R133" s="13">
        <v>24</v>
      </c>
      <c r="S133" s="13">
        <v>3</v>
      </c>
      <c r="T133" s="9">
        <v>12</v>
      </c>
      <c r="U133" s="13">
        <v>89</v>
      </c>
      <c r="V133" s="8" t="s">
        <v>31</v>
      </c>
      <c r="W133" s="8"/>
      <c r="X133" s="22">
        <f>IF(V133="Yes",1,0)</f>
        <v>0</v>
      </c>
      <c r="Y133" s="22">
        <f>IF(H133="Active",0,1)</f>
        <v>0</v>
      </c>
    </row>
    <row r="134" spans="1:25" ht="18" customHeight="1" x14ac:dyDescent="0.35">
      <c r="A134" s="8" t="s">
        <v>1999</v>
      </c>
      <c r="B134" s="8" t="s">
        <v>157</v>
      </c>
      <c r="C134" s="8" t="s">
        <v>25</v>
      </c>
      <c r="D134" s="9">
        <v>46</v>
      </c>
      <c r="E134" s="8" t="s">
        <v>2304</v>
      </c>
      <c r="F134" s="8" t="s">
        <v>35</v>
      </c>
      <c r="G134" s="10">
        <v>45979</v>
      </c>
      <c r="H134" s="8" t="s">
        <v>26</v>
      </c>
      <c r="I134" s="8" t="s">
        <v>36</v>
      </c>
      <c r="J134" s="8" t="s">
        <v>2270</v>
      </c>
      <c r="K134" s="8" t="s">
        <v>28</v>
      </c>
      <c r="L134" s="8" t="s">
        <v>68</v>
      </c>
      <c r="M134" s="8" t="s">
        <v>30</v>
      </c>
      <c r="N134" s="11">
        <v>209641</v>
      </c>
      <c r="O134" s="11">
        <v>30763</v>
      </c>
      <c r="P134" s="12">
        <v>92.7</v>
      </c>
      <c r="Q134" s="9">
        <v>7</v>
      </c>
      <c r="R134" s="13">
        <v>12</v>
      </c>
      <c r="S134" s="13">
        <v>2</v>
      </c>
      <c r="T134" s="9">
        <v>0</v>
      </c>
      <c r="U134" s="13">
        <v>87</v>
      </c>
      <c r="V134" s="8" t="s">
        <v>31</v>
      </c>
      <c r="W134" s="8"/>
      <c r="X134" s="22">
        <f>IF(V134="Yes",1,0)</f>
        <v>0</v>
      </c>
      <c r="Y134" s="22">
        <f>IF(H134="Active",0,1)</f>
        <v>0</v>
      </c>
    </row>
    <row r="135" spans="1:25" ht="18" customHeight="1" x14ac:dyDescent="0.35">
      <c r="A135" s="14" t="s">
        <v>1189</v>
      </c>
      <c r="B135" s="14" t="s">
        <v>100</v>
      </c>
      <c r="C135" s="14" t="s">
        <v>25</v>
      </c>
      <c r="D135" s="15">
        <v>51</v>
      </c>
      <c r="E135" s="14" t="s">
        <v>42</v>
      </c>
      <c r="F135" s="14" t="s">
        <v>12</v>
      </c>
      <c r="G135" s="16">
        <v>45978</v>
      </c>
      <c r="H135" s="14" t="s">
        <v>26</v>
      </c>
      <c r="I135" s="14" t="s">
        <v>36</v>
      </c>
      <c r="J135" s="14" t="s">
        <v>48</v>
      </c>
      <c r="K135" s="14" t="s">
        <v>55</v>
      </c>
      <c r="L135" s="14" t="s">
        <v>29</v>
      </c>
      <c r="M135" s="14" t="s">
        <v>39</v>
      </c>
      <c r="N135" s="17">
        <v>99552</v>
      </c>
      <c r="O135" s="17">
        <v>14246</v>
      </c>
      <c r="P135" s="18">
        <v>97.3</v>
      </c>
      <c r="Q135" s="15">
        <v>7</v>
      </c>
      <c r="R135" s="19">
        <v>5</v>
      </c>
      <c r="S135" s="19">
        <v>3</v>
      </c>
      <c r="T135" s="15">
        <v>12</v>
      </c>
      <c r="U135" s="19">
        <v>95</v>
      </c>
      <c r="V135" s="14" t="s">
        <v>31</v>
      </c>
      <c r="W135" s="14"/>
      <c r="X135" s="14">
        <f>IF(V135="Yes",1,0)</f>
        <v>0</v>
      </c>
      <c r="Y135" s="14">
        <f>IF(H135="Active",0,1)</f>
        <v>0</v>
      </c>
    </row>
    <row r="136" spans="1:25" ht="18" customHeight="1" x14ac:dyDescent="0.35">
      <c r="A136" s="8" t="s">
        <v>1593</v>
      </c>
      <c r="B136" s="8" t="s">
        <v>393</v>
      </c>
      <c r="C136" s="8" t="s">
        <v>34</v>
      </c>
      <c r="D136" s="9">
        <v>36</v>
      </c>
      <c r="E136" s="8" t="s">
        <v>63</v>
      </c>
      <c r="F136" s="8" t="s">
        <v>35</v>
      </c>
      <c r="G136" s="10">
        <v>45978</v>
      </c>
      <c r="H136" s="8" t="s">
        <v>54</v>
      </c>
      <c r="I136" s="8" t="s">
        <v>2267</v>
      </c>
      <c r="J136" s="8" t="s">
        <v>80</v>
      </c>
      <c r="K136" s="8" t="s">
        <v>2271</v>
      </c>
      <c r="L136" s="8" t="s">
        <v>49</v>
      </c>
      <c r="M136" s="8" t="s">
        <v>60</v>
      </c>
      <c r="N136" s="11">
        <v>151020</v>
      </c>
      <c r="O136" s="11">
        <v>26901</v>
      </c>
      <c r="P136" s="12">
        <v>84.1</v>
      </c>
      <c r="Q136" s="9">
        <v>8</v>
      </c>
      <c r="R136" s="13">
        <v>17</v>
      </c>
      <c r="S136" s="13">
        <v>2</v>
      </c>
      <c r="T136" s="9">
        <v>36</v>
      </c>
      <c r="U136" s="13">
        <v>95</v>
      </c>
      <c r="V136" s="8" t="s">
        <v>31</v>
      </c>
      <c r="W136" s="8" t="s">
        <v>57</v>
      </c>
      <c r="X136" s="22">
        <f>IF(V136="Yes",1,0)</f>
        <v>0</v>
      </c>
      <c r="Y136" s="22">
        <f>IF(H136="Active",0,1)</f>
        <v>1</v>
      </c>
    </row>
    <row r="137" spans="1:25" ht="18" customHeight="1" x14ac:dyDescent="0.35">
      <c r="A137" s="14" t="s">
        <v>2088</v>
      </c>
      <c r="B137" s="14" t="s">
        <v>256</v>
      </c>
      <c r="C137" s="14" t="s">
        <v>34</v>
      </c>
      <c r="D137" s="15">
        <v>42</v>
      </c>
      <c r="E137" s="14" t="s">
        <v>52</v>
      </c>
      <c r="F137" s="14" t="s">
        <v>43</v>
      </c>
      <c r="G137" s="16">
        <v>45978</v>
      </c>
      <c r="H137" s="14" t="s">
        <v>26</v>
      </c>
      <c r="I137" s="14" t="s">
        <v>2267</v>
      </c>
      <c r="J137" s="14" t="s">
        <v>2270</v>
      </c>
      <c r="K137" s="14" t="s">
        <v>2271</v>
      </c>
      <c r="L137" s="14" t="s">
        <v>38</v>
      </c>
      <c r="M137" s="14" t="s">
        <v>30</v>
      </c>
      <c r="N137" s="17">
        <v>80420</v>
      </c>
      <c r="O137" s="17">
        <v>36811</v>
      </c>
      <c r="P137" s="18">
        <v>84.2</v>
      </c>
      <c r="Q137" s="15">
        <v>2</v>
      </c>
      <c r="R137" s="19">
        <v>4</v>
      </c>
      <c r="S137" s="19">
        <v>5</v>
      </c>
      <c r="T137" s="15">
        <v>25</v>
      </c>
      <c r="U137" s="19">
        <v>64</v>
      </c>
      <c r="V137" s="14" t="s">
        <v>31</v>
      </c>
      <c r="W137" s="14"/>
      <c r="X137" s="14">
        <f>IF(V137="Yes",1,0)</f>
        <v>0</v>
      </c>
      <c r="Y137" s="14">
        <f>IF(H137="Active",0,1)</f>
        <v>0</v>
      </c>
    </row>
    <row r="138" spans="1:25" ht="18" customHeight="1" x14ac:dyDescent="0.35">
      <c r="A138" s="8" t="s">
        <v>1043</v>
      </c>
      <c r="B138" s="8" t="s">
        <v>531</v>
      </c>
      <c r="C138" s="8" t="s">
        <v>25</v>
      </c>
      <c r="D138" s="9">
        <v>21</v>
      </c>
      <c r="E138" s="8" t="s">
        <v>93</v>
      </c>
      <c r="F138" s="8" t="s">
        <v>43</v>
      </c>
      <c r="G138" s="10">
        <v>45977</v>
      </c>
      <c r="H138" s="8" t="s">
        <v>26</v>
      </c>
      <c r="I138" s="8" t="s">
        <v>27</v>
      </c>
      <c r="J138" s="8" t="s">
        <v>2270</v>
      </c>
      <c r="K138" s="8" t="s">
        <v>55</v>
      </c>
      <c r="L138" s="8" t="s">
        <v>68</v>
      </c>
      <c r="M138" s="8" t="s">
        <v>60</v>
      </c>
      <c r="N138" s="11">
        <v>238824</v>
      </c>
      <c r="O138" s="11">
        <v>43073</v>
      </c>
      <c r="P138" s="12">
        <v>93.9</v>
      </c>
      <c r="Q138" s="9">
        <v>10</v>
      </c>
      <c r="R138" s="13">
        <v>1</v>
      </c>
      <c r="S138" s="13">
        <v>3</v>
      </c>
      <c r="T138" s="9">
        <v>5</v>
      </c>
      <c r="U138" s="13">
        <v>90</v>
      </c>
      <c r="V138" s="8" t="s">
        <v>31</v>
      </c>
      <c r="W138" s="8"/>
      <c r="X138" s="22">
        <f>IF(V138="Yes",1,0)</f>
        <v>0</v>
      </c>
      <c r="Y138" s="22">
        <f>IF(H138="Active",0,1)</f>
        <v>0</v>
      </c>
    </row>
    <row r="139" spans="1:25" ht="18" customHeight="1" x14ac:dyDescent="0.35">
      <c r="A139" s="8" t="s">
        <v>1823</v>
      </c>
      <c r="B139" s="8" t="s">
        <v>1235</v>
      </c>
      <c r="C139" s="8" t="s">
        <v>34</v>
      </c>
      <c r="D139" s="9">
        <v>51</v>
      </c>
      <c r="E139" s="8" t="s">
        <v>109</v>
      </c>
      <c r="F139" s="8" t="s">
        <v>12</v>
      </c>
      <c r="G139" s="10">
        <v>45977</v>
      </c>
      <c r="H139" s="8" t="s">
        <v>26</v>
      </c>
      <c r="I139" s="8" t="s">
        <v>2267</v>
      </c>
      <c r="J139" s="8" t="s">
        <v>80</v>
      </c>
      <c r="K139" s="8" t="s">
        <v>55</v>
      </c>
      <c r="L139" s="8" t="s">
        <v>38</v>
      </c>
      <c r="M139" s="8" t="s">
        <v>45</v>
      </c>
      <c r="N139" s="11">
        <v>230319</v>
      </c>
      <c r="O139" s="11">
        <v>22376</v>
      </c>
      <c r="P139" s="12">
        <v>88.3</v>
      </c>
      <c r="Q139" s="9">
        <v>0</v>
      </c>
      <c r="R139" s="13">
        <v>4</v>
      </c>
      <c r="S139" s="13">
        <v>3</v>
      </c>
      <c r="T139" s="9">
        <v>22</v>
      </c>
      <c r="U139" s="13">
        <v>99</v>
      </c>
      <c r="V139" s="8" t="s">
        <v>31</v>
      </c>
      <c r="W139" s="8"/>
      <c r="X139" s="22">
        <f>IF(V139="Yes",1,0)</f>
        <v>0</v>
      </c>
      <c r="Y139" s="22">
        <f>IF(H139="Active",0,1)</f>
        <v>0</v>
      </c>
    </row>
    <row r="140" spans="1:25" ht="18" customHeight="1" x14ac:dyDescent="0.35">
      <c r="A140" s="8" t="s">
        <v>1935</v>
      </c>
      <c r="B140" s="8" t="s">
        <v>167</v>
      </c>
      <c r="C140" s="8" t="s">
        <v>25</v>
      </c>
      <c r="D140" s="9">
        <v>34</v>
      </c>
      <c r="E140" s="8" t="s">
        <v>2304</v>
      </c>
      <c r="F140" s="8" t="s">
        <v>76</v>
      </c>
      <c r="G140" s="10">
        <v>45977</v>
      </c>
      <c r="H140" s="8" t="s">
        <v>26</v>
      </c>
      <c r="I140" s="8" t="s">
        <v>27</v>
      </c>
      <c r="J140" s="8" t="s">
        <v>2268</v>
      </c>
      <c r="K140" s="8" t="s">
        <v>55</v>
      </c>
      <c r="L140" s="8" t="s">
        <v>56</v>
      </c>
      <c r="M140" s="8" t="s">
        <v>64</v>
      </c>
      <c r="N140" s="11">
        <v>199487</v>
      </c>
      <c r="O140" s="11">
        <v>23921</v>
      </c>
      <c r="P140" s="12">
        <v>83.5</v>
      </c>
      <c r="Q140" s="9">
        <v>4</v>
      </c>
      <c r="R140" s="13">
        <v>30</v>
      </c>
      <c r="S140" s="13">
        <v>3</v>
      </c>
      <c r="T140" s="9">
        <v>40</v>
      </c>
      <c r="U140" s="13">
        <v>78</v>
      </c>
      <c r="V140" s="8" t="s">
        <v>31</v>
      </c>
      <c r="W140" s="8"/>
      <c r="X140" s="22">
        <f>IF(V140="Yes",1,0)</f>
        <v>0</v>
      </c>
      <c r="Y140" s="22">
        <f>IF(H140="Active",0,1)</f>
        <v>0</v>
      </c>
    </row>
    <row r="141" spans="1:25" ht="18" customHeight="1" x14ac:dyDescent="0.35">
      <c r="A141" s="8" t="s">
        <v>1495</v>
      </c>
      <c r="B141" s="8" t="s">
        <v>267</v>
      </c>
      <c r="C141" s="8" t="s">
        <v>25</v>
      </c>
      <c r="D141" s="9">
        <v>42</v>
      </c>
      <c r="E141" s="8" t="s">
        <v>42</v>
      </c>
      <c r="F141" s="8" t="s">
        <v>90</v>
      </c>
      <c r="G141" s="10">
        <v>45976</v>
      </c>
      <c r="H141" s="8" t="s">
        <v>26</v>
      </c>
      <c r="I141" s="8" t="s">
        <v>27</v>
      </c>
      <c r="J141" s="8" t="s">
        <v>2269</v>
      </c>
      <c r="K141" s="8" t="s">
        <v>73</v>
      </c>
      <c r="L141" s="8" t="s">
        <v>68</v>
      </c>
      <c r="M141" s="8" t="s">
        <v>39</v>
      </c>
      <c r="N141" s="11">
        <v>42333</v>
      </c>
      <c r="O141" s="11">
        <v>49230</v>
      </c>
      <c r="P141" s="12">
        <v>91.2</v>
      </c>
      <c r="Q141" s="9">
        <v>9</v>
      </c>
      <c r="R141" s="13">
        <v>29</v>
      </c>
      <c r="S141" s="13">
        <v>1</v>
      </c>
      <c r="T141" s="9">
        <v>11</v>
      </c>
      <c r="U141" s="13">
        <v>71</v>
      </c>
      <c r="V141" s="8" t="s">
        <v>69</v>
      </c>
      <c r="W141" s="8"/>
      <c r="X141" s="22">
        <f>IF(V141="Yes",1,0)</f>
        <v>1</v>
      </c>
      <c r="Y141" s="22">
        <f>IF(H141="Active",0,1)</f>
        <v>0</v>
      </c>
    </row>
    <row r="142" spans="1:25" ht="18" customHeight="1" x14ac:dyDescent="0.35">
      <c r="A142" s="8" t="s">
        <v>2229</v>
      </c>
      <c r="B142" s="8" t="s">
        <v>162</v>
      </c>
      <c r="C142" s="8" t="s">
        <v>34</v>
      </c>
      <c r="D142" s="9">
        <v>39</v>
      </c>
      <c r="E142" s="8" t="s">
        <v>2303</v>
      </c>
      <c r="F142" s="8" t="s">
        <v>90</v>
      </c>
      <c r="G142" s="10">
        <v>45976</v>
      </c>
      <c r="H142" s="8" t="s">
        <v>26</v>
      </c>
      <c r="I142" s="8" t="s">
        <v>36</v>
      </c>
      <c r="J142" s="8" t="s">
        <v>80</v>
      </c>
      <c r="K142" s="8" t="s">
        <v>37</v>
      </c>
      <c r="L142" s="8" t="s">
        <v>116</v>
      </c>
      <c r="M142" s="8" t="s">
        <v>60</v>
      </c>
      <c r="N142" s="11">
        <v>171384</v>
      </c>
      <c r="O142" s="11">
        <v>5949</v>
      </c>
      <c r="P142" s="12">
        <v>85.7</v>
      </c>
      <c r="Q142" s="9">
        <v>4</v>
      </c>
      <c r="R142" s="13">
        <v>22</v>
      </c>
      <c r="S142" s="13">
        <v>4</v>
      </c>
      <c r="T142" s="9">
        <v>33</v>
      </c>
      <c r="U142" s="13">
        <v>91</v>
      </c>
      <c r="V142" s="8" t="s">
        <v>31</v>
      </c>
      <c r="W142" s="8"/>
      <c r="X142" s="22">
        <f>IF(V142="Yes",1,0)</f>
        <v>0</v>
      </c>
      <c r="Y142" s="22">
        <f>IF(H142="Active",0,1)</f>
        <v>0</v>
      </c>
    </row>
    <row r="143" spans="1:25" ht="18" customHeight="1" x14ac:dyDescent="0.35">
      <c r="A143" s="8" t="s">
        <v>830</v>
      </c>
      <c r="B143" s="8" t="s">
        <v>393</v>
      </c>
      <c r="C143" s="8" t="s">
        <v>25</v>
      </c>
      <c r="D143" s="9">
        <v>53</v>
      </c>
      <c r="E143" s="8" t="s">
        <v>2304</v>
      </c>
      <c r="F143" s="8" t="s">
        <v>76</v>
      </c>
      <c r="G143" s="10">
        <v>45975</v>
      </c>
      <c r="H143" s="8" t="s">
        <v>26</v>
      </c>
      <c r="I143" s="8" t="s">
        <v>36</v>
      </c>
      <c r="J143" s="8" t="s">
        <v>2269</v>
      </c>
      <c r="K143" s="8" t="s">
        <v>28</v>
      </c>
      <c r="L143" s="8" t="s">
        <v>87</v>
      </c>
      <c r="M143" s="8" t="s">
        <v>39</v>
      </c>
      <c r="N143" s="11">
        <v>153616</v>
      </c>
      <c r="O143" s="11">
        <v>9600</v>
      </c>
      <c r="P143" s="12">
        <v>99.3</v>
      </c>
      <c r="Q143" s="9">
        <v>3</v>
      </c>
      <c r="R143" s="13">
        <v>26</v>
      </c>
      <c r="S143" s="13">
        <v>1</v>
      </c>
      <c r="T143" s="9">
        <v>34</v>
      </c>
      <c r="U143" s="13">
        <v>97</v>
      </c>
      <c r="V143" s="8" t="s">
        <v>31</v>
      </c>
      <c r="W143" s="8"/>
      <c r="X143" s="22">
        <f>IF(V143="Yes",1,0)</f>
        <v>0</v>
      </c>
      <c r="Y143" s="22">
        <f>IF(H143="Active",0,1)</f>
        <v>0</v>
      </c>
    </row>
    <row r="144" spans="1:25" ht="18" customHeight="1" x14ac:dyDescent="0.35">
      <c r="A144" s="8" t="s">
        <v>1331</v>
      </c>
      <c r="B144" s="8" t="s">
        <v>393</v>
      </c>
      <c r="C144" s="8" t="s">
        <v>25</v>
      </c>
      <c r="D144" s="9">
        <v>40</v>
      </c>
      <c r="E144" s="8" t="s">
        <v>63</v>
      </c>
      <c r="F144" s="8" t="s">
        <v>35</v>
      </c>
      <c r="G144" s="10">
        <v>45975</v>
      </c>
      <c r="H144" s="8" t="s">
        <v>26</v>
      </c>
      <c r="I144" s="8" t="s">
        <v>36</v>
      </c>
      <c r="J144" s="8" t="s">
        <v>48</v>
      </c>
      <c r="K144" s="8" t="s">
        <v>2271</v>
      </c>
      <c r="L144" s="8" t="s">
        <v>87</v>
      </c>
      <c r="M144" s="8" t="s">
        <v>64</v>
      </c>
      <c r="N144" s="11">
        <v>48435</v>
      </c>
      <c r="O144" s="11">
        <v>6620</v>
      </c>
      <c r="P144" s="12">
        <v>94.2</v>
      </c>
      <c r="Q144" s="9">
        <v>2</v>
      </c>
      <c r="R144" s="13">
        <v>19</v>
      </c>
      <c r="S144" s="13">
        <v>3</v>
      </c>
      <c r="T144" s="9">
        <v>19</v>
      </c>
      <c r="U144" s="13">
        <v>90</v>
      </c>
      <c r="V144" s="8" t="s">
        <v>31</v>
      </c>
      <c r="W144" s="8"/>
      <c r="X144" s="22">
        <f>IF(V144="Yes",1,0)</f>
        <v>0</v>
      </c>
      <c r="Y144" s="22">
        <f>IF(H144="Active",0,1)</f>
        <v>0</v>
      </c>
    </row>
    <row r="145" spans="1:25" ht="18" customHeight="1" x14ac:dyDescent="0.35">
      <c r="A145" s="8" t="s">
        <v>1557</v>
      </c>
      <c r="B145" s="8" t="s">
        <v>173</v>
      </c>
      <c r="C145" s="8" t="s">
        <v>25</v>
      </c>
      <c r="D145" s="9">
        <v>58</v>
      </c>
      <c r="E145" s="8" t="s">
        <v>63</v>
      </c>
      <c r="F145" s="8" t="s">
        <v>53</v>
      </c>
      <c r="G145" s="10">
        <v>45973</v>
      </c>
      <c r="H145" s="8" t="s">
        <v>26</v>
      </c>
      <c r="I145" s="8" t="s">
        <v>2267</v>
      </c>
      <c r="J145" s="8" t="s">
        <v>48</v>
      </c>
      <c r="K145" s="8" t="s">
        <v>55</v>
      </c>
      <c r="L145" s="8" t="s">
        <v>38</v>
      </c>
      <c r="M145" s="8" t="s">
        <v>60</v>
      </c>
      <c r="N145" s="11">
        <v>53958</v>
      </c>
      <c r="O145" s="11">
        <v>32904</v>
      </c>
      <c r="P145" s="12">
        <v>96.9</v>
      </c>
      <c r="Q145" s="9">
        <v>9</v>
      </c>
      <c r="R145" s="13">
        <v>21</v>
      </c>
      <c r="S145" s="13">
        <v>2</v>
      </c>
      <c r="T145" s="9">
        <v>39</v>
      </c>
      <c r="U145" s="13">
        <v>89</v>
      </c>
      <c r="V145" s="8" t="s">
        <v>31</v>
      </c>
      <c r="W145" s="8"/>
      <c r="X145" s="22">
        <f>IF(V145="Yes",1,0)</f>
        <v>0</v>
      </c>
      <c r="Y145" s="22">
        <f>IF(H145="Active",0,1)</f>
        <v>0</v>
      </c>
    </row>
    <row r="146" spans="1:25" ht="18" customHeight="1" x14ac:dyDescent="0.35">
      <c r="A146" s="8" t="s">
        <v>1679</v>
      </c>
      <c r="B146" s="8" t="s">
        <v>443</v>
      </c>
      <c r="C146" s="8" t="s">
        <v>25</v>
      </c>
      <c r="D146" s="9">
        <v>24</v>
      </c>
      <c r="E146" s="8" t="s">
        <v>109</v>
      </c>
      <c r="F146" s="8" t="s">
        <v>79</v>
      </c>
      <c r="G146" s="10">
        <v>45973</v>
      </c>
      <c r="H146" s="8" t="s">
        <v>54</v>
      </c>
      <c r="I146" s="8" t="s">
        <v>2267</v>
      </c>
      <c r="J146" s="8" t="s">
        <v>80</v>
      </c>
      <c r="K146" s="8" t="s">
        <v>73</v>
      </c>
      <c r="L146" s="8" t="s">
        <v>29</v>
      </c>
      <c r="M146" s="8" t="s">
        <v>39</v>
      </c>
      <c r="N146" s="11">
        <v>154395</v>
      </c>
      <c r="O146" s="11">
        <v>43823</v>
      </c>
      <c r="P146" s="12">
        <v>99.3</v>
      </c>
      <c r="Q146" s="9">
        <v>0</v>
      </c>
      <c r="R146" s="13">
        <v>25</v>
      </c>
      <c r="S146" s="13">
        <v>3</v>
      </c>
      <c r="T146" s="9">
        <v>2</v>
      </c>
      <c r="U146" s="13">
        <v>61</v>
      </c>
      <c r="V146" s="8" t="s">
        <v>69</v>
      </c>
      <c r="W146" s="8" t="s">
        <v>123</v>
      </c>
      <c r="X146" s="22">
        <f>IF(V146="Yes",1,0)</f>
        <v>1</v>
      </c>
      <c r="Y146" s="22">
        <f>IF(H146="Active",0,1)</f>
        <v>1</v>
      </c>
    </row>
    <row r="147" spans="1:25" ht="18" customHeight="1" x14ac:dyDescent="0.35">
      <c r="A147" s="8" t="s">
        <v>2165</v>
      </c>
      <c r="B147" s="8" t="s">
        <v>248</v>
      </c>
      <c r="C147" s="8" t="s">
        <v>25</v>
      </c>
      <c r="D147" s="9">
        <v>23</v>
      </c>
      <c r="E147" s="8" t="s">
        <v>63</v>
      </c>
      <c r="F147" s="8" t="s">
        <v>53</v>
      </c>
      <c r="G147" s="10">
        <v>45973</v>
      </c>
      <c r="H147" s="8" t="s">
        <v>26</v>
      </c>
      <c r="I147" s="8" t="s">
        <v>2267</v>
      </c>
      <c r="J147" s="8" t="s">
        <v>80</v>
      </c>
      <c r="K147" s="8" t="s">
        <v>73</v>
      </c>
      <c r="L147" s="8" t="s">
        <v>56</v>
      </c>
      <c r="M147" s="8" t="s">
        <v>39</v>
      </c>
      <c r="N147" s="11">
        <v>171422</v>
      </c>
      <c r="O147" s="11">
        <v>12295</v>
      </c>
      <c r="P147" s="12">
        <v>80.099999999999994</v>
      </c>
      <c r="Q147" s="9">
        <v>9</v>
      </c>
      <c r="R147" s="13">
        <v>0</v>
      </c>
      <c r="S147" s="13">
        <v>2</v>
      </c>
      <c r="T147" s="9">
        <v>12</v>
      </c>
      <c r="U147" s="13">
        <v>86</v>
      </c>
      <c r="V147" s="8" t="s">
        <v>31</v>
      </c>
      <c r="W147" s="8"/>
      <c r="X147" s="22">
        <f>IF(V147="Yes",1,0)</f>
        <v>0</v>
      </c>
      <c r="Y147" s="22">
        <f>IF(H147="Active",0,1)</f>
        <v>0</v>
      </c>
    </row>
    <row r="148" spans="1:25" ht="18" customHeight="1" x14ac:dyDescent="0.35">
      <c r="A148" s="8" t="s">
        <v>687</v>
      </c>
      <c r="B148" s="8" t="s">
        <v>66</v>
      </c>
      <c r="C148" s="8" t="s">
        <v>34</v>
      </c>
      <c r="D148" s="9">
        <v>23</v>
      </c>
      <c r="E148" s="8" t="s">
        <v>67</v>
      </c>
      <c r="F148" s="8" t="s">
        <v>90</v>
      </c>
      <c r="G148" s="10">
        <v>45972</v>
      </c>
      <c r="H148" s="8" t="s">
        <v>26</v>
      </c>
      <c r="I148" s="8" t="s">
        <v>36</v>
      </c>
      <c r="J148" s="8" t="s">
        <v>2270</v>
      </c>
      <c r="K148" s="8" t="s">
        <v>55</v>
      </c>
      <c r="L148" s="8" t="s">
        <v>44</v>
      </c>
      <c r="M148" s="8" t="s">
        <v>60</v>
      </c>
      <c r="N148" s="11">
        <v>198428</v>
      </c>
      <c r="O148" s="11">
        <v>9976</v>
      </c>
      <c r="P148" s="12">
        <v>86.6</v>
      </c>
      <c r="Q148" s="9">
        <v>5</v>
      </c>
      <c r="R148" s="13">
        <v>1</v>
      </c>
      <c r="S148" s="13">
        <v>4</v>
      </c>
      <c r="T148" s="9">
        <v>29</v>
      </c>
      <c r="U148" s="13">
        <v>100</v>
      </c>
      <c r="V148" s="8" t="s">
        <v>31</v>
      </c>
      <c r="W148" s="8"/>
      <c r="X148" s="22">
        <f>IF(V148="Yes",1,0)</f>
        <v>0</v>
      </c>
      <c r="Y148" s="22">
        <f>IF(H148="Active",0,1)</f>
        <v>0</v>
      </c>
    </row>
    <row r="149" spans="1:25" ht="18" customHeight="1" x14ac:dyDescent="0.35">
      <c r="A149" s="8" t="s">
        <v>1579</v>
      </c>
      <c r="B149" s="8" t="s">
        <v>263</v>
      </c>
      <c r="C149" s="8" t="s">
        <v>25</v>
      </c>
      <c r="D149" s="9">
        <v>38</v>
      </c>
      <c r="E149" s="8" t="s">
        <v>63</v>
      </c>
      <c r="F149" s="8" t="s">
        <v>12</v>
      </c>
      <c r="G149" s="10">
        <v>45972</v>
      </c>
      <c r="H149" s="8" t="s">
        <v>26</v>
      </c>
      <c r="I149" s="8" t="s">
        <v>2267</v>
      </c>
      <c r="J149" s="8" t="s">
        <v>80</v>
      </c>
      <c r="K149" s="8" t="s">
        <v>37</v>
      </c>
      <c r="L149" s="8" t="s">
        <v>116</v>
      </c>
      <c r="M149" s="8" t="s">
        <v>30</v>
      </c>
      <c r="N149" s="11">
        <v>98644</v>
      </c>
      <c r="O149" s="11">
        <v>31844</v>
      </c>
      <c r="P149" s="12">
        <v>98.9</v>
      </c>
      <c r="Q149" s="9">
        <v>8</v>
      </c>
      <c r="R149" s="13">
        <v>19</v>
      </c>
      <c r="S149" s="13">
        <v>5</v>
      </c>
      <c r="T149" s="9">
        <v>30</v>
      </c>
      <c r="U149" s="13">
        <v>78</v>
      </c>
      <c r="V149" s="8" t="s">
        <v>31</v>
      </c>
      <c r="W149" s="8"/>
      <c r="X149" s="22">
        <f>IF(V149="Yes",1,0)</f>
        <v>0</v>
      </c>
      <c r="Y149" s="22">
        <f>IF(H149="Active",0,1)</f>
        <v>0</v>
      </c>
    </row>
    <row r="150" spans="1:25" ht="18" customHeight="1" x14ac:dyDescent="0.35">
      <c r="A150" s="14" t="s">
        <v>1988</v>
      </c>
      <c r="B150" s="14" t="s">
        <v>291</v>
      </c>
      <c r="C150" s="14" t="s">
        <v>25</v>
      </c>
      <c r="D150" s="15">
        <v>24</v>
      </c>
      <c r="E150" s="14" t="s">
        <v>93</v>
      </c>
      <c r="F150" s="14" t="s">
        <v>35</v>
      </c>
      <c r="G150" s="16">
        <v>45972</v>
      </c>
      <c r="H150" s="14" t="s">
        <v>26</v>
      </c>
      <c r="I150" s="14" t="s">
        <v>2267</v>
      </c>
      <c r="J150" s="14" t="s">
        <v>2268</v>
      </c>
      <c r="K150" s="14" t="s">
        <v>28</v>
      </c>
      <c r="L150" s="14" t="s">
        <v>38</v>
      </c>
      <c r="M150" s="14" t="s">
        <v>45</v>
      </c>
      <c r="N150" s="17">
        <v>66511</v>
      </c>
      <c r="O150" s="17">
        <v>9124</v>
      </c>
      <c r="P150" s="18">
        <v>91.3</v>
      </c>
      <c r="Q150" s="15">
        <v>7</v>
      </c>
      <c r="R150" s="19">
        <v>6</v>
      </c>
      <c r="S150" s="19">
        <v>1</v>
      </c>
      <c r="T150" s="15">
        <v>39</v>
      </c>
      <c r="U150" s="19">
        <v>87</v>
      </c>
      <c r="V150" s="14" t="s">
        <v>31</v>
      </c>
      <c r="W150" s="14"/>
      <c r="X150" s="14">
        <f>IF(V150="Yes",1,0)</f>
        <v>0</v>
      </c>
      <c r="Y150" s="14">
        <f>IF(H150="Active",0,1)</f>
        <v>0</v>
      </c>
    </row>
    <row r="151" spans="1:25" ht="18" customHeight="1" x14ac:dyDescent="0.35">
      <c r="A151" s="14" t="s">
        <v>2136</v>
      </c>
      <c r="B151" s="14" t="s">
        <v>630</v>
      </c>
      <c r="C151" s="14" t="s">
        <v>34</v>
      </c>
      <c r="D151" s="15">
        <v>25</v>
      </c>
      <c r="E151" s="14" t="s">
        <v>63</v>
      </c>
      <c r="F151" s="14" t="s">
        <v>12</v>
      </c>
      <c r="G151" s="16">
        <v>45972</v>
      </c>
      <c r="H151" s="14" t="s">
        <v>54</v>
      </c>
      <c r="I151" s="14" t="s">
        <v>2267</v>
      </c>
      <c r="J151" s="14" t="s">
        <v>2270</v>
      </c>
      <c r="K151" s="14" t="s">
        <v>28</v>
      </c>
      <c r="L151" s="14" t="s">
        <v>56</v>
      </c>
      <c r="M151" s="14" t="s">
        <v>64</v>
      </c>
      <c r="N151" s="17">
        <v>192735</v>
      </c>
      <c r="O151" s="17">
        <v>10515</v>
      </c>
      <c r="P151" s="18">
        <v>84.8</v>
      </c>
      <c r="Q151" s="15">
        <v>7</v>
      </c>
      <c r="R151" s="19">
        <v>0</v>
      </c>
      <c r="S151" s="19">
        <v>5</v>
      </c>
      <c r="T151" s="15">
        <v>10</v>
      </c>
      <c r="U151" s="19">
        <v>86</v>
      </c>
      <c r="V151" s="14" t="s">
        <v>31</v>
      </c>
      <c r="W151" s="14" t="s">
        <v>123</v>
      </c>
      <c r="X151" s="14">
        <f>IF(V151="Yes",1,0)</f>
        <v>0</v>
      </c>
      <c r="Y151" s="14">
        <f>IF(H151="Active",0,1)</f>
        <v>1</v>
      </c>
    </row>
    <row r="152" spans="1:25" ht="18" customHeight="1" x14ac:dyDescent="0.35">
      <c r="A152" s="8" t="s">
        <v>1123</v>
      </c>
      <c r="B152" s="8" t="s">
        <v>127</v>
      </c>
      <c r="C152" s="8" t="s">
        <v>25</v>
      </c>
      <c r="D152" s="9">
        <v>47</v>
      </c>
      <c r="E152" s="8" t="s">
        <v>2304</v>
      </c>
      <c r="F152" s="8" t="s">
        <v>12</v>
      </c>
      <c r="G152" s="10">
        <v>45971</v>
      </c>
      <c r="H152" s="8" t="s">
        <v>26</v>
      </c>
      <c r="I152" s="8" t="s">
        <v>2267</v>
      </c>
      <c r="J152" s="8" t="s">
        <v>48</v>
      </c>
      <c r="K152" s="8" t="s">
        <v>2271</v>
      </c>
      <c r="L152" s="8" t="s">
        <v>38</v>
      </c>
      <c r="M152" s="8" t="s">
        <v>45</v>
      </c>
      <c r="N152" s="11">
        <v>236581</v>
      </c>
      <c r="O152" s="11">
        <v>40673</v>
      </c>
      <c r="P152" s="12">
        <v>84.7</v>
      </c>
      <c r="Q152" s="9">
        <v>1</v>
      </c>
      <c r="R152" s="13">
        <v>24</v>
      </c>
      <c r="S152" s="13">
        <v>4</v>
      </c>
      <c r="T152" s="9">
        <v>23</v>
      </c>
      <c r="U152" s="13">
        <v>81</v>
      </c>
      <c r="V152" s="8" t="s">
        <v>31</v>
      </c>
      <c r="W152" s="8"/>
      <c r="X152" s="22">
        <f>IF(V152="Yes",1,0)</f>
        <v>0</v>
      </c>
      <c r="Y152" s="22">
        <f>IF(H152="Active",0,1)</f>
        <v>0</v>
      </c>
    </row>
    <row r="153" spans="1:25" ht="18" customHeight="1" x14ac:dyDescent="0.35">
      <c r="A153" s="14" t="s">
        <v>1223</v>
      </c>
      <c r="B153" s="14" t="s">
        <v>104</v>
      </c>
      <c r="C153" s="14" t="s">
        <v>34</v>
      </c>
      <c r="D153" s="15">
        <v>31</v>
      </c>
      <c r="E153" s="14" t="s">
        <v>109</v>
      </c>
      <c r="F153" s="14" t="s">
        <v>12</v>
      </c>
      <c r="G153" s="16">
        <v>45971</v>
      </c>
      <c r="H153" s="14" t="s">
        <v>26</v>
      </c>
      <c r="I153" s="14" t="s">
        <v>36</v>
      </c>
      <c r="J153" s="14" t="s">
        <v>80</v>
      </c>
      <c r="K153" s="14" t="s">
        <v>55</v>
      </c>
      <c r="L153" s="14" t="s">
        <v>116</v>
      </c>
      <c r="M153" s="14" t="s">
        <v>45</v>
      </c>
      <c r="N153" s="17">
        <v>108309</v>
      </c>
      <c r="O153" s="17">
        <v>21179</v>
      </c>
      <c r="P153" s="18">
        <v>99.2</v>
      </c>
      <c r="Q153" s="15">
        <v>1</v>
      </c>
      <c r="R153" s="19">
        <v>20</v>
      </c>
      <c r="S153" s="19">
        <v>4</v>
      </c>
      <c r="T153" s="15">
        <v>25</v>
      </c>
      <c r="U153" s="19">
        <v>60</v>
      </c>
      <c r="V153" s="14" t="s">
        <v>31</v>
      </c>
      <c r="W153" s="14"/>
      <c r="X153" s="14">
        <f>IF(V153="Yes",1,0)</f>
        <v>0</v>
      </c>
      <c r="Y153" s="14">
        <f>IF(H153="Active",0,1)</f>
        <v>0</v>
      </c>
    </row>
    <row r="154" spans="1:25" ht="18" customHeight="1" x14ac:dyDescent="0.35">
      <c r="A154" s="8" t="s">
        <v>1275</v>
      </c>
      <c r="B154" s="8" t="s">
        <v>197</v>
      </c>
      <c r="C154" s="8" t="s">
        <v>34</v>
      </c>
      <c r="D154" s="9">
        <v>37</v>
      </c>
      <c r="E154" s="8" t="s">
        <v>2304</v>
      </c>
      <c r="F154" s="8" t="s">
        <v>76</v>
      </c>
      <c r="G154" s="10">
        <v>45971</v>
      </c>
      <c r="H154" s="8" t="s">
        <v>26</v>
      </c>
      <c r="I154" s="8" t="s">
        <v>27</v>
      </c>
      <c r="J154" s="8" t="s">
        <v>80</v>
      </c>
      <c r="K154" s="8" t="s">
        <v>37</v>
      </c>
      <c r="L154" s="8" t="s">
        <v>116</v>
      </c>
      <c r="M154" s="8" t="s">
        <v>60</v>
      </c>
      <c r="N154" s="11">
        <v>151821</v>
      </c>
      <c r="O154" s="11">
        <v>27814</v>
      </c>
      <c r="P154" s="12">
        <v>91.7</v>
      </c>
      <c r="Q154" s="9">
        <v>7</v>
      </c>
      <c r="R154" s="13">
        <v>17</v>
      </c>
      <c r="S154" s="13">
        <v>2</v>
      </c>
      <c r="T154" s="9">
        <v>37</v>
      </c>
      <c r="U154" s="13">
        <v>82</v>
      </c>
      <c r="V154" s="8" t="s">
        <v>31</v>
      </c>
      <c r="W154" s="8"/>
      <c r="X154" s="22">
        <f>IF(V154="Yes",1,0)</f>
        <v>0</v>
      </c>
      <c r="Y154" s="22">
        <f>IF(H154="Active",0,1)</f>
        <v>0</v>
      </c>
    </row>
    <row r="155" spans="1:25" ht="18" customHeight="1" x14ac:dyDescent="0.35">
      <c r="A155" s="14" t="s">
        <v>1294</v>
      </c>
      <c r="B155" s="14" t="s">
        <v>583</v>
      </c>
      <c r="C155" s="14" t="s">
        <v>34</v>
      </c>
      <c r="D155" s="15">
        <v>22</v>
      </c>
      <c r="E155" s="14" t="s">
        <v>63</v>
      </c>
      <c r="F155" s="14" t="s">
        <v>12</v>
      </c>
      <c r="G155" s="16">
        <v>45971</v>
      </c>
      <c r="H155" s="14" t="s">
        <v>26</v>
      </c>
      <c r="I155" s="14" t="s">
        <v>2267</v>
      </c>
      <c r="J155" s="14" t="s">
        <v>80</v>
      </c>
      <c r="K155" s="14" t="s">
        <v>55</v>
      </c>
      <c r="L155" s="14" t="s">
        <v>56</v>
      </c>
      <c r="M155" s="14" t="s">
        <v>60</v>
      </c>
      <c r="N155" s="17">
        <v>147446</v>
      </c>
      <c r="O155" s="17">
        <v>14084</v>
      </c>
      <c r="P155" s="18">
        <v>88.7</v>
      </c>
      <c r="Q155" s="15">
        <v>1</v>
      </c>
      <c r="R155" s="19">
        <v>30</v>
      </c>
      <c r="S155" s="19">
        <v>5</v>
      </c>
      <c r="T155" s="15">
        <v>8</v>
      </c>
      <c r="U155" s="19">
        <v>72</v>
      </c>
      <c r="V155" s="14" t="s">
        <v>31</v>
      </c>
      <c r="W155" s="14"/>
      <c r="X155" s="14">
        <f>IF(V155="Yes",1,0)</f>
        <v>0</v>
      </c>
      <c r="Y155" s="14">
        <f>IF(H155="Active",0,1)</f>
        <v>0</v>
      </c>
    </row>
    <row r="156" spans="1:25" ht="18" customHeight="1" x14ac:dyDescent="0.35">
      <c r="A156" s="14" t="s">
        <v>1546</v>
      </c>
      <c r="B156" s="14" t="s">
        <v>464</v>
      </c>
      <c r="C156" s="14" t="s">
        <v>25</v>
      </c>
      <c r="D156" s="15">
        <v>40</v>
      </c>
      <c r="E156" s="14" t="s">
        <v>2304</v>
      </c>
      <c r="F156" s="14" t="s">
        <v>72</v>
      </c>
      <c r="G156" s="16">
        <v>45971</v>
      </c>
      <c r="H156" s="14" t="s">
        <v>54</v>
      </c>
      <c r="I156" s="14" t="s">
        <v>2267</v>
      </c>
      <c r="J156" s="14" t="s">
        <v>80</v>
      </c>
      <c r="K156" s="14" t="s">
        <v>73</v>
      </c>
      <c r="L156" s="14" t="s">
        <v>44</v>
      </c>
      <c r="M156" s="14" t="s">
        <v>39</v>
      </c>
      <c r="N156" s="17">
        <v>87007</v>
      </c>
      <c r="O156" s="17">
        <v>15278</v>
      </c>
      <c r="P156" s="18">
        <v>86.9</v>
      </c>
      <c r="Q156" s="15">
        <v>9</v>
      </c>
      <c r="R156" s="19">
        <v>22</v>
      </c>
      <c r="S156" s="19">
        <v>5</v>
      </c>
      <c r="T156" s="15">
        <v>19</v>
      </c>
      <c r="U156" s="19">
        <v>95</v>
      </c>
      <c r="V156" s="14" t="s">
        <v>31</v>
      </c>
      <c r="W156" s="14" t="s">
        <v>123</v>
      </c>
      <c r="X156" s="14">
        <f>IF(V156="Yes",1,0)</f>
        <v>0</v>
      </c>
      <c r="Y156" s="14">
        <f>IF(H156="Active",0,1)</f>
        <v>1</v>
      </c>
    </row>
    <row r="157" spans="1:25" ht="18" customHeight="1" x14ac:dyDescent="0.35">
      <c r="A157" s="14" t="s">
        <v>1870</v>
      </c>
      <c r="B157" s="14" t="s">
        <v>551</v>
      </c>
      <c r="C157" s="14" t="s">
        <v>25</v>
      </c>
      <c r="D157" s="15">
        <v>39</v>
      </c>
      <c r="E157" s="14" t="s">
        <v>109</v>
      </c>
      <c r="F157" s="14" t="s">
        <v>12</v>
      </c>
      <c r="G157" s="16">
        <v>45971</v>
      </c>
      <c r="H157" s="14" t="s">
        <v>26</v>
      </c>
      <c r="I157" s="14" t="s">
        <v>36</v>
      </c>
      <c r="J157" s="14" t="s">
        <v>48</v>
      </c>
      <c r="K157" s="14" t="s">
        <v>37</v>
      </c>
      <c r="L157" s="14" t="s">
        <v>68</v>
      </c>
      <c r="M157" s="14" t="s">
        <v>30</v>
      </c>
      <c r="N157" s="17">
        <v>44861</v>
      </c>
      <c r="O157" s="17">
        <v>49443</v>
      </c>
      <c r="P157" s="18">
        <v>94.4</v>
      </c>
      <c r="Q157" s="15">
        <v>6</v>
      </c>
      <c r="R157" s="19">
        <v>15</v>
      </c>
      <c r="S157" s="19">
        <v>4</v>
      </c>
      <c r="T157" s="15">
        <v>32</v>
      </c>
      <c r="U157" s="19">
        <v>91</v>
      </c>
      <c r="V157" s="14" t="s">
        <v>31</v>
      </c>
      <c r="W157" s="14"/>
      <c r="X157" s="14">
        <f>IF(V157="Yes",1,0)</f>
        <v>0</v>
      </c>
      <c r="Y157" s="14">
        <f>IF(H157="Active",0,1)</f>
        <v>0</v>
      </c>
    </row>
    <row r="158" spans="1:25" ht="18" customHeight="1" x14ac:dyDescent="0.35">
      <c r="A158" s="8" t="s">
        <v>1763</v>
      </c>
      <c r="B158" s="8" t="s">
        <v>254</v>
      </c>
      <c r="C158" s="8" t="s">
        <v>34</v>
      </c>
      <c r="D158" s="9">
        <v>53</v>
      </c>
      <c r="E158" s="8" t="s">
        <v>2304</v>
      </c>
      <c r="F158" s="8" t="s">
        <v>53</v>
      </c>
      <c r="G158" s="10">
        <v>45970</v>
      </c>
      <c r="H158" s="8" t="s">
        <v>54</v>
      </c>
      <c r="I158" s="8" t="s">
        <v>36</v>
      </c>
      <c r="J158" s="8" t="s">
        <v>2269</v>
      </c>
      <c r="K158" s="8" t="s">
        <v>55</v>
      </c>
      <c r="L158" s="8" t="s">
        <v>68</v>
      </c>
      <c r="M158" s="8" t="s">
        <v>39</v>
      </c>
      <c r="N158" s="11">
        <v>213010</v>
      </c>
      <c r="O158" s="11">
        <v>11592</v>
      </c>
      <c r="P158" s="12">
        <v>98.3</v>
      </c>
      <c r="Q158" s="9">
        <v>10</v>
      </c>
      <c r="R158" s="13">
        <v>3</v>
      </c>
      <c r="S158" s="13">
        <v>3</v>
      </c>
      <c r="T158" s="9">
        <v>2</v>
      </c>
      <c r="U158" s="13">
        <v>68</v>
      </c>
      <c r="V158" s="8" t="s">
        <v>31</v>
      </c>
      <c r="W158" s="8" t="s">
        <v>96</v>
      </c>
      <c r="X158" s="22">
        <f>IF(V158="Yes",1,0)</f>
        <v>0</v>
      </c>
      <c r="Y158" s="22">
        <f>IF(H158="Active",0,1)</f>
        <v>1</v>
      </c>
    </row>
    <row r="159" spans="1:25" ht="18" customHeight="1" x14ac:dyDescent="0.35">
      <c r="A159" s="8" t="s">
        <v>1907</v>
      </c>
      <c r="B159" s="8" t="s">
        <v>454</v>
      </c>
      <c r="C159" s="8" t="s">
        <v>25</v>
      </c>
      <c r="D159" s="9">
        <v>60</v>
      </c>
      <c r="E159" s="8" t="s">
        <v>63</v>
      </c>
      <c r="F159" s="8" t="s">
        <v>53</v>
      </c>
      <c r="G159" s="10">
        <v>45969</v>
      </c>
      <c r="H159" s="8" t="s">
        <v>26</v>
      </c>
      <c r="I159" s="8" t="s">
        <v>27</v>
      </c>
      <c r="J159" s="8" t="s">
        <v>2270</v>
      </c>
      <c r="K159" s="8" t="s">
        <v>55</v>
      </c>
      <c r="L159" s="8" t="s">
        <v>38</v>
      </c>
      <c r="M159" s="8" t="s">
        <v>30</v>
      </c>
      <c r="N159" s="11">
        <v>106043</v>
      </c>
      <c r="O159" s="11">
        <v>16407</v>
      </c>
      <c r="P159" s="12">
        <v>93.3</v>
      </c>
      <c r="Q159" s="9">
        <v>3</v>
      </c>
      <c r="R159" s="13">
        <v>20</v>
      </c>
      <c r="S159" s="13">
        <v>5</v>
      </c>
      <c r="T159" s="9">
        <v>4</v>
      </c>
      <c r="U159" s="13">
        <v>65</v>
      </c>
      <c r="V159" s="8" t="s">
        <v>31</v>
      </c>
      <c r="W159" s="8"/>
      <c r="X159" s="22">
        <f>IF(V159="Yes",1,0)</f>
        <v>0</v>
      </c>
      <c r="Y159" s="22">
        <f>IF(H159="Active",0,1)</f>
        <v>0</v>
      </c>
    </row>
    <row r="160" spans="1:25" ht="18" customHeight="1" x14ac:dyDescent="0.35">
      <c r="A160" s="8" t="s">
        <v>223</v>
      </c>
      <c r="B160" s="8" t="s">
        <v>224</v>
      </c>
      <c r="C160" s="8" t="s">
        <v>34</v>
      </c>
      <c r="D160" s="9">
        <v>60</v>
      </c>
      <c r="E160" s="8" t="s">
        <v>93</v>
      </c>
      <c r="F160" s="8" t="s">
        <v>43</v>
      </c>
      <c r="G160" s="10">
        <v>45968</v>
      </c>
      <c r="H160" s="8" t="s">
        <v>26</v>
      </c>
      <c r="I160" s="8" t="s">
        <v>27</v>
      </c>
      <c r="J160" s="8" t="s">
        <v>2268</v>
      </c>
      <c r="K160" s="8" t="s">
        <v>73</v>
      </c>
      <c r="L160" s="8" t="s">
        <v>116</v>
      </c>
      <c r="M160" s="8" t="s">
        <v>60</v>
      </c>
      <c r="N160" s="11">
        <v>94920</v>
      </c>
      <c r="O160" s="11">
        <v>28542</v>
      </c>
      <c r="P160" s="12">
        <v>95.7</v>
      </c>
      <c r="Q160" s="9">
        <v>9</v>
      </c>
      <c r="R160" s="13">
        <v>9</v>
      </c>
      <c r="S160" s="13">
        <v>2</v>
      </c>
      <c r="T160" s="9">
        <v>19</v>
      </c>
      <c r="U160" s="13">
        <v>78</v>
      </c>
      <c r="V160" s="8" t="s">
        <v>69</v>
      </c>
      <c r="W160" s="8"/>
      <c r="X160" s="22">
        <f>IF(V160="Yes",1,0)</f>
        <v>1</v>
      </c>
      <c r="Y160" s="22">
        <f>IF(H160="Active",0,1)</f>
        <v>0</v>
      </c>
    </row>
    <row r="161" spans="1:25" ht="18" customHeight="1" x14ac:dyDescent="0.35">
      <c r="A161" s="14" t="s">
        <v>509</v>
      </c>
      <c r="B161" s="14" t="s">
        <v>51</v>
      </c>
      <c r="C161" s="14" t="s">
        <v>25</v>
      </c>
      <c r="D161" s="15">
        <v>59</v>
      </c>
      <c r="E161" s="14" t="s">
        <v>2304</v>
      </c>
      <c r="F161" s="14" t="s">
        <v>90</v>
      </c>
      <c r="G161" s="16">
        <v>45968</v>
      </c>
      <c r="H161" s="14" t="s">
        <v>26</v>
      </c>
      <c r="I161" s="14" t="s">
        <v>36</v>
      </c>
      <c r="J161" s="14" t="s">
        <v>80</v>
      </c>
      <c r="K161" s="14" t="s">
        <v>2271</v>
      </c>
      <c r="L161" s="14" t="s">
        <v>38</v>
      </c>
      <c r="M161" s="14" t="s">
        <v>39</v>
      </c>
      <c r="N161" s="17">
        <v>116686</v>
      </c>
      <c r="O161" s="17">
        <v>25815</v>
      </c>
      <c r="P161" s="18">
        <v>80.599999999999994</v>
      </c>
      <c r="Q161" s="15">
        <v>8</v>
      </c>
      <c r="R161" s="19">
        <v>6</v>
      </c>
      <c r="S161" s="19">
        <v>5</v>
      </c>
      <c r="T161" s="15">
        <v>18</v>
      </c>
      <c r="U161" s="19">
        <v>91</v>
      </c>
      <c r="V161" s="14" t="s">
        <v>31</v>
      </c>
      <c r="W161" s="14"/>
      <c r="X161" s="14">
        <f>IF(V161="Yes",1,0)</f>
        <v>0</v>
      </c>
      <c r="Y161" s="14">
        <f>IF(H161="Active",0,1)</f>
        <v>0</v>
      </c>
    </row>
    <row r="162" spans="1:25" ht="18" customHeight="1" x14ac:dyDescent="0.35">
      <c r="A162" s="14" t="s">
        <v>770</v>
      </c>
      <c r="B162" s="14" t="s">
        <v>237</v>
      </c>
      <c r="C162" s="14" t="s">
        <v>25</v>
      </c>
      <c r="D162" s="15">
        <v>46</v>
      </c>
      <c r="E162" s="14" t="s">
        <v>52</v>
      </c>
      <c r="F162" s="14" t="s">
        <v>72</v>
      </c>
      <c r="G162" s="16">
        <v>45968</v>
      </c>
      <c r="H162" s="14" t="s">
        <v>26</v>
      </c>
      <c r="I162" s="14" t="s">
        <v>27</v>
      </c>
      <c r="J162" s="14" t="s">
        <v>80</v>
      </c>
      <c r="K162" s="14" t="s">
        <v>2271</v>
      </c>
      <c r="L162" s="14" t="s">
        <v>29</v>
      </c>
      <c r="M162" s="14" t="s">
        <v>60</v>
      </c>
      <c r="N162" s="17">
        <v>146702</v>
      </c>
      <c r="O162" s="17">
        <v>39294</v>
      </c>
      <c r="P162" s="18">
        <v>85.6</v>
      </c>
      <c r="Q162" s="15">
        <v>5</v>
      </c>
      <c r="R162" s="19">
        <v>22</v>
      </c>
      <c r="S162" s="19">
        <v>3</v>
      </c>
      <c r="T162" s="15">
        <v>39</v>
      </c>
      <c r="U162" s="19">
        <v>81</v>
      </c>
      <c r="V162" s="14" t="s">
        <v>31</v>
      </c>
      <c r="W162" s="14"/>
      <c r="X162" s="14">
        <f>IF(V162="Yes",1,0)</f>
        <v>0</v>
      </c>
      <c r="Y162" s="14">
        <f>IF(H162="Active",0,1)</f>
        <v>0</v>
      </c>
    </row>
    <row r="163" spans="1:25" ht="18" customHeight="1" x14ac:dyDescent="0.35">
      <c r="A163" s="14" t="s">
        <v>1906</v>
      </c>
      <c r="B163" s="14" t="s">
        <v>157</v>
      </c>
      <c r="C163" s="14" t="s">
        <v>34</v>
      </c>
      <c r="D163" s="15">
        <v>57</v>
      </c>
      <c r="E163" s="14" t="s">
        <v>2303</v>
      </c>
      <c r="F163" s="14" t="s">
        <v>79</v>
      </c>
      <c r="G163" s="16">
        <v>45968</v>
      </c>
      <c r="H163" s="14" t="s">
        <v>26</v>
      </c>
      <c r="I163" s="14" t="s">
        <v>2267</v>
      </c>
      <c r="J163" s="14" t="s">
        <v>2268</v>
      </c>
      <c r="K163" s="14" t="s">
        <v>28</v>
      </c>
      <c r="L163" s="14" t="s">
        <v>68</v>
      </c>
      <c r="M163" s="14" t="s">
        <v>39</v>
      </c>
      <c r="N163" s="17">
        <v>177005</v>
      </c>
      <c r="O163" s="17">
        <v>26522</v>
      </c>
      <c r="P163" s="18">
        <v>88.2</v>
      </c>
      <c r="Q163" s="15">
        <v>10</v>
      </c>
      <c r="R163" s="19">
        <v>19</v>
      </c>
      <c r="S163" s="19">
        <v>4</v>
      </c>
      <c r="T163" s="15">
        <v>20</v>
      </c>
      <c r="U163" s="19">
        <v>92</v>
      </c>
      <c r="V163" s="14" t="s">
        <v>31</v>
      </c>
      <c r="W163" s="14"/>
      <c r="X163" s="14">
        <f>IF(V163="Yes",1,0)</f>
        <v>0</v>
      </c>
      <c r="Y163" s="14">
        <f>IF(H163="Active",0,1)</f>
        <v>0</v>
      </c>
    </row>
    <row r="164" spans="1:25" ht="18" customHeight="1" x14ac:dyDescent="0.35">
      <c r="A164" s="8" t="s">
        <v>101</v>
      </c>
      <c r="B164" s="8" t="s">
        <v>102</v>
      </c>
      <c r="C164" s="8" t="s">
        <v>25</v>
      </c>
      <c r="D164" s="9">
        <v>36</v>
      </c>
      <c r="E164" s="8" t="s">
        <v>42</v>
      </c>
      <c r="F164" s="8" t="s">
        <v>79</v>
      </c>
      <c r="G164" s="10">
        <v>45967</v>
      </c>
      <c r="H164" s="8" t="s">
        <v>26</v>
      </c>
      <c r="I164" s="8" t="s">
        <v>2267</v>
      </c>
      <c r="J164" s="8" t="s">
        <v>48</v>
      </c>
      <c r="K164" s="8" t="s">
        <v>73</v>
      </c>
      <c r="L164" s="8" t="s">
        <v>68</v>
      </c>
      <c r="M164" s="8" t="s">
        <v>30</v>
      </c>
      <c r="N164" s="11">
        <v>105950</v>
      </c>
      <c r="O164" s="11">
        <v>29720</v>
      </c>
      <c r="P164" s="12">
        <v>98.6</v>
      </c>
      <c r="Q164" s="9">
        <v>1</v>
      </c>
      <c r="R164" s="13">
        <v>7</v>
      </c>
      <c r="S164" s="13">
        <v>5</v>
      </c>
      <c r="T164" s="9">
        <v>11</v>
      </c>
      <c r="U164" s="13">
        <v>65</v>
      </c>
      <c r="V164" s="8" t="s">
        <v>31</v>
      </c>
      <c r="W164" s="8"/>
      <c r="X164" s="22">
        <f>IF(V164="Yes",1,0)</f>
        <v>0</v>
      </c>
      <c r="Y164" s="22">
        <f>IF(H164="Active",0,1)</f>
        <v>0</v>
      </c>
    </row>
    <row r="165" spans="1:25" ht="18" customHeight="1" x14ac:dyDescent="0.35">
      <c r="A165" s="14" t="s">
        <v>229</v>
      </c>
      <c r="B165" s="14" t="s">
        <v>230</v>
      </c>
      <c r="C165" s="14" t="s">
        <v>25</v>
      </c>
      <c r="D165" s="15">
        <v>22</v>
      </c>
      <c r="E165" s="14" t="s">
        <v>86</v>
      </c>
      <c r="F165" s="14" t="s">
        <v>35</v>
      </c>
      <c r="G165" s="16">
        <v>45967</v>
      </c>
      <c r="H165" s="14" t="s">
        <v>26</v>
      </c>
      <c r="I165" s="14" t="s">
        <v>2267</v>
      </c>
      <c r="J165" s="14" t="s">
        <v>48</v>
      </c>
      <c r="K165" s="14" t="s">
        <v>28</v>
      </c>
      <c r="L165" s="14" t="s">
        <v>56</v>
      </c>
      <c r="M165" s="14" t="s">
        <v>39</v>
      </c>
      <c r="N165" s="17">
        <v>157856</v>
      </c>
      <c r="O165" s="17">
        <v>28987</v>
      </c>
      <c r="P165" s="18">
        <v>89.1</v>
      </c>
      <c r="Q165" s="15">
        <v>9</v>
      </c>
      <c r="R165" s="19">
        <v>26</v>
      </c>
      <c r="S165" s="19">
        <v>4</v>
      </c>
      <c r="T165" s="15">
        <v>11</v>
      </c>
      <c r="U165" s="19">
        <v>66</v>
      </c>
      <c r="V165" s="14" t="s">
        <v>31</v>
      </c>
      <c r="W165" s="14"/>
      <c r="X165" s="14">
        <f>IF(V165="Yes",1,0)</f>
        <v>0</v>
      </c>
      <c r="Y165" s="14">
        <f>IF(H165="Active",0,1)</f>
        <v>0</v>
      </c>
    </row>
    <row r="166" spans="1:25" ht="18" customHeight="1" x14ac:dyDescent="0.35">
      <c r="A166" s="8" t="s">
        <v>670</v>
      </c>
      <c r="B166" s="8" t="s">
        <v>222</v>
      </c>
      <c r="C166" s="8" t="s">
        <v>25</v>
      </c>
      <c r="D166" s="9">
        <v>29</v>
      </c>
      <c r="E166" s="8" t="s">
        <v>63</v>
      </c>
      <c r="F166" s="8" t="s">
        <v>43</v>
      </c>
      <c r="G166" s="10">
        <v>45966</v>
      </c>
      <c r="H166" s="8" t="s">
        <v>26</v>
      </c>
      <c r="I166" s="8" t="s">
        <v>27</v>
      </c>
      <c r="J166" s="8" t="s">
        <v>2270</v>
      </c>
      <c r="K166" s="8" t="s">
        <v>37</v>
      </c>
      <c r="L166" s="8" t="s">
        <v>68</v>
      </c>
      <c r="M166" s="8" t="s">
        <v>60</v>
      </c>
      <c r="N166" s="11">
        <v>244933</v>
      </c>
      <c r="O166" s="11">
        <v>15646</v>
      </c>
      <c r="P166" s="12">
        <v>92.3</v>
      </c>
      <c r="Q166" s="9">
        <v>5</v>
      </c>
      <c r="R166" s="13">
        <v>0</v>
      </c>
      <c r="S166" s="13">
        <v>3</v>
      </c>
      <c r="T166" s="9">
        <v>2</v>
      </c>
      <c r="U166" s="13">
        <v>74</v>
      </c>
      <c r="V166" s="8" t="s">
        <v>69</v>
      </c>
      <c r="W166" s="8"/>
      <c r="X166" s="22">
        <f>IF(V166="Yes",1,0)</f>
        <v>1</v>
      </c>
      <c r="Y166" s="22">
        <f>IF(H166="Active",0,1)</f>
        <v>0</v>
      </c>
    </row>
    <row r="167" spans="1:25" ht="18" customHeight="1" x14ac:dyDescent="0.35">
      <c r="A167" s="14" t="s">
        <v>754</v>
      </c>
      <c r="B167" s="14" t="s">
        <v>341</v>
      </c>
      <c r="C167" s="14" t="s">
        <v>34</v>
      </c>
      <c r="D167" s="15">
        <v>53</v>
      </c>
      <c r="E167" s="14" t="s">
        <v>93</v>
      </c>
      <c r="F167" s="14" t="s">
        <v>12</v>
      </c>
      <c r="G167" s="16">
        <v>45966</v>
      </c>
      <c r="H167" s="14" t="s">
        <v>26</v>
      </c>
      <c r="I167" s="14" t="s">
        <v>36</v>
      </c>
      <c r="J167" s="14" t="s">
        <v>80</v>
      </c>
      <c r="K167" s="14" t="s">
        <v>2271</v>
      </c>
      <c r="L167" s="14" t="s">
        <v>68</v>
      </c>
      <c r="M167" s="14" t="s">
        <v>64</v>
      </c>
      <c r="N167" s="17">
        <v>125776</v>
      </c>
      <c r="O167" s="17">
        <v>6292</v>
      </c>
      <c r="P167" s="18">
        <v>82.3</v>
      </c>
      <c r="Q167" s="15">
        <v>6</v>
      </c>
      <c r="R167" s="19">
        <v>21</v>
      </c>
      <c r="S167" s="19">
        <v>5</v>
      </c>
      <c r="T167" s="15">
        <v>11</v>
      </c>
      <c r="U167" s="19">
        <v>82</v>
      </c>
      <c r="V167" s="14" t="s">
        <v>31</v>
      </c>
      <c r="W167" s="14"/>
      <c r="X167" s="14">
        <f>IF(V167="Yes",1,0)</f>
        <v>0</v>
      </c>
      <c r="Y167" s="14">
        <f>IF(H167="Active",0,1)</f>
        <v>0</v>
      </c>
    </row>
    <row r="168" spans="1:25" ht="18" customHeight="1" x14ac:dyDescent="0.35">
      <c r="A168" s="8" t="s">
        <v>797</v>
      </c>
      <c r="B168" s="8" t="s">
        <v>98</v>
      </c>
      <c r="C168" s="8" t="s">
        <v>25</v>
      </c>
      <c r="D168" s="9">
        <v>45</v>
      </c>
      <c r="E168" s="8" t="s">
        <v>67</v>
      </c>
      <c r="F168" s="8" t="s">
        <v>90</v>
      </c>
      <c r="G168" s="10">
        <v>45966</v>
      </c>
      <c r="H168" s="8" t="s">
        <v>26</v>
      </c>
      <c r="I168" s="8" t="s">
        <v>27</v>
      </c>
      <c r="J168" s="8" t="s">
        <v>2270</v>
      </c>
      <c r="K168" s="8" t="s">
        <v>55</v>
      </c>
      <c r="L168" s="8" t="s">
        <v>68</v>
      </c>
      <c r="M168" s="8" t="s">
        <v>60</v>
      </c>
      <c r="N168" s="11">
        <v>173841</v>
      </c>
      <c r="O168" s="11">
        <v>10499</v>
      </c>
      <c r="P168" s="12">
        <v>91.1</v>
      </c>
      <c r="Q168" s="9">
        <v>7</v>
      </c>
      <c r="R168" s="13">
        <v>28</v>
      </c>
      <c r="S168" s="13">
        <v>1</v>
      </c>
      <c r="T168" s="9">
        <v>2</v>
      </c>
      <c r="U168" s="13">
        <v>90</v>
      </c>
      <c r="V168" s="8" t="s">
        <v>31</v>
      </c>
      <c r="W168" s="8"/>
      <c r="X168" s="22">
        <f>IF(V168="Yes",1,0)</f>
        <v>0</v>
      </c>
      <c r="Y168" s="22">
        <f>IF(H168="Active",0,1)</f>
        <v>0</v>
      </c>
    </row>
    <row r="169" spans="1:25" ht="18" customHeight="1" x14ac:dyDescent="0.35">
      <c r="A169" s="8" t="s">
        <v>1095</v>
      </c>
      <c r="B169" s="8" t="s">
        <v>506</v>
      </c>
      <c r="C169" s="8" t="s">
        <v>25</v>
      </c>
      <c r="D169" s="9">
        <v>27</v>
      </c>
      <c r="E169" s="8" t="s">
        <v>67</v>
      </c>
      <c r="F169" s="8" t="s">
        <v>72</v>
      </c>
      <c r="G169" s="10">
        <v>45966</v>
      </c>
      <c r="H169" s="8" t="s">
        <v>54</v>
      </c>
      <c r="I169" s="8" t="s">
        <v>27</v>
      </c>
      <c r="J169" s="8" t="s">
        <v>2269</v>
      </c>
      <c r="K169" s="8" t="s">
        <v>28</v>
      </c>
      <c r="L169" s="8" t="s">
        <v>56</v>
      </c>
      <c r="M169" s="8" t="s">
        <v>45</v>
      </c>
      <c r="N169" s="11">
        <v>121749</v>
      </c>
      <c r="O169" s="11">
        <v>10195</v>
      </c>
      <c r="P169" s="12">
        <v>86.6</v>
      </c>
      <c r="Q169" s="9">
        <v>8</v>
      </c>
      <c r="R169" s="13">
        <v>0</v>
      </c>
      <c r="S169" s="13">
        <v>1</v>
      </c>
      <c r="T169" s="9">
        <v>37</v>
      </c>
      <c r="U169" s="13">
        <v>81</v>
      </c>
      <c r="V169" s="8" t="s">
        <v>31</v>
      </c>
      <c r="W169" s="8" t="s">
        <v>57</v>
      </c>
      <c r="X169" s="22">
        <f>IF(V169="Yes",1,0)</f>
        <v>0</v>
      </c>
      <c r="Y169" s="22">
        <f>IF(H169="Active",0,1)</f>
        <v>1</v>
      </c>
    </row>
    <row r="170" spans="1:25" ht="18" customHeight="1" x14ac:dyDescent="0.35">
      <c r="A170" s="8" t="s">
        <v>1783</v>
      </c>
      <c r="B170" s="8" t="s">
        <v>171</v>
      </c>
      <c r="C170" s="8" t="s">
        <v>25</v>
      </c>
      <c r="D170" s="9">
        <v>47</v>
      </c>
      <c r="E170" s="8" t="s">
        <v>86</v>
      </c>
      <c r="F170" s="8" t="s">
        <v>76</v>
      </c>
      <c r="G170" s="10">
        <v>45966</v>
      </c>
      <c r="H170" s="8" t="s">
        <v>26</v>
      </c>
      <c r="I170" s="8" t="s">
        <v>36</v>
      </c>
      <c r="J170" s="8" t="s">
        <v>2270</v>
      </c>
      <c r="K170" s="8" t="s">
        <v>73</v>
      </c>
      <c r="L170" s="8" t="s">
        <v>44</v>
      </c>
      <c r="M170" s="8" t="s">
        <v>45</v>
      </c>
      <c r="N170" s="11">
        <v>151138</v>
      </c>
      <c r="O170" s="11">
        <v>21770</v>
      </c>
      <c r="P170" s="12">
        <v>94.6</v>
      </c>
      <c r="Q170" s="9">
        <v>0</v>
      </c>
      <c r="R170" s="13">
        <v>6</v>
      </c>
      <c r="S170" s="13">
        <v>3</v>
      </c>
      <c r="T170" s="9">
        <v>24</v>
      </c>
      <c r="U170" s="13">
        <v>82</v>
      </c>
      <c r="V170" s="8" t="s">
        <v>31</v>
      </c>
      <c r="W170" s="8"/>
      <c r="X170" s="22">
        <f>IF(V170="Yes",1,0)</f>
        <v>0</v>
      </c>
      <c r="Y170" s="22">
        <f>IF(H170="Active",0,1)</f>
        <v>0</v>
      </c>
    </row>
    <row r="171" spans="1:25" ht="18" customHeight="1" x14ac:dyDescent="0.35">
      <c r="A171" s="14" t="s">
        <v>2222</v>
      </c>
      <c r="B171" s="14" t="s">
        <v>379</v>
      </c>
      <c r="C171" s="14" t="s">
        <v>34</v>
      </c>
      <c r="D171" s="15">
        <v>59</v>
      </c>
      <c r="E171" s="14" t="s">
        <v>63</v>
      </c>
      <c r="F171" s="14" t="s">
        <v>72</v>
      </c>
      <c r="G171" s="16">
        <v>45966</v>
      </c>
      <c r="H171" s="14" t="s">
        <v>26</v>
      </c>
      <c r="I171" s="14" t="s">
        <v>2267</v>
      </c>
      <c r="J171" s="14" t="s">
        <v>2269</v>
      </c>
      <c r="K171" s="14" t="s">
        <v>55</v>
      </c>
      <c r="L171" s="14" t="s">
        <v>116</v>
      </c>
      <c r="M171" s="14" t="s">
        <v>45</v>
      </c>
      <c r="N171" s="17">
        <v>226150</v>
      </c>
      <c r="O171" s="17">
        <v>27375</v>
      </c>
      <c r="P171" s="18">
        <v>97.8</v>
      </c>
      <c r="Q171" s="15">
        <v>4</v>
      </c>
      <c r="R171" s="19">
        <v>19</v>
      </c>
      <c r="S171" s="19">
        <v>4</v>
      </c>
      <c r="T171" s="15">
        <v>35</v>
      </c>
      <c r="U171" s="19">
        <v>86</v>
      </c>
      <c r="V171" s="14" t="s">
        <v>31</v>
      </c>
      <c r="W171" s="14"/>
      <c r="X171" s="14">
        <f>IF(V171="Yes",1,0)</f>
        <v>0</v>
      </c>
      <c r="Y171" s="14">
        <f>IF(H171="Active",0,1)</f>
        <v>0</v>
      </c>
    </row>
    <row r="172" spans="1:25" ht="18" customHeight="1" x14ac:dyDescent="0.35">
      <c r="A172" s="14" t="s">
        <v>1120</v>
      </c>
      <c r="B172" s="14" t="s">
        <v>551</v>
      </c>
      <c r="C172" s="14" t="s">
        <v>34</v>
      </c>
      <c r="D172" s="15">
        <v>23</v>
      </c>
      <c r="E172" s="14" t="s">
        <v>93</v>
      </c>
      <c r="F172" s="14" t="s">
        <v>79</v>
      </c>
      <c r="G172" s="16">
        <v>45965</v>
      </c>
      <c r="H172" s="14" t="s">
        <v>26</v>
      </c>
      <c r="I172" s="14" t="s">
        <v>2267</v>
      </c>
      <c r="J172" s="14" t="s">
        <v>2270</v>
      </c>
      <c r="K172" s="14" t="s">
        <v>37</v>
      </c>
      <c r="L172" s="14" t="s">
        <v>87</v>
      </c>
      <c r="M172" s="14" t="s">
        <v>64</v>
      </c>
      <c r="N172" s="17">
        <v>248957</v>
      </c>
      <c r="O172" s="17">
        <v>38630</v>
      </c>
      <c r="P172" s="18">
        <v>90.9</v>
      </c>
      <c r="Q172" s="15">
        <v>7</v>
      </c>
      <c r="R172" s="19">
        <v>0</v>
      </c>
      <c r="S172" s="19">
        <v>5</v>
      </c>
      <c r="T172" s="15">
        <v>5</v>
      </c>
      <c r="U172" s="19">
        <v>86</v>
      </c>
      <c r="V172" s="14" t="s">
        <v>31</v>
      </c>
      <c r="W172" s="14"/>
      <c r="X172" s="14">
        <f>IF(V172="Yes",1,0)</f>
        <v>0</v>
      </c>
      <c r="Y172" s="14">
        <f>IF(H172="Active",0,1)</f>
        <v>0</v>
      </c>
    </row>
    <row r="173" spans="1:25" ht="18" customHeight="1" x14ac:dyDescent="0.35">
      <c r="A173" s="8" t="s">
        <v>1168</v>
      </c>
      <c r="B173" s="8" t="s">
        <v>518</v>
      </c>
      <c r="C173" s="8" t="s">
        <v>34</v>
      </c>
      <c r="D173" s="9">
        <v>24</v>
      </c>
      <c r="E173" s="8" t="s">
        <v>86</v>
      </c>
      <c r="F173" s="8" t="s">
        <v>35</v>
      </c>
      <c r="G173" s="10">
        <v>45965</v>
      </c>
      <c r="H173" s="8" t="s">
        <v>26</v>
      </c>
      <c r="I173" s="8" t="s">
        <v>27</v>
      </c>
      <c r="J173" s="8" t="s">
        <v>2268</v>
      </c>
      <c r="K173" s="8" t="s">
        <v>73</v>
      </c>
      <c r="L173" s="8" t="s">
        <v>29</v>
      </c>
      <c r="M173" s="8" t="s">
        <v>60</v>
      </c>
      <c r="N173" s="11">
        <v>199808</v>
      </c>
      <c r="O173" s="11">
        <v>27714</v>
      </c>
      <c r="P173" s="12">
        <v>82.8</v>
      </c>
      <c r="Q173" s="9">
        <v>7</v>
      </c>
      <c r="R173" s="13">
        <v>1</v>
      </c>
      <c r="S173" s="13">
        <v>5</v>
      </c>
      <c r="T173" s="9">
        <v>8</v>
      </c>
      <c r="U173" s="13">
        <v>77</v>
      </c>
      <c r="V173" s="8" t="s">
        <v>31</v>
      </c>
      <c r="W173" s="8"/>
      <c r="X173" s="22">
        <f>IF(V173="Yes",1,0)</f>
        <v>0</v>
      </c>
      <c r="Y173" s="22">
        <f>IF(H173="Active",0,1)</f>
        <v>0</v>
      </c>
    </row>
    <row r="174" spans="1:25" ht="18" customHeight="1" x14ac:dyDescent="0.35">
      <c r="A174" s="8" t="s">
        <v>1077</v>
      </c>
      <c r="B174" s="8" t="s">
        <v>41</v>
      </c>
      <c r="C174" s="8" t="s">
        <v>34</v>
      </c>
      <c r="D174" s="9">
        <v>35</v>
      </c>
      <c r="E174" s="8" t="s">
        <v>67</v>
      </c>
      <c r="F174" s="8" t="s">
        <v>72</v>
      </c>
      <c r="G174" s="10">
        <v>45964</v>
      </c>
      <c r="H174" s="8" t="s">
        <v>26</v>
      </c>
      <c r="I174" s="8" t="s">
        <v>36</v>
      </c>
      <c r="J174" s="8" t="s">
        <v>2269</v>
      </c>
      <c r="K174" s="8" t="s">
        <v>55</v>
      </c>
      <c r="L174" s="8" t="s">
        <v>87</v>
      </c>
      <c r="M174" s="8" t="s">
        <v>30</v>
      </c>
      <c r="N174" s="11">
        <v>180963</v>
      </c>
      <c r="O174" s="11">
        <v>9596</v>
      </c>
      <c r="P174" s="12">
        <v>80.5</v>
      </c>
      <c r="Q174" s="9">
        <v>2</v>
      </c>
      <c r="R174" s="13">
        <v>19</v>
      </c>
      <c r="S174" s="13">
        <v>1</v>
      </c>
      <c r="T174" s="9">
        <v>22</v>
      </c>
      <c r="U174" s="13">
        <v>75</v>
      </c>
      <c r="V174" s="8" t="s">
        <v>31</v>
      </c>
      <c r="W174" s="8"/>
      <c r="X174" s="22">
        <f>IF(V174="Yes",1,0)</f>
        <v>0</v>
      </c>
      <c r="Y174" s="22">
        <f>IF(H174="Active",0,1)</f>
        <v>0</v>
      </c>
    </row>
    <row r="175" spans="1:25" ht="18" customHeight="1" x14ac:dyDescent="0.35">
      <c r="A175" s="8" t="s">
        <v>1115</v>
      </c>
      <c r="B175" s="8" t="s">
        <v>526</v>
      </c>
      <c r="C175" s="8" t="s">
        <v>34</v>
      </c>
      <c r="D175" s="9">
        <v>48</v>
      </c>
      <c r="E175" s="8" t="s">
        <v>93</v>
      </c>
      <c r="F175" s="8" t="s">
        <v>76</v>
      </c>
      <c r="G175" s="10">
        <v>45964</v>
      </c>
      <c r="H175" s="8" t="s">
        <v>26</v>
      </c>
      <c r="I175" s="8" t="s">
        <v>27</v>
      </c>
      <c r="J175" s="8" t="s">
        <v>2268</v>
      </c>
      <c r="K175" s="8" t="s">
        <v>37</v>
      </c>
      <c r="L175" s="8" t="s">
        <v>29</v>
      </c>
      <c r="M175" s="8" t="s">
        <v>39</v>
      </c>
      <c r="N175" s="11">
        <v>90361</v>
      </c>
      <c r="O175" s="11">
        <v>31165</v>
      </c>
      <c r="P175" s="12">
        <v>97.1</v>
      </c>
      <c r="Q175" s="9">
        <v>7</v>
      </c>
      <c r="R175" s="13">
        <v>15</v>
      </c>
      <c r="S175" s="13">
        <v>3</v>
      </c>
      <c r="T175" s="9">
        <v>25</v>
      </c>
      <c r="U175" s="13">
        <v>83</v>
      </c>
      <c r="V175" s="8" t="s">
        <v>31</v>
      </c>
      <c r="W175" s="8"/>
      <c r="X175" s="22">
        <f>IF(V175="Yes",1,0)</f>
        <v>0</v>
      </c>
      <c r="Y175" s="22">
        <f>IF(H175="Active",0,1)</f>
        <v>0</v>
      </c>
    </row>
    <row r="176" spans="1:25" ht="18" customHeight="1" x14ac:dyDescent="0.35">
      <c r="A176" s="14" t="s">
        <v>1562</v>
      </c>
      <c r="B176" s="14" t="s">
        <v>390</v>
      </c>
      <c r="C176" s="14" t="s">
        <v>34</v>
      </c>
      <c r="D176" s="15">
        <v>23</v>
      </c>
      <c r="E176" s="14" t="s">
        <v>52</v>
      </c>
      <c r="F176" s="14" t="s">
        <v>35</v>
      </c>
      <c r="G176" s="16">
        <v>45964</v>
      </c>
      <c r="H176" s="14" t="s">
        <v>26</v>
      </c>
      <c r="I176" s="14" t="s">
        <v>36</v>
      </c>
      <c r="J176" s="14" t="s">
        <v>2269</v>
      </c>
      <c r="K176" s="14" t="s">
        <v>55</v>
      </c>
      <c r="L176" s="14" t="s">
        <v>56</v>
      </c>
      <c r="M176" s="14" t="s">
        <v>45</v>
      </c>
      <c r="N176" s="17">
        <v>37990</v>
      </c>
      <c r="O176" s="17">
        <v>25768</v>
      </c>
      <c r="P176" s="18">
        <v>89.4</v>
      </c>
      <c r="Q176" s="15">
        <v>1</v>
      </c>
      <c r="R176" s="19">
        <v>20</v>
      </c>
      <c r="S176" s="19">
        <v>4</v>
      </c>
      <c r="T176" s="15">
        <v>34</v>
      </c>
      <c r="U176" s="19">
        <v>77</v>
      </c>
      <c r="V176" s="14" t="s">
        <v>69</v>
      </c>
      <c r="W176" s="14"/>
      <c r="X176" s="14">
        <f>IF(V176="Yes",1,0)</f>
        <v>1</v>
      </c>
      <c r="Y176" s="14">
        <f>IF(H176="Active",0,1)</f>
        <v>0</v>
      </c>
    </row>
    <row r="177" spans="1:25" ht="18" customHeight="1" x14ac:dyDescent="0.35">
      <c r="A177" s="8" t="s">
        <v>1717</v>
      </c>
      <c r="B177" s="8" t="s">
        <v>258</v>
      </c>
      <c r="C177" s="8" t="s">
        <v>25</v>
      </c>
      <c r="D177" s="9">
        <v>29</v>
      </c>
      <c r="E177" s="8" t="s">
        <v>67</v>
      </c>
      <c r="F177" s="8" t="s">
        <v>90</v>
      </c>
      <c r="G177" s="10">
        <v>45964</v>
      </c>
      <c r="H177" s="8" t="s">
        <v>26</v>
      </c>
      <c r="I177" s="8" t="s">
        <v>36</v>
      </c>
      <c r="J177" s="8" t="s">
        <v>2268</v>
      </c>
      <c r="K177" s="8" t="s">
        <v>55</v>
      </c>
      <c r="L177" s="8" t="s">
        <v>68</v>
      </c>
      <c r="M177" s="8" t="s">
        <v>64</v>
      </c>
      <c r="N177" s="11">
        <v>61486</v>
      </c>
      <c r="O177" s="11">
        <v>8213</v>
      </c>
      <c r="P177" s="12">
        <v>87.1</v>
      </c>
      <c r="Q177" s="9">
        <v>3</v>
      </c>
      <c r="R177" s="13">
        <v>8</v>
      </c>
      <c r="S177" s="13">
        <v>4</v>
      </c>
      <c r="T177" s="9">
        <v>16</v>
      </c>
      <c r="U177" s="13">
        <v>80</v>
      </c>
      <c r="V177" s="8" t="s">
        <v>69</v>
      </c>
      <c r="W177" s="8"/>
      <c r="X177" s="22">
        <f>IF(V177="Yes",1,0)</f>
        <v>1</v>
      </c>
      <c r="Y177" s="22">
        <f>IF(H177="Active",0,1)</f>
        <v>0</v>
      </c>
    </row>
    <row r="178" spans="1:25" ht="18" customHeight="1" x14ac:dyDescent="0.35">
      <c r="A178" s="8" t="s">
        <v>1731</v>
      </c>
      <c r="B178" s="8" t="s">
        <v>177</v>
      </c>
      <c r="C178" s="8" t="s">
        <v>25</v>
      </c>
      <c r="D178" s="9">
        <v>34</v>
      </c>
      <c r="E178" s="8" t="s">
        <v>42</v>
      </c>
      <c r="F178" s="8" t="s">
        <v>12</v>
      </c>
      <c r="G178" s="10">
        <v>45964</v>
      </c>
      <c r="H178" s="8" t="s">
        <v>26</v>
      </c>
      <c r="I178" s="8" t="s">
        <v>2267</v>
      </c>
      <c r="J178" s="8" t="s">
        <v>2269</v>
      </c>
      <c r="K178" s="8" t="s">
        <v>28</v>
      </c>
      <c r="L178" s="8" t="s">
        <v>56</v>
      </c>
      <c r="M178" s="8" t="s">
        <v>60</v>
      </c>
      <c r="N178" s="11">
        <v>157067</v>
      </c>
      <c r="O178" s="11">
        <v>12748</v>
      </c>
      <c r="P178" s="12">
        <v>88.8</v>
      </c>
      <c r="Q178" s="9">
        <v>7</v>
      </c>
      <c r="R178" s="13">
        <v>30</v>
      </c>
      <c r="S178" s="13">
        <v>2</v>
      </c>
      <c r="T178" s="9">
        <v>8</v>
      </c>
      <c r="U178" s="13">
        <v>85</v>
      </c>
      <c r="V178" s="8" t="s">
        <v>31</v>
      </c>
      <c r="W178" s="8"/>
      <c r="X178" s="22">
        <f>IF(V178="Yes",1,0)</f>
        <v>0</v>
      </c>
      <c r="Y178" s="22">
        <f>IF(H178="Active",0,1)</f>
        <v>0</v>
      </c>
    </row>
    <row r="179" spans="1:25" ht="18" customHeight="1" x14ac:dyDescent="0.35">
      <c r="A179" s="14" t="s">
        <v>456</v>
      </c>
      <c r="B179" s="14" t="s">
        <v>41</v>
      </c>
      <c r="C179" s="14" t="s">
        <v>34</v>
      </c>
      <c r="D179" s="15">
        <v>25</v>
      </c>
      <c r="E179" s="14" t="s">
        <v>2303</v>
      </c>
      <c r="F179" s="14" t="s">
        <v>35</v>
      </c>
      <c r="G179" s="16">
        <v>45962</v>
      </c>
      <c r="H179" s="14" t="s">
        <v>26</v>
      </c>
      <c r="I179" s="14" t="s">
        <v>27</v>
      </c>
      <c r="J179" s="14" t="s">
        <v>2268</v>
      </c>
      <c r="K179" s="14" t="s">
        <v>73</v>
      </c>
      <c r="L179" s="14" t="s">
        <v>29</v>
      </c>
      <c r="M179" s="14" t="s">
        <v>39</v>
      </c>
      <c r="N179" s="17">
        <v>172666</v>
      </c>
      <c r="O179" s="17">
        <v>46058</v>
      </c>
      <c r="P179" s="18">
        <v>86.1</v>
      </c>
      <c r="Q179" s="15">
        <v>1</v>
      </c>
      <c r="R179" s="19">
        <v>12</v>
      </c>
      <c r="S179" s="19">
        <v>5</v>
      </c>
      <c r="T179" s="15">
        <v>27</v>
      </c>
      <c r="U179" s="19">
        <v>76</v>
      </c>
      <c r="V179" s="14" t="s">
        <v>31</v>
      </c>
      <c r="W179" s="14"/>
      <c r="X179" s="14">
        <f>IF(V179="Yes",1,0)</f>
        <v>0</v>
      </c>
      <c r="Y179" s="14">
        <f>IF(H179="Active",0,1)</f>
        <v>0</v>
      </c>
    </row>
    <row r="180" spans="1:25" ht="18" customHeight="1" x14ac:dyDescent="0.35">
      <c r="A180" s="14" t="s">
        <v>1878</v>
      </c>
      <c r="B180" s="14" t="s">
        <v>432</v>
      </c>
      <c r="C180" s="14" t="s">
        <v>25</v>
      </c>
      <c r="D180" s="15">
        <v>23</v>
      </c>
      <c r="E180" s="14" t="s">
        <v>2303</v>
      </c>
      <c r="F180" s="14" t="s">
        <v>79</v>
      </c>
      <c r="G180" s="16">
        <v>45962</v>
      </c>
      <c r="H180" s="14" t="s">
        <v>26</v>
      </c>
      <c r="I180" s="14" t="s">
        <v>2267</v>
      </c>
      <c r="J180" s="14" t="s">
        <v>48</v>
      </c>
      <c r="K180" s="14" t="s">
        <v>37</v>
      </c>
      <c r="L180" s="14" t="s">
        <v>38</v>
      </c>
      <c r="M180" s="14" t="s">
        <v>45</v>
      </c>
      <c r="N180" s="17">
        <v>117268</v>
      </c>
      <c r="O180" s="17">
        <v>49689</v>
      </c>
      <c r="P180" s="18">
        <v>80.8</v>
      </c>
      <c r="Q180" s="15">
        <v>4</v>
      </c>
      <c r="R180" s="19">
        <v>4</v>
      </c>
      <c r="S180" s="19">
        <v>4</v>
      </c>
      <c r="T180" s="15">
        <v>25</v>
      </c>
      <c r="U180" s="19">
        <v>74</v>
      </c>
      <c r="V180" s="14" t="s">
        <v>31</v>
      </c>
      <c r="W180" s="14"/>
      <c r="X180" s="14">
        <f>IF(V180="Yes",1,0)</f>
        <v>0</v>
      </c>
      <c r="Y180" s="14">
        <f>IF(H180="Active",0,1)</f>
        <v>0</v>
      </c>
    </row>
    <row r="181" spans="1:25" ht="18" customHeight="1" x14ac:dyDescent="0.35">
      <c r="A181" s="14" t="s">
        <v>1908</v>
      </c>
      <c r="B181" s="14" t="s">
        <v>293</v>
      </c>
      <c r="C181" s="14" t="s">
        <v>34</v>
      </c>
      <c r="D181" s="15">
        <v>25</v>
      </c>
      <c r="E181" s="14" t="s">
        <v>52</v>
      </c>
      <c r="F181" s="14" t="s">
        <v>12</v>
      </c>
      <c r="G181" s="16">
        <v>45962</v>
      </c>
      <c r="H181" s="14" t="s">
        <v>26</v>
      </c>
      <c r="I181" s="14" t="s">
        <v>27</v>
      </c>
      <c r="J181" s="14" t="s">
        <v>2270</v>
      </c>
      <c r="K181" s="14" t="s">
        <v>73</v>
      </c>
      <c r="L181" s="14" t="s">
        <v>29</v>
      </c>
      <c r="M181" s="14" t="s">
        <v>39</v>
      </c>
      <c r="N181" s="17">
        <v>144595</v>
      </c>
      <c r="O181" s="17">
        <v>31350</v>
      </c>
      <c r="P181" s="18">
        <v>90.4</v>
      </c>
      <c r="Q181" s="15">
        <v>7</v>
      </c>
      <c r="R181" s="19">
        <v>29</v>
      </c>
      <c r="S181" s="19">
        <v>5</v>
      </c>
      <c r="T181" s="15">
        <v>17</v>
      </c>
      <c r="U181" s="19">
        <v>78</v>
      </c>
      <c r="V181" s="14" t="s">
        <v>69</v>
      </c>
      <c r="W181" s="14"/>
      <c r="X181" s="14">
        <f>IF(V181="Yes",1,0)</f>
        <v>1</v>
      </c>
      <c r="Y181" s="14">
        <f>IF(H181="Active",0,1)</f>
        <v>0</v>
      </c>
    </row>
    <row r="182" spans="1:25" ht="18" customHeight="1" x14ac:dyDescent="0.35">
      <c r="A182" s="14" t="s">
        <v>335</v>
      </c>
      <c r="B182" s="14" t="s">
        <v>256</v>
      </c>
      <c r="C182" s="14" t="s">
        <v>25</v>
      </c>
      <c r="D182" s="15">
        <v>42</v>
      </c>
      <c r="E182" s="14" t="s">
        <v>93</v>
      </c>
      <c r="F182" s="14" t="s">
        <v>72</v>
      </c>
      <c r="G182" s="16">
        <v>45961</v>
      </c>
      <c r="H182" s="14" t="s">
        <v>26</v>
      </c>
      <c r="I182" s="14" t="s">
        <v>2267</v>
      </c>
      <c r="J182" s="14" t="s">
        <v>2268</v>
      </c>
      <c r="K182" s="14" t="s">
        <v>73</v>
      </c>
      <c r="L182" s="14" t="s">
        <v>49</v>
      </c>
      <c r="M182" s="14" t="s">
        <v>45</v>
      </c>
      <c r="N182" s="17">
        <v>42166</v>
      </c>
      <c r="O182" s="17">
        <v>20548</v>
      </c>
      <c r="P182" s="18">
        <v>98</v>
      </c>
      <c r="Q182" s="15">
        <v>0</v>
      </c>
      <c r="R182" s="19">
        <v>26</v>
      </c>
      <c r="S182" s="19">
        <v>4</v>
      </c>
      <c r="T182" s="15">
        <v>4</v>
      </c>
      <c r="U182" s="19">
        <v>94</v>
      </c>
      <c r="V182" s="14" t="s">
        <v>31</v>
      </c>
      <c r="W182" s="14"/>
      <c r="X182" s="14">
        <f>IF(V182="Yes",1,0)</f>
        <v>0</v>
      </c>
      <c r="Y182" s="14">
        <f>IF(H182="Active",0,1)</f>
        <v>0</v>
      </c>
    </row>
    <row r="183" spans="1:25" ht="18" customHeight="1" x14ac:dyDescent="0.35">
      <c r="A183" s="14" t="s">
        <v>1016</v>
      </c>
      <c r="B183" s="14" t="s">
        <v>548</v>
      </c>
      <c r="C183" s="14" t="s">
        <v>34</v>
      </c>
      <c r="D183" s="15">
        <v>23</v>
      </c>
      <c r="E183" s="14" t="s">
        <v>93</v>
      </c>
      <c r="F183" s="14" t="s">
        <v>35</v>
      </c>
      <c r="G183" s="16">
        <v>45961</v>
      </c>
      <c r="H183" s="14" t="s">
        <v>26</v>
      </c>
      <c r="I183" s="14" t="s">
        <v>2267</v>
      </c>
      <c r="J183" s="14" t="s">
        <v>2268</v>
      </c>
      <c r="K183" s="14" t="s">
        <v>73</v>
      </c>
      <c r="L183" s="14" t="s">
        <v>29</v>
      </c>
      <c r="M183" s="14" t="s">
        <v>30</v>
      </c>
      <c r="N183" s="17">
        <v>99385</v>
      </c>
      <c r="O183" s="17">
        <v>38569</v>
      </c>
      <c r="P183" s="18">
        <v>99.4</v>
      </c>
      <c r="Q183" s="15">
        <v>10</v>
      </c>
      <c r="R183" s="19">
        <v>8</v>
      </c>
      <c r="S183" s="19">
        <v>2</v>
      </c>
      <c r="T183" s="15">
        <v>16</v>
      </c>
      <c r="U183" s="19">
        <v>70</v>
      </c>
      <c r="V183" s="14" t="s">
        <v>31</v>
      </c>
      <c r="W183" s="14"/>
      <c r="X183" s="14">
        <f>IF(V183="Yes",1,0)</f>
        <v>0</v>
      </c>
      <c r="Y183" s="14">
        <f>IF(H183="Active",0,1)</f>
        <v>0</v>
      </c>
    </row>
    <row r="184" spans="1:25" ht="18" customHeight="1" x14ac:dyDescent="0.35">
      <c r="A184" s="8" t="s">
        <v>1228</v>
      </c>
      <c r="B184" s="8" t="s">
        <v>403</v>
      </c>
      <c r="C184" s="8" t="s">
        <v>25</v>
      </c>
      <c r="D184" s="9">
        <v>56</v>
      </c>
      <c r="E184" s="8" t="s">
        <v>2304</v>
      </c>
      <c r="F184" s="8" t="s">
        <v>90</v>
      </c>
      <c r="G184" s="10">
        <v>45961</v>
      </c>
      <c r="H184" s="8" t="s">
        <v>26</v>
      </c>
      <c r="I184" s="8" t="s">
        <v>2267</v>
      </c>
      <c r="J184" s="8" t="s">
        <v>48</v>
      </c>
      <c r="K184" s="8" t="s">
        <v>73</v>
      </c>
      <c r="L184" s="8" t="s">
        <v>38</v>
      </c>
      <c r="M184" s="8" t="s">
        <v>60</v>
      </c>
      <c r="N184" s="11">
        <v>132605</v>
      </c>
      <c r="O184" s="11">
        <v>27683</v>
      </c>
      <c r="P184" s="12">
        <v>96.2</v>
      </c>
      <c r="Q184" s="9">
        <v>9</v>
      </c>
      <c r="R184" s="13">
        <v>28</v>
      </c>
      <c r="S184" s="13">
        <v>3</v>
      </c>
      <c r="T184" s="9">
        <v>12</v>
      </c>
      <c r="U184" s="13">
        <v>92</v>
      </c>
      <c r="V184" s="8" t="s">
        <v>31</v>
      </c>
      <c r="W184" s="8"/>
      <c r="X184" s="22">
        <f>IF(V184="Yes",1,0)</f>
        <v>0</v>
      </c>
      <c r="Y184" s="22">
        <f>IF(H184="Active",0,1)</f>
        <v>0</v>
      </c>
    </row>
    <row r="185" spans="1:25" ht="18" customHeight="1" x14ac:dyDescent="0.35">
      <c r="A185" s="8" t="s">
        <v>1435</v>
      </c>
      <c r="B185" s="8" t="s">
        <v>409</v>
      </c>
      <c r="C185" s="8" t="s">
        <v>25</v>
      </c>
      <c r="D185" s="9">
        <v>60</v>
      </c>
      <c r="E185" s="8" t="s">
        <v>86</v>
      </c>
      <c r="F185" s="8" t="s">
        <v>76</v>
      </c>
      <c r="G185" s="10">
        <v>45961</v>
      </c>
      <c r="H185" s="8" t="s">
        <v>26</v>
      </c>
      <c r="I185" s="8" t="s">
        <v>36</v>
      </c>
      <c r="J185" s="8" t="s">
        <v>2268</v>
      </c>
      <c r="K185" s="8" t="s">
        <v>55</v>
      </c>
      <c r="L185" s="8" t="s">
        <v>49</v>
      </c>
      <c r="M185" s="8" t="s">
        <v>64</v>
      </c>
      <c r="N185" s="11">
        <v>68107</v>
      </c>
      <c r="O185" s="11">
        <v>25595</v>
      </c>
      <c r="P185" s="12">
        <v>92.8</v>
      </c>
      <c r="Q185" s="9">
        <v>6</v>
      </c>
      <c r="R185" s="13">
        <v>22</v>
      </c>
      <c r="S185" s="13">
        <v>3</v>
      </c>
      <c r="T185" s="9">
        <v>21</v>
      </c>
      <c r="U185" s="13">
        <v>68</v>
      </c>
      <c r="V185" s="8" t="s">
        <v>31</v>
      </c>
      <c r="W185" s="8"/>
      <c r="X185" s="22">
        <f>IF(V185="Yes",1,0)</f>
        <v>0</v>
      </c>
      <c r="Y185" s="22">
        <f>IF(H185="Active",0,1)</f>
        <v>0</v>
      </c>
    </row>
    <row r="186" spans="1:25" ht="18" customHeight="1" x14ac:dyDescent="0.35">
      <c r="A186" s="8" t="s">
        <v>1485</v>
      </c>
      <c r="B186" s="8" t="s">
        <v>230</v>
      </c>
      <c r="C186" s="8" t="s">
        <v>34</v>
      </c>
      <c r="D186" s="9">
        <v>29</v>
      </c>
      <c r="E186" s="8" t="s">
        <v>2304</v>
      </c>
      <c r="F186" s="8" t="s">
        <v>90</v>
      </c>
      <c r="G186" s="10">
        <v>45961</v>
      </c>
      <c r="H186" s="8" t="s">
        <v>26</v>
      </c>
      <c r="I186" s="8" t="s">
        <v>2267</v>
      </c>
      <c r="J186" s="8" t="s">
        <v>2270</v>
      </c>
      <c r="K186" s="8" t="s">
        <v>28</v>
      </c>
      <c r="L186" s="8" t="s">
        <v>68</v>
      </c>
      <c r="M186" s="8" t="s">
        <v>30</v>
      </c>
      <c r="N186" s="11">
        <v>136087</v>
      </c>
      <c r="O186" s="11">
        <v>34550</v>
      </c>
      <c r="P186" s="12">
        <v>85.6</v>
      </c>
      <c r="Q186" s="9">
        <v>5</v>
      </c>
      <c r="R186" s="13">
        <v>0</v>
      </c>
      <c r="S186" s="13">
        <v>4</v>
      </c>
      <c r="T186" s="9">
        <v>25</v>
      </c>
      <c r="U186" s="13">
        <v>92</v>
      </c>
      <c r="V186" s="8" t="s">
        <v>69</v>
      </c>
      <c r="W186" s="8"/>
      <c r="X186" s="22">
        <f>IF(V186="Yes",1,0)</f>
        <v>1</v>
      </c>
      <c r="Y186" s="22">
        <f>IF(H186="Active",0,1)</f>
        <v>0</v>
      </c>
    </row>
    <row r="187" spans="1:25" ht="18" customHeight="1" x14ac:dyDescent="0.35">
      <c r="A187" s="8" t="s">
        <v>1877</v>
      </c>
      <c r="B187" s="8" t="s">
        <v>111</v>
      </c>
      <c r="C187" s="8" t="s">
        <v>25</v>
      </c>
      <c r="D187" s="9">
        <v>40</v>
      </c>
      <c r="E187" s="8" t="s">
        <v>42</v>
      </c>
      <c r="F187" s="8" t="s">
        <v>35</v>
      </c>
      <c r="G187" s="10">
        <v>45961</v>
      </c>
      <c r="H187" s="8" t="s">
        <v>26</v>
      </c>
      <c r="I187" s="8" t="s">
        <v>36</v>
      </c>
      <c r="J187" s="8" t="s">
        <v>48</v>
      </c>
      <c r="K187" s="8" t="s">
        <v>55</v>
      </c>
      <c r="L187" s="8" t="s">
        <v>87</v>
      </c>
      <c r="M187" s="8" t="s">
        <v>30</v>
      </c>
      <c r="N187" s="11">
        <v>158114</v>
      </c>
      <c r="O187" s="11">
        <v>35323</v>
      </c>
      <c r="P187" s="12">
        <v>94.8</v>
      </c>
      <c r="Q187" s="9">
        <v>6</v>
      </c>
      <c r="R187" s="13">
        <v>15</v>
      </c>
      <c r="S187" s="13">
        <v>2</v>
      </c>
      <c r="T187" s="9">
        <v>15</v>
      </c>
      <c r="U187" s="13">
        <v>61</v>
      </c>
      <c r="V187" s="8" t="s">
        <v>31</v>
      </c>
      <c r="W187" s="8"/>
      <c r="X187" s="22">
        <f>IF(V187="Yes",1,0)</f>
        <v>0</v>
      </c>
      <c r="Y187" s="22">
        <f>IF(H187="Active",0,1)</f>
        <v>0</v>
      </c>
    </row>
    <row r="188" spans="1:25" ht="18" customHeight="1" x14ac:dyDescent="0.35">
      <c r="A188" s="14" t="s">
        <v>564</v>
      </c>
      <c r="B188" s="14" t="s">
        <v>144</v>
      </c>
      <c r="C188" s="14" t="s">
        <v>34</v>
      </c>
      <c r="D188" s="15">
        <v>54</v>
      </c>
      <c r="E188" s="14" t="s">
        <v>2304</v>
      </c>
      <c r="F188" s="14" t="s">
        <v>53</v>
      </c>
      <c r="G188" s="16">
        <v>45960</v>
      </c>
      <c r="H188" s="14" t="s">
        <v>26</v>
      </c>
      <c r="I188" s="14" t="s">
        <v>36</v>
      </c>
      <c r="J188" s="14" t="s">
        <v>2268</v>
      </c>
      <c r="K188" s="14" t="s">
        <v>2271</v>
      </c>
      <c r="L188" s="14" t="s">
        <v>44</v>
      </c>
      <c r="M188" s="14" t="s">
        <v>64</v>
      </c>
      <c r="N188" s="17">
        <v>112017</v>
      </c>
      <c r="O188" s="17">
        <v>36774</v>
      </c>
      <c r="P188" s="18">
        <v>86.5</v>
      </c>
      <c r="Q188" s="15">
        <v>4</v>
      </c>
      <c r="R188" s="19">
        <v>30</v>
      </c>
      <c r="S188" s="19">
        <v>3</v>
      </c>
      <c r="T188" s="15">
        <v>29</v>
      </c>
      <c r="U188" s="19">
        <v>100</v>
      </c>
      <c r="V188" s="14" t="s">
        <v>31</v>
      </c>
      <c r="W188" s="14"/>
      <c r="X188" s="14">
        <f>IF(V188="Yes",1,0)</f>
        <v>0</v>
      </c>
      <c r="Y188" s="14">
        <f>IF(H188="Active",0,1)</f>
        <v>0</v>
      </c>
    </row>
    <row r="189" spans="1:25" ht="18" customHeight="1" x14ac:dyDescent="0.35">
      <c r="A189" s="8" t="s">
        <v>861</v>
      </c>
      <c r="B189" s="8" t="s">
        <v>160</v>
      </c>
      <c r="C189" s="8" t="s">
        <v>34</v>
      </c>
      <c r="D189" s="9">
        <v>36</v>
      </c>
      <c r="E189" s="8" t="s">
        <v>2304</v>
      </c>
      <c r="F189" s="8" t="s">
        <v>12</v>
      </c>
      <c r="G189" s="10">
        <v>45960</v>
      </c>
      <c r="H189" s="8" t="s">
        <v>26</v>
      </c>
      <c r="I189" s="8" t="s">
        <v>36</v>
      </c>
      <c r="J189" s="8" t="s">
        <v>2269</v>
      </c>
      <c r="K189" s="8" t="s">
        <v>55</v>
      </c>
      <c r="L189" s="8" t="s">
        <v>44</v>
      </c>
      <c r="M189" s="8" t="s">
        <v>45</v>
      </c>
      <c r="N189" s="11">
        <v>66751</v>
      </c>
      <c r="O189" s="11">
        <v>49354</v>
      </c>
      <c r="P189" s="12">
        <v>92.6</v>
      </c>
      <c r="Q189" s="9">
        <v>6</v>
      </c>
      <c r="R189" s="13">
        <v>12</v>
      </c>
      <c r="S189" s="13">
        <v>5</v>
      </c>
      <c r="T189" s="9">
        <v>26</v>
      </c>
      <c r="U189" s="13">
        <v>82</v>
      </c>
      <c r="V189" s="8" t="s">
        <v>31</v>
      </c>
      <c r="W189" s="8"/>
      <c r="X189" s="22">
        <f>IF(V189="Yes",1,0)</f>
        <v>0</v>
      </c>
      <c r="Y189" s="22">
        <f>IF(H189="Active",0,1)</f>
        <v>0</v>
      </c>
    </row>
    <row r="190" spans="1:25" ht="18" customHeight="1" x14ac:dyDescent="0.35">
      <c r="A190" s="14" t="s">
        <v>2046</v>
      </c>
      <c r="B190" s="14" t="s">
        <v>551</v>
      </c>
      <c r="C190" s="14" t="s">
        <v>25</v>
      </c>
      <c r="D190" s="15">
        <v>27</v>
      </c>
      <c r="E190" s="14" t="s">
        <v>86</v>
      </c>
      <c r="F190" s="14" t="s">
        <v>90</v>
      </c>
      <c r="G190" s="16">
        <v>45960</v>
      </c>
      <c r="H190" s="14" t="s">
        <v>26</v>
      </c>
      <c r="I190" s="14" t="s">
        <v>27</v>
      </c>
      <c r="J190" s="14" t="s">
        <v>80</v>
      </c>
      <c r="K190" s="14" t="s">
        <v>73</v>
      </c>
      <c r="L190" s="14" t="s">
        <v>56</v>
      </c>
      <c r="M190" s="14" t="s">
        <v>39</v>
      </c>
      <c r="N190" s="17">
        <v>200453</v>
      </c>
      <c r="O190" s="17">
        <v>22798</v>
      </c>
      <c r="P190" s="18">
        <v>84.4</v>
      </c>
      <c r="Q190" s="15">
        <v>2</v>
      </c>
      <c r="R190" s="19">
        <v>8</v>
      </c>
      <c r="S190" s="19">
        <v>2</v>
      </c>
      <c r="T190" s="15">
        <v>28</v>
      </c>
      <c r="U190" s="19">
        <v>86</v>
      </c>
      <c r="V190" s="14" t="s">
        <v>31</v>
      </c>
      <c r="W190" s="14"/>
      <c r="X190" s="14">
        <f>IF(V190="Yes",1,0)</f>
        <v>0</v>
      </c>
      <c r="Y190" s="14">
        <f>IF(H190="Active",0,1)</f>
        <v>0</v>
      </c>
    </row>
    <row r="191" spans="1:25" ht="18" customHeight="1" x14ac:dyDescent="0.35">
      <c r="A191" s="14" t="s">
        <v>480</v>
      </c>
      <c r="B191" s="14" t="s">
        <v>234</v>
      </c>
      <c r="C191" s="14" t="s">
        <v>25</v>
      </c>
      <c r="D191" s="15">
        <v>27</v>
      </c>
      <c r="E191" s="14" t="s">
        <v>42</v>
      </c>
      <c r="F191" s="14" t="s">
        <v>35</v>
      </c>
      <c r="G191" s="16">
        <v>45959</v>
      </c>
      <c r="H191" s="14" t="s">
        <v>26</v>
      </c>
      <c r="I191" s="14" t="s">
        <v>36</v>
      </c>
      <c r="J191" s="14" t="s">
        <v>80</v>
      </c>
      <c r="K191" s="14" t="s">
        <v>37</v>
      </c>
      <c r="L191" s="14" t="s">
        <v>38</v>
      </c>
      <c r="M191" s="14" t="s">
        <v>60</v>
      </c>
      <c r="N191" s="17">
        <v>59547</v>
      </c>
      <c r="O191" s="17">
        <v>42990</v>
      </c>
      <c r="P191" s="18">
        <v>91.4</v>
      </c>
      <c r="Q191" s="15">
        <v>5</v>
      </c>
      <c r="R191" s="19">
        <v>26</v>
      </c>
      <c r="S191" s="19">
        <v>5</v>
      </c>
      <c r="T191" s="15">
        <v>17</v>
      </c>
      <c r="U191" s="19">
        <v>88</v>
      </c>
      <c r="V191" s="14" t="s">
        <v>31</v>
      </c>
      <c r="W191" s="14"/>
      <c r="X191" s="14">
        <f>IF(V191="Yes",1,0)</f>
        <v>0</v>
      </c>
      <c r="Y191" s="14">
        <f>IF(H191="Active",0,1)</f>
        <v>0</v>
      </c>
    </row>
    <row r="192" spans="1:25" ht="18" customHeight="1" x14ac:dyDescent="0.35">
      <c r="A192" s="8" t="s">
        <v>481</v>
      </c>
      <c r="B192" s="8" t="s">
        <v>222</v>
      </c>
      <c r="C192" s="8" t="s">
        <v>25</v>
      </c>
      <c r="D192" s="9">
        <v>45</v>
      </c>
      <c r="E192" s="8" t="s">
        <v>42</v>
      </c>
      <c r="F192" s="8" t="s">
        <v>76</v>
      </c>
      <c r="G192" s="10">
        <v>45959</v>
      </c>
      <c r="H192" s="8" t="s">
        <v>26</v>
      </c>
      <c r="I192" s="8" t="s">
        <v>36</v>
      </c>
      <c r="J192" s="8" t="s">
        <v>2269</v>
      </c>
      <c r="K192" s="8" t="s">
        <v>28</v>
      </c>
      <c r="L192" s="8" t="s">
        <v>87</v>
      </c>
      <c r="M192" s="8" t="s">
        <v>39</v>
      </c>
      <c r="N192" s="11">
        <v>147876</v>
      </c>
      <c r="O192" s="11">
        <v>19535</v>
      </c>
      <c r="P192" s="12">
        <v>97.3</v>
      </c>
      <c r="Q192" s="9">
        <v>3</v>
      </c>
      <c r="R192" s="13">
        <v>24</v>
      </c>
      <c r="S192" s="13">
        <v>2</v>
      </c>
      <c r="T192" s="9">
        <v>34</v>
      </c>
      <c r="U192" s="13">
        <v>83</v>
      </c>
      <c r="V192" s="8" t="s">
        <v>31</v>
      </c>
      <c r="W192" s="8"/>
      <c r="X192" s="22">
        <f>IF(V192="Yes",1,0)</f>
        <v>0</v>
      </c>
      <c r="Y192" s="22">
        <f>IF(H192="Active",0,1)</f>
        <v>0</v>
      </c>
    </row>
    <row r="193" spans="1:25" ht="18" customHeight="1" x14ac:dyDescent="0.35">
      <c r="A193" s="14" t="s">
        <v>1376</v>
      </c>
      <c r="B193" s="14" t="s">
        <v>358</v>
      </c>
      <c r="C193" s="14" t="s">
        <v>25</v>
      </c>
      <c r="D193" s="15">
        <v>59</v>
      </c>
      <c r="E193" s="14" t="s">
        <v>86</v>
      </c>
      <c r="F193" s="14" t="s">
        <v>12</v>
      </c>
      <c r="G193" s="16">
        <v>45959</v>
      </c>
      <c r="H193" s="14" t="s">
        <v>54</v>
      </c>
      <c r="I193" s="14" t="s">
        <v>27</v>
      </c>
      <c r="J193" s="14" t="s">
        <v>2269</v>
      </c>
      <c r="K193" s="14" t="s">
        <v>37</v>
      </c>
      <c r="L193" s="14" t="s">
        <v>116</v>
      </c>
      <c r="M193" s="14" t="s">
        <v>30</v>
      </c>
      <c r="N193" s="17">
        <v>161130</v>
      </c>
      <c r="O193" s="17">
        <v>41540</v>
      </c>
      <c r="P193" s="18">
        <v>99.6</v>
      </c>
      <c r="Q193" s="15">
        <v>7</v>
      </c>
      <c r="R193" s="19">
        <v>11</v>
      </c>
      <c r="S193" s="19">
        <v>3</v>
      </c>
      <c r="T193" s="15">
        <v>40</v>
      </c>
      <c r="U193" s="19">
        <v>96</v>
      </c>
      <c r="V193" s="14" t="s">
        <v>31</v>
      </c>
      <c r="W193" s="14" t="s">
        <v>96</v>
      </c>
      <c r="X193" s="14">
        <f>IF(V193="Yes",1,0)</f>
        <v>0</v>
      </c>
      <c r="Y193" s="14">
        <f>IF(H193="Active",0,1)</f>
        <v>1</v>
      </c>
    </row>
    <row r="194" spans="1:25" ht="18" customHeight="1" x14ac:dyDescent="0.35">
      <c r="A194" s="8" t="s">
        <v>1625</v>
      </c>
      <c r="B194" s="8" t="s">
        <v>295</v>
      </c>
      <c r="C194" s="8" t="s">
        <v>25</v>
      </c>
      <c r="D194" s="9">
        <v>59</v>
      </c>
      <c r="E194" s="8" t="s">
        <v>86</v>
      </c>
      <c r="F194" s="8" t="s">
        <v>43</v>
      </c>
      <c r="G194" s="10">
        <v>45959</v>
      </c>
      <c r="H194" s="8" t="s">
        <v>26</v>
      </c>
      <c r="I194" s="8" t="s">
        <v>27</v>
      </c>
      <c r="J194" s="8" t="s">
        <v>48</v>
      </c>
      <c r="K194" s="8" t="s">
        <v>73</v>
      </c>
      <c r="L194" s="8" t="s">
        <v>44</v>
      </c>
      <c r="M194" s="8" t="s">
        <v>64</v>
      </c>
      <c r="N194" s="11">
        <v>156033</v>
      </c>
      <c r="O194" s="11">
        <v>24128</v>
      </c>
      <c r="P194" s="12">
        <v>92</v>
      </c>
      <c r="Q194" s="9">
        <v>3</v>
      </c>
      <c r="R194" s="13">
        <v>19</v>
      </c>
      <c r="S194" s="13">
        <v>4</v>
      </c>
      <c r="T194" s="9">
        <v>17</v>
      </c>
      <c r="U194" s="13">
        <v>95</v>
      </c>
      <c r="V194" s="8" t="s">
        <v>31</v>
      </c>
      <c r="W194" s="8"/>
      <c r="X194" s="22">
        <f>IF(V194="Yes",1,0)</f>
        <v>0</v>
      </c>
      <c r="Y194" s="22">
        <f>IF(H194="Active",0,1)</f>
        <v>0</v>
      </c>
    </row>
    <row r="195" spans="1:25" ht="18" customHeight="1" x14ac:dyDescent="0.35">
      <c r="A195" s="14" t="s">
        <v>1746</v>
      </c>
      <c r="B195" s="14" t="s">
        <v>559</v>
      </c>
      <c r="C195" s="14" t="s">
        <v>25</v>
      </c>
      <c r="D195" s="15">
        <v>21</v>
      </c>
      <c r="E195" s="14" t="s">
        <v>2304</v>
      </c>
      <c r="F195" s="14" t="s">
        <v>53</v>
      </c>
      <c r="G195" s="16">
        <v>45959</v>
      </c>
      <c r="H195" s="14" t="s">
        <v>54</v>
      </c>
      <c r="I195" s="14" t="s">
        <v>2267</v>
      </c>
      <c r="J195" s="14" t="s">
        <v>2270</v>
      </c>
      <c r="K195" s="14" t="s">
        <v>2271</v>
      </c>
      <c r="L195" s="14" t="s">
        <v>87</v>
      </c>
      <c r="M195" s="14" t="s">
        <v>60</v>
      </c>
      <c r="N195" s="17">
        <v>138698</v>
      </c>
      <c r="O195" s="17">
        <v>46098</v>
      </c>
      <c r="P195" s="18">
        <v>86.2</v>
      </c>
      <c r="Q195" s="15">
        <v>2</v>
      </c>
      <c r="R195" s="19">
        <v>10</v>
      </c>
      <c r="S195" s="19">
        <v>2</v>
      </c>
      <c r="T195" s="15">
        <v>34</v>
      </c>
      <c r="U195" s="19">
        <v>97</v>
      </c>
      <c r="V195" s="14" t="s">
        <v>31</v>
      </c>
      <c r="W195" s="14" t="s">
        <v>83</v>
      </c>
      <c r="X195" s="14">
        <f>IF(V195="Yes",1,0)</f>
        <v>0</v>
      </c>
      <c r="Y195" s="14">
        <f>IF(H195="Active",0,1)</f>
        <v>1</v>
      </c>
    </row>
    <row r="196" spans="1:25" ht="18" customHeight="1" x14ac:dyDescent="0.35">
      <c r="A196" s="14" t="s">
        <v>1938</v>
      </c>
      <c r="B196" s="14" t="s">
        <v>817</v>
      </c>
      <c r="C196" s="14" t="s">
        <v>34</v>
      </c>
      <c r="D196" s="15">
        <v>22</v>
      </c>
      <c r="E196" s="14" t="s">
        <v>63</v>
      </c>
      <c r="F196" s="14" t="s">
        <v>79</v>
      </c>
      <c r="G196" s="16">
        <v>45959</v>
      </c>
      <c r="H196" s="14" t="s">
        <v>26</v>
      </c>
      <c r="I196" s="14" t="s">
        <v>2267</v>
      </c>
      <c r="J196" s="14" t="s">
        <v>2269</v>
      </c>
      <c r="K196" s="14" t="s">
        <v>73</v>
      </c>
      <c r="L196" s="14" t="s">
        <v>49</v>
      </c>
      <c r="M196" s="14" t="s">
        <v>39</v>
      </c>
      <c r="N196" s="17">
        <v>133594</v>
      </c>
      <c r="O196" s="17">
        <v>41839</v>
      </c>
      <c r="P196" s="18">
        <v>83.4</v>
      </c>
      <c r="Q196" s="15">
        <v>2</v>
      </c>
      <c r="R196" s="19">
        <v>29</v>
      </c>
      <c r="S196" s="19">
        <v>3</v>
      </c>
      <c r="T196" s="15">
        <v>33</v>
      </c>
      <c r="U196" s="19">
        <v>65</v>
      </c>
      <c r="V196" s="14" t="s">
        <v>31</v>
      </c>
      <c r="W196" s="14"/>
      <c r="X196" s="14">
        <f>IF(V196="Yes",1,0)</f>
        <v>0</v>
      </c>
      <c r="Y196" s="14">
        <f>IF(H196="Active",0,1)</f>
        <v>0</v>
      </c>
    </row>
    <row r="197" spans="1:25" ht="18" customHeight="1" x14ac:dyDescent="0.35">
      <c r="A197" s="14" t="s">
        <v>889</v>
      </c>
      <c r="B197" s="14" t="s">
        <v>388</v>
      </c>
      <c r="C197" s="14" t="s">
        <v>25</v>
      </c>
      <c r="D197" s="15">
        <v>50</v>
      </c>
      <c r="E197" s="14" t="s">
        <v>2303</v>
      </c>
      <c r="F197" s="14" t="s">
        <v>53</v>
      </c>
      <c r="G197" s="16">
        <v>45958</v>
      </c>
      <c r="H197" s="14" t="s">
        <v>26</v>
      </c>
      <c r="I197" s="14" t="s">
        <v>27</v>
      </c>
      <c r="J197" s="14" t="s">
        <v>48</v>
      </c>
      <c r="K197" s="14" t="s">
        <v>73</v>
      </c>
      <c r="L197" s="14" t="s">
        <v>49</v>
      </c>
      <c r="M197" s="14" t="s">
        <v>39</v>
      </c>
      <c r="N197" s="17">
        <v>45938</v>
      </c>
      <c r="O197" s="17">
        <v>33067</v>
      </c>
      <c r="P197" s="18">
        <v>99.9</v>
      </c>
      <c r="Q197" s="15">
        <v>6</v>
      </c>
      <c r="R197" s="19">
        <v>13</v>
      </c>
      <c r="S197" s="19">
        <v>2</v>
      </c>
      <c r="T197" s="15">
        <v>31</v>
      </c>
      <c r="U197" s="19">
        <v>60</v>
      </c>
      <c r="V197" s="14" t="s">
        <v>31</v>
      </c>
      <c r="W197" s="14"/>
      <c r="X197" s="14">
        <f>IF(V197="Yes",1,0)</f>
        <v>0</v>
      </c>
      <c r="Y197" s="14">
        <f>IF(H197="Active",0,1)</f>
        <v>0</v>
      </c>
    </row>
    <row r="198" spans="1:25" ht="18" customHeight="1" x14ac:dyDescent="0.35">
      <c r="A198" s="14" t="s">
        <v>1227</v>
      </c>
      <c r="B198" s="14" t="s">
        <v>399</v>
      </c>
      <c r="C198" s="14" t="s">
        <v>25</v>
      </c>
      <c r="D198" s="15">
        <v>43</v>
      </c>
      <c r="E198" s="14" t="s">
        <v>2304</v>
      </c>
      <c r="F198" s="14" t="s">
        <v>35</v>
      </c>
      <c r="G198" s="16">
        <v>45958</v>
      </c>
      <c r="H198" s="14" t="s">
        <v>26</v>
      </c>
      <c r="I198" s="14" t="s">
        <v>36</v>
      </c>
      <c r="J198" s="14" t="s">
        <v>2268</v>
      </c>
      <c r="K198" s="14" t="s">
        <v>37</v>
      </c>
      <c r="L198" s="14" t="s">
        <v>44</v>
      </c>
      <c r="M198" s="14" t="s">
        <v>64</v>
      </c>
      <c r="N198" s="17">
        <v>120324</v>
      </c>
      <c r="O198" s="17">
        <v>35109</v>
      </c>
      <c r="P198" s="18">
        <v>85.6</v>
      </c>
      <c r="Q198" s="15">
        <v>6</v>
      </c>
      <c r="R198" s="19">
        <v>8</v>
      </c>
      <c r="S198" s="19">
        <v>1</v>
      </c>
      <c r="T198" s="15">
        <v>1</v>
      </c>
      <c r="U198" s="19">
        <v>75</v>
      </c>
      <c r="V198" s="14" t="s">
        <v>31</v>
      </c>
      <c r="W198" s="14"/>
      <c r="X198" s="14">
        <f>IF(V198="Yes",1,0)</f>
        <v>0</v>
      </c>
      <c r="Y198" s="14">
        <f>IF(H198="Active",0,1)</f>
        <v>0</v>
      </c>
    </row>
    <row r="199" spans="1:25" ht="18" customHeight="1" x14ac:dyDescent="0.35">
      <c r="A199" s="8" t="s">
        <v>1807</v>
      </c>
      <c r="B199" s="8" t="s">
        <v>179</v>
      </c>
      <c r="C199" s="8" t="s">
        <v>25</v>
      </c>
      <c r="D199" s="9">
        <v>42</v>
      </c>
      <c r="E199" s="8" t="s">
        <v>109</v>
      </c>
      <c r="F199" s="8" t="s">
        <v>43</v>
      </c>
      <c r="G199" s="10">
        <v>45958</v>
      </c>
      <c r="H199" s="8" t="s">
        <v>26</v>
      </c>
      <c r="I199" s="8" t="s">
        <v>27</v>
      </c>
      <c r="J199" s="8" t="s">
        <v>2269</v>
      </c>
      <c r="K199" s="8" t="s">
        <v>28</v>
      </c>
      <c r="L199" s="8" t="s">
        <v>38</v>
      </c>
      <c r="M199" s="8" t="s">
        <v>30</v>
      </c>
      <c r="N199" s="11">
        <v>168144</v>
      </c>
      <c r="O199" s="11">
        <v>14870</v>
      </c>
      <c r="P199" s="12">
        <v>89.7</v>
      </c>
      <c r="Q199" s="9">
        <v>2</v>
      </c>
      <c r="R199" s="13">
        <v>2</v>
      </c>
      <c r="S199" s="13">
        <v>5</v>
      </c>
      <c r="T199" s="9">
        <v>18</v>
      </c>
      <c r="U199" s="13">
        <v>98</v>
      </c>
      <c r="V199" s="8" t="s">
        <v>69</v>
      </c>
      <c r="W199" s="8"/>
      <c r="X199" s="22">
        <f>IF(V199="Yes",1,0)</f>
        <v>1</v>
      </c>
      <c r="Y199" s="22">
        <f>IF(H199="Active",0,1)</f>
        <v>0</v>
      </c>
    </row>
    <row r="200" spans="1:25" ht="18" customHeight="1" x14ac:dyDescent="0.35">
      <c r="A200" s="14" t="s">
        <v>2080</v>
      </c>
      <c r="B200" s="14" t="s">
        <v>115</v>
      </c>
      <c r="C200" s="14" t="s">
        <v>34</v>
      </c>
      <c r="D200" s="15">
        <v>33</v>
      </c>
      <c r="E200" s="14" t="s">
        <v>52</v>
      </c>
      <c r="F200" s="14" t="s">
        <v>76</v>
      </c>
      <c r="G200" s="16">
        <v>45958</v>
      </c>
      <c r="H200" s="14" t="s">
        <v>26</v>
      </c>
      <c r="I200" s="14" t="s">
        <v>27</v>
      </c>
      <c r="J200" s="14" t="s">
        <v>48</v>
      </c>
      <c r="K200" s="14" t="s">
        <v>55</v>
      </c>
      <c r="L200" s="14" t="s">
        <v>38</v>
      </c>
      <c r="M200" s="14" t="s">
        <v>60</v>
      </c>
      <c r="N200" s="17">
        <v>163988</v>
      </c>
      <c r="O200" s="17">
        <v>27988</v>
      </c>
      <c r="P200" s="18">
        <v>85</v>
      </c>
      <c r="Q200" s="15">
        <v>4</v>
      </c>
      <c r="R200" s="19">
        <v>0</v>
      </c>
      <c r="S200" s="19">
        <v>2</v>
      </c>
      <c r="T200" s="15">
        <v>32</v>
      </c>
      <c r="U200" s="19">
        <v>71</v>
      </c>
      <c r="V200" s="14" t="s">
        <v>31</v>
      </c>
      <c r="W200" s="14"/>
      <c r="X200" s="14">
        <f>IF(V200="Yes",1,0)</f>
        <v>0</v>
      </c>
      <c r="Y200" s="14">
        <f>IF(H200="Active",0,1)</f>
        <v>0</v>
      </c>
    </row>
    <row r="201" spans="1:25" ht="18" customHeight="1" x14ac:dyDescent="0.35">
      <c r="A201" s="8" t="s">
        <v>896</v>
      </c>
      <c r="B201" s="8" t="s">
        <v>701</v>
      </c>
      <c r="C201" s="8" t="s">
        <v>34</v>
      </c>
      <c r="D201" s="9">
        <v>25</v>
      </c>
      <c r="E201" s="8" t="s">
        <v>109</v>
      </c>
      <c r="F201" s="8" t="s">
        <v>53</v>
      </c>
      <c r="G201" s="10">
        <v>45957</v>
      </c>
      <c r="H201" s="8" t="s">
        <v>26</v>
      </c>
      <c r="I201" s="8" t="s">
        <v>36</v>
      </c>
      <c r="J201" s="8" t="s">
        <v>2268</v>
      </c>
      <c r="K201" s="8" t="s">
        <v>2271</v>
      </c>
      <c r="L201" s="8" t="s">
        <v>68</v>
      </c>
      <c r="M201" s="8" t="s">
        <v>39</v>
      </c>
      <c r="N201" s="11">
        <v>167646</v>
      </c>
      <c r="O201" s="11">
        <v>44478</v>
      </c>
      <c r="P201" s="12">
        <v>94.4</v>
      </c>
      <c r="Q201" s="9">
        <v>0</v>
      </c>
      <c r="R201" s="13">
        <v>10</v>
      </c>
      <c r="S201" s="13">
        <v>5</v>
      </c>
      <c r="T201" s="9">
        <v>21</v>
      </c>
      <c r="U201" s="13">
        <v>83</v>
      </c>
      <c r="V201" s="8" t="s">
        <v>31</v>
      </c>
      <c r="W201" s="8"/>
      <c r="X201" s="22">
        <f>IF(V201="Yes",1,0)</f>
        <v>0</v>
      </c>
      <c r="Y201" s="22">
        <f>IF(H201="Active",0,1)</f>
        <v>0</v>
      </c>
    </row>
    <row r="202" spans="1:25" ht="18" customHeight="1" x14ac:dyDescent="0.35">
      <c r="A202" s="8" t="s">
        <v>1729</v>
      </c>
      <c r="B202" s="8" t="s">
        <v>349</v>
      </c>
      <c r="C202" s="8" t="s">
        <v>34</v>
      </c>
      <c r="D202" s="9">
        <v>49</v>
      </c>
      <c r="E202" s="8" t="s">
        <v>93</v>
      </c>
      <c r="F202" s="8" t="s">
        <v>43</v>
      </c>
      <c r="G202" s="10">
        <v>45957</v>
      </c>
      <c r="H202" s="8" t="s">
        <v>26</v>
      </c>
      <c r="I202" s="8" t="s">
        <v>27</v>
      </c>
      <c r="J202" s="8" t="s">
        <v>2269</v>
      </c>
      <c r="K202" s="8" t="s">
        <v>55</v>
      </c>
      <c r="L202" s="8" t="s">
        <v>38</v>
      </c>
      <c r="M202" s="8" t="s">
        <v>64</v>
      </c>
      <c r="N202" s="11">
        <v>108028</v>
      </c>
      <c r="O202" s="11">
        <v>42143</v>
      </c>
      <c r="P202" s="12">
        <v>86.8</v>
      </c>
      <c r="Q202" s="9">
        <v>8</v>
      </c>
      <c r="R202" s="13">
        <v>30</v>
      </c>
      <c r="S202" s="13">
        <v>5</v>
      </c>
      <c r="T202" s="9">
        <v>2</v>
      </c>
      <c r="U202" s="13">
        <v>82</v>
      </c>
      <c r="V202" s="8" t="s">
        <v>31</v>
      </c>
      <c r="W202" s="8"/>
      <c r="X202" s="22">
        <f>IF(V202="Yes",1,0)</f>
        <v>0</v>
      </c>
      <c r="Y202" s="22">
        <f>IF(H202="Active",0,1)</f>
        <v>0</v>
      </c>
    </row>
    <row r="203" spans="1:25" ht="18" customHeight="1" x14ac:dyDescent="0.35">
      <c r="A203" s="14" t="s">
        <v>316</v>
      </c>
      <c r="B203" s="14" t="s">
        <v>291</v>
      </c>
      <c r="C203" s="14" t="s">
        <v>34</v>
      </c>
      <c r="D203" s="15">
        <v>58</v>
      </c>
      <c r="E203" s="14" t="s">
        <v>2303</v>
      </c>
      <c r="F203" s="14" t="s">
        <v>53</v>
      </c>
      <c r="G203" s="16">
        <v>45956</v>
      </c>
      <c r="H203" s="14" t="s">
        <v>26</v>
      </c>
      <c r="I203" s="14" t="s">
        <v>2267</v>
      </c>
      <c r="J203" s="14" t="s">
        <v>2270</v>
      </c>
      <c r="K203" s="14" t="s">
        <v>2271</v>
      </c>
      <c r="L203" s="14" t="s">
        <v>44</v>
      </c>
      <c r="M203" s="14" t="s">
        <v>30</v>
      </c>
      <c r="N203" s="17">
        <v>133941</v>
      </c>
      <c r="O203" s="17">
        <v>14574</v>
      </c>
      <c r="P203" s="18">
        <v>92.1</v>
      </c>
      <c r="Q203" s="15">
        <v>2</v>
      </c>
      <c r="R203" s="19">
        <v>27</v>
      </c>
      <c r="S203" s="19">
        <v>5</v>
      </c>
      <c r="T203" s="15">
        <v>16</v>
      </c>
      <c r="U203" s="19">
        <v>99</v>
      </c>
      <c r="V203" s="14" t="s">
        <v>31</v>
      </c>
      <c r="W203" s="14"/>
      <c r="X203" s="14">
        <f>IF(V203="Yes",1,0)</f>
        <v>0</v>
      </c>
      <c r="Y203" s="14">
        <f>IF(H203="Active",0,1)</f>
        <v>0</v>
      </c>
    </row>
    <row r="204" spans="1:25" ht="18" customHeight="1" x14ac:dyDescent="0.35">
      <c r="A204" s="14" t="s">
        <v>212</v>
      </c>
      <c r="B204" s="14" t="s">
        <v>127</v>
      </c>
      <c r="C204" s="14" t="s">
        <v>25</v>
      </c>
      <c r="D204" s="15">
        <v>26</v>
      </c>
      <c r="E204" s="14" t="s">
        <v>2303</v>
      </c>
      <c r="F204" s="14" t="s">
        <v>53</v>
      </c>
      <c r="G204" s="16">
        <v>45955</v>
      </c>
      <c r="H204" s="14" t="s">
        <v>54</v>
      </c>
      <c r="I204" s="14" t="s">
        <v>2267</v>
      </c>
      <c r="J204" s="14" t="s">
        <v>2269</v>
      </c>
      <c r="K204" s="14" t="s">
        <v>55</v>
      </c>
      <c r="L204" s="14" t="s">
        <v>56</v>
      </c>
      <c r="M204" s="14" t="s">
        <v>60</v>
      </c>
      <c r="N204" s="17">
        <v>114578</v>
      </c>
      <c r="O204" s="17">
        <v>24133</v>
      </c>
      <c r="P204" s="18">
        <v>93.6</v>
      </c>
      <c r="Q204" s="15">
        <v>7</v>
      </c>
      <c r="R204" s="19">
        <v>15</v>
      </c>
      <c r="S204" s="19">
        <v>2</v>
      </c>
      <c r="T204" s="15">
        <v>40</v>
      </c>
      <c r="U204" s="19">
        <v>64</v>
      </c>
      <c r="V204" s="14" t="s">
        <v>69</v>
      </c>
      <c r="W204" s="14" t="s">
        <v>83</v>
      </c>
      <c r="X204" s="14">
        <f>IF(V204="Yes",1,0)</f>
        <v>1</v>
      </c>
      <c r="Y204" s="14">
        <f>IF(H204="Active",0,1)</f>
        <v>1</v>
      </c>
    </row>
    <row r="205" spans="1:25" ht="18" customHeight="1" x14ac:dyDescent="0.35">
      <c r="A205" s="14" t="s">
        <v>667</v>
      </c>
      <c r="B205" s="14" t="s">
        <v>136</v>
      </c>
      <c r="C205" s="14" t="s">
        <v>34</v>
      </c>
      <c r="D205" s="15">
        <v>53</v>
      </c>
      <c r="E205" s="14" t="s">
        <v>67</v>
      </c>
      <c r="F205" s="14" t="s">
        <v>35</v>
      </c>
      <c r="G205" s="16">
        <v>45955</v>
      </c>
      <c r="H205" s="14" t="s">
        <v>26</v>
      </c>
      <c r="I205" s="14" t="s">
        <v>36</v>
      </c>
      <c r="J205" s="14" t="s">
        <v>48</v>
      </c>
      <c r="K205" s="14" t="s">
        <v>28</v>
      </c>
      <c r="L205" s="14" t="s">
        <v>49</v>
      </c>
      <c r="M205" s="14" t="s">
        <v>30</v>
      </c>
      <c r="N205" s="17">
        <v>41468</v>
      </c>
      <c r="O205" s="17">
        <v>9974</v>
      </c>
      <c r="P205" s="18">
        <v>88.4</v>
      </c>
      <c r="Q205" s="15">
        <v>1</v>
      </c>
      <c r="R205" s="19">
        <v>30</v>
      </c>
      <c r="S205" s="19">
        <v>3</v>
      </c>
      <c r="T205" s="15">
        <v>0</v>
      </c>
      <c r="U205" s="19">
        <v>79</v>
      </c>
      <c r="V205" s="14" t="s">
        <v>31</v>
      </c>
      <c r="W205" s="14"/>
      <c r="X205" s="14">
        <f>IF(V205="Yes",1,0)</f>
        <v>0</v>
      </c>
      <c r="Y205" s="14">
        <f>IF(H205="Active",0,1)</f>
        <v>0</v>
      </c>
    </row>
    <row r="206" spans="1:25" ht="18" customHeight="1" x14ac:dyDescent="0.35">
      <c r="A206" s="14" t="s">
        <v>1274</v>
      </c>
      <c r="B206" s="14" t="s">
        <v>358</v>
      </c>
      <c r="C206" s="14" t="s">
        <v>25</v>
      </c>
      <c r="D206" s="15">
        <v>43</v>
      </c>
      <c r="E206" s="14" t="s">
        <v>2303</v>
      </c>
      <c r="F206" s="14" t="s">
        <v>79</v>
      </c>
      <c r="G206" s="16">
        <v>45955</v>
      </c>
      <c r="H206" s="14" t="s">
        <v>26</v>
      </c>
      <c r="I206" s="14" t="s">
        <v>36</v>
      </c>
      <c r="J206" s="14" t="s">
        <v>2269</v>
      </c>
      <c r="K206" s="14" t="s">
        <v>73</v>
      </c>
      <c r="L206" s="14" t="s">
        <v>56</v>
      </c>
      <c r="M206" s="14" t="s">
        <v>64</v>
      </c>
      <c r="N206" s="17">
        <v>244499</v>
      </c>
      <c r="O206" s="17">
        <v>35083</v>
      </c>
      <c r="P206" s="18">
        <v>80.400000000000006</v>
      </c>
      <c r="Q206" s="15">
        <v>1</v>
      </c>
      <c r="R206" s="19">
        <v>22</v>
      </c>
      <c r="S206" s="19">
        <v>4</v>
      </c>
      <c r="T206" s="15">
        <v>4</v>
      </c>
      <c r="U206" s="19">
        <v>71</v>
      </c>
      <c r="V206" s="14" t="s">
        <v>31</v>
      </c>
      <c r="W206" s="14"/>
      <c r="X206" s="14">
        <f>IF(V206="Yes",1,0)</f>
        <v>0</v>
      </c>
      <c r="Y206" s="14">
        <f>IF(H206="Active",0,1)</f>
        <v>0</v>
      </c>
    </row>
    <row r="207" spans="1:25" ht="18" customHeight="1" x14ac:dyDescent="0.35">
      <c r="A207" s="8" t="s">
        <v>1923</v>
      </c>
      <c r="B207" s="8" t="s">
        <v>244</v>
      </c>
      <c r="C207" s="8" t="s">
        <v>34</v>
      </c>
      <c r="D207" s="9">
        <v>53</v>
      </c>
      <c r="E207" s="8" t="s">
        <v>2303</v>
      </c>
      <c r="F207" s="8" t="s">
        <v>43</v>
      </c>
      <c r="G207" s="10">
        <v>45955</v>
      </c>
      <c r="H207" s="8" t="s">
        <v>26</v>
      </c>
      <c r="I207" s="8" t="s">
        <v>27</v>
      </c>
      <c r="J207" s="8" t="s">
        <v>2269</v>
      </c>
      <c r="K207" s="8" t="s">
        <v>73</v>
      </c>
      <c r="L207" s="8" t="s">
        <v>56</v>
      </c>
      <c r="M207" s="8" t="s">
        <v>64</v>
      </c>
      <c r="N207" s="11">
        <v>242327</v>
      </c>
      <c r="O207" s="11">
        <v>11860</v>
      </c>
      <c r="P207" s="12">
        <v>99.3</v>
      </c>
      <c r="Q207" s="9">
        <v>5</v>
      </c>
      <c r="R207" s="13">
        <v>19</v>
      </c>
      <c r="S207" s="13">
        <v>4</v>
      </c>
      <c r="T207" s="9">
        <v>30</v>
      </c>
      <c r="U207" s="13">
        <v>65</v>
      </c>
      <c r="V207" s="8" t="s">
        <v>31</v>
      </c>
      <c r="W207" s="8"/>
      <c r="X207" s="22">
        <f>IF(V207="Yes",1,0)</f>
        <v>0</v>
      </c>
      <c r="Y207" s="22">
        <f>IF(H207="Active",0,1)</f>
        <v>0</v>
      </c>
    </row>
    <row r="208" spans="1:25" ht="18" customHeight="1" x14ac:dyDescent="0.35">
      <c r="A208" s="14" t="s">
        <v>550</v>
      </c>
      <c r="B208" s="14" t="s">
        <v>551</v>
      </c>
      <c r="C208" s="14" t="s">
        <v>25</v>
      </c>
      <c r="D208" s="15">
        <v>60</v>
      </c>
      <c r="E208" s="14" t="s">
        <v>86</v>
      </c>
      <c r="F208" s="14" t="s">
        <v>43</v>
      </c>
      <c r="G208" s="16">
        <v>45954</v>
      </c>
      <c r="H208" s="14" t="s">
        <v>26</v>
      </c>
      <c r="I208" s="14" t="s">
        <v>27</v>
      </c>
      <c r="J208" s="14" t="s">
        <v>48</v>
      </c>
      <c r="K208" s="14" t="s">
        <v>55</v>
      </c>
      <c r="L208" s="14" t="s">
        <v>49</v>
      </c>
      <c r="M208" s="14" t="s">
        <v>45</v>
      </c>
      <c r="N208" s="17">
        <v>219656</v>
      </c>
      <c r="O208" s="17">
        <v>23971</v>
      </c>
      <c r="P208" s="18">
        <v>97.6</v>
      </c>
      <c r="Q208" s="15">
        <v>2</v>
      </c>
      <c r="R208" s="19">
        <v>29</v>
      </c>
      <c r="S208" s="19">
        <v>4</v>
      </c>
      <c r="T208" s="15">
        <v>25</v>
      </c>
      <c r="U208" s="19">
        <v>67</v>
      </c>
      <c r="V208" s="14" t="s">
        <v>31</v>
      </c>
      <c r="W208" s="14"/>
      <c r="X208" s="14">
        <f>IF(V208="Yes",1,0)</f>
        <v>0</v>
      </c>
      <c r="Y208" s="14">
        <f>IF(H208="Active",0,1)</f>
        <v>0</v>
      </c>
    </row>
    <row r="209" spans="1:25" ht="18" customHeight="1" x14ac:dyDescent="0.35">
      <c r="A209" s="14" t="s">
        <v>1374</v>
      </c>
      <c r="B209" s="14" t="s">
        <v>714</v>
      </c>
      <c r="C209" s="14" t="s">
        <v>34</v>
      </c>
      <c r="D209" s="15">
        <v>30</v>
      </c>
      <c r="E209" s="14" t="s">
        <v>109</v>
      </c>
      <c r="F209" s="14" t="s">
        <v>90</v>
      </c>
      <c r="G209" s="16">
        <v>45954</v>
      </c>
      <c r="H209" s="14" t="s">
        <v>54</v>
      </c>
      <c r="I209" s="14" t="s">
        <v>36</v>
      </c>
      <c r="J209" s="14" t="s">
        <v>2270</v>
      </c>
      <c r="K209" s="14" t="s">
        <v>28</v>
      </c>
      <c r="L209" s="14" t="s">
        <v>29</v>
      </c>
      <c r="M209" s="14" t="s">
        <v>64</v>
      </c>
      <c r="N209" s="17">
        <v>136791</v>
      </c>
      <c r="O209" s="17">
        <v>11462</v>
      </c>
      <c r="P209" s="18">
        <v>92.5</v>
      </c>
      <c r="Q209" s="15">
        <v>4</v>
      </c>
      <c r="R209" s="19">
        <v>16</v>
      </c>
      <c r="S209" s="19">
        <v>1</v>
      </c>
      <c r="T209" s="15">
        <v>17</v>
      </c>
      <c r="U209" s="19">
        <v>86</v>
      </c>
      <c r="V209" s="14" t="s">
        <v>31</v>
      </c>
      <c r="W209" s="14" t="s">
        <v>57</v>
      </c>
      <c r="X209" s="14">
        <f>IF(V209="Yes",1,0)</f>
        <v>0</v>
      </c>
      <c r="Y209" s="14">
        <f>IF(H209="Active",0,1)</f>
        <v>1</v>
      </c>
    </row>
    <row r="210" spans="1:25" ht="18" customHeight="1" x14ac:dyDescent="0.35">
      <c r="A210" s="8" t="s">
        <v>1831</v>
      </c>
      <c r="B210" s="8" t="s">
        <v>405</v>
      </c>
      <c r="C210" s="8" t="s">
        <v>25</v>
      </c>
      <c r="D210" s="9">
        <v>45</v>
      </c>
      <c r="E210" s="8" t="s">
        <v>2303</v>
      </c>
      <c r="F210" s="8" t="s">
        <v>53</v>
      </c>
      <c r="G210" s="10">
        <v>45954</v>
      </c>
      <c r="H210" s="8" t="s">
        <v>26</v>
      </c>
      <c r="I210" s="8" t="s">
        <v>27</v>
      </c>
      <c r="J210" s="8" t="s">
        <v>80</v>
      </c>
      <c r="K210" s="8" t="s">
        <v>55</v>
      </c>
      <c r="L210" s="8" t="s">
        <v>87</v>
      </c>
      <c r="M210" s="8" t="s">
        <v>45</v>
      </c>
      <c r="N210" s="11">
        <v>222308</v>
      </c>
      <c r="O210" s="11">
        <v>7193</v>
      </c>
      <c r="P210" s="12">
        <v>92.5</v>
      </c>
      <c r="Q210" s="9">
        <v>4</v>
      </c>
      <c r="R210" s="13">
        <v>22</v>
      </c>
      <c r="S210" s="13">
        <v>1</v>
      </c>
      <c r="T210" s="9">
        <v>25</v>
      </c>
      <c r="U210" s="13">
        <v>74</v>
      </c>
      <c r="V210" s="8" t="s">
        <v>31</v>
      </c>
      <c r="W210" s="8"/>
      <c r="X210" s="22">
        <f>IF(V210="Yes",1,0)</f>
        <v>0</v>
      </c>
      <c r="Y210" s="22">
        <f>IF(H210="Active",0,1)</f>
        <v>0</v>
      </c>
    </row>
    <row r="211" spans="1:25" ht="18" customHeight="1" x14ac:dyDescent="0.35">
      <c r="A211" s="14" t="s">
        <v>1944</v>
      </c>
      <c r="B211" s="14" t="s">
        <v>59</v>
      </c>
      <c r="C211" s="14" t="s">
        <v>25</v>
      </c>
      <c r="D211" s="15">
        <v>26</v>
      </c>
      <c r="E211" s="14" t="s">
        <v>93</v>
      </c>
      <c r="F211" s="14" t="s">
        <v>35</v>
      </c>
      <c r="G211" s="16">
        <v>45954</v>
      </c>
      <c r="H211" s="14" t="s">
        <v>26</v>
      </c>
      <c r="I211" s="14" t="s">
        <v>36</v>
      </c>
      <c r="J211" s="14" t="s">
        <v>2268</v>
      </c>
      <c r="K211" s="14" t="s">
        <v>55</v>
      </c>
      <c r="L211" s="14" t="s">
        <v>44</v>
      </c>
      <c r="M211" s="14" t="s">
        <v>60</v>
      </c>
      <c r="N211" s="17">
        <v>38691</v>
      </c>
      <c r="O211" s="17">
        <v>20742</v>
      </c>
      <c r="P211" s="18">
        <v>90.3</v>
      </c>
      <c r="Q211" s="15">
        <v>10</v>
      </c>
      <c r="R211" s="19">
        <v>1</v>
      </c>
      <c r="S211" s="19">
        <v>2</v>
      </c>
      <c r="T211" s="15">
        <v>18</v>
      </c>
      <c r="U211" s="19">
        <v>67</v>
      </c>
      <c r="V211" s="14" t="s">
        <v>69</v>
      </c>
      <c r="W211" s="14"/>
      <c r="X211" s="14">
        <f>IF(V211="Yes",1,0)</f>
        <v>1</v>
      </c>
      <c r="Y211" s="14">
        <f>IF(H211="Active",0,1)</f>
        <v>0</v>
      </c>
    </row>
    <row r="212" spans="1:25" ht="18" customHeight="1" x14ac:dyDescent="0.35">
      <c r="A212" s="8" t="s">
        <v>2011</v>
      </c>
      <c r="B212" s="8" t="s">
        <v>467</v>
      </c>
      <c r="C212" s="8" t="s">
        <v>34</v>
      </c>
      <c r="D212" s="9">
        <v>30</v>
      </c>
      <c r="E212" s="8" t="s">
        <v>93</v>
      </c>
      <c r="F212" s="8" t="s">
        <v>35</v>
      </c>
      <c r="G212" s="10">
        <v>45954</v>
      </c>
      <c r="H212" s="8" t="s">
        <v>26</v>
      </c>
      <c r="I212" s="8" t="s">
        <v>27</v>
      </c>
      <c r="J212" s="8" t="s">
        <v>2270</v>
      </c>
      <c r="K212" s="8" t="s">
        <v>73</v>
      </c>
      <c r="L212" s="8" t="s">
        <v>29</v>
      </c>
      <c r="M212" s="8" t="s">
        <v>60</v>
      </c>
      <c r="N212" s="11">
        <v>126496</v>
      </c>
      <c r="O212" s="11">
        <v>21806</v>
      </c>
      <c r="P212" s="12">
        <v>96.6</v>
      </c>
      <c r="Q212" s="9">
        <v>1</v>
      </c>
      <c r="R212" s="13">
        <v>10</v>
      </c>
      <c r="S212" s="13">
        <v>2</v>
      </c>
      <c r="T212" s="9">
        <v>2</v>
      </c>
      <c r="U212" s="13">
        <v>74</v>
      </c>
      <c r="V212" s="8" t="s">
        <v>31</v>
      </c>
      <c r="W212" s="8"/>
      <c r="X212" s="22">
        <f>IF(V212="Yes",1,0)</f>
        <v>0</v>
      </c>
      <c r="Y212" s="22">
        <f>IF(H212="Active",0,1)</f>
        <v>0</v>
      </c>
    </row>
    <row r="213" spans="1:25" ht="18" customHeight="1" x14ac:dyDescent="0.35">
      <c r="A213" s="14" t="s">
        <v>1110</v>
      </c>
      <c r="B213" s="14" t="s">
        <v>356</v>
      </c>
      <c r="C213" s="14" t="s">
        <v>25</v>
      </c>
      <c r="D213" s="15">
        <v>36</v>
      </c>
      <c r="E213" s="14" t="s">
        <v>52</v>
      </c>
      <c r="F213" s="14" t="s">
        <v>79</v>
      </c>
      <c r="G213" s="16">
        <v>45953</v>
      </c>
      <c r="H213" s="14" t="s">
        <v>26</v>
      </c>
      <c r="I213" s="14" t="s">
        <v>2267</v>
      </c>
      <c r="J213" s="14" t="s">
        <v>48</v>
      </c>
      <c r="K213" s="14" t="s">
        <v>28</v>
      </c>
      <c r="L213" s="14" t="s">
        <v>68</v>
      </c>
      <c r="M213" s="14" t="s">
        <v>64</v>
      </c>
      <c r="N213" s="17">
        <v>148152</v>
      </c>
      <c r="O213" s="17">
        <v>19755</v>
      </c>
      <c r="P213" s="18">
        <v>87.4</v>
      </c>
      <c r="Q213" s="15">
        <v>6</v>
      </c>
      <c r="R213" s="19">
        <v>6</v>
      </c>
      <c r="S213" s="19">
        <v>4</v>
      </c>
      <c r="T213" s="15">
        <v>38</v>
      </c>
      <c r="U213" s="19">
        <v>99</v>
      </c>
      <c r="V213" s="14" t="s">
        <v>69</v>
      </c>
      <c r="W213" s="14"/>
      <c r="X213" s="14">
        <f>IF(V213="Yes",1,0)</f>
        <v>1</v>
      </c>
      <c r="Y213" s="14">
        <f>IF(H213="Active",0,1)</f>
        <v>0</v>
      </c>
    </row>
    <row r="214" spans="1:25" ht="18" customHeight="1" x14ac:dyDescent="0.35">
      <c r="A214" s="8" t="s">
        <v>1429</v>
      </c>
      <c r="B214" s="8" t="s">
        <v>138</v>
      </c>
      <c r="C214" s="8" t="s">
        <v>25</v>
      </c>
      <c r="D214" s="9">
        <v>45</v>
      </c>
      <c r="E214" s="8" t="s">
        <v>52</v>
      </c>
      <c r="F214" s="8" t="s">
        <v>79</v>
      </c>
      <c r="G214" s="10">
        <v>45953</v>
      </c>
      <c r="H214" s="8" t="s">
        <v>26</v>
      </c>
      <c r="I214" s="8" t="s">
        <v>2267</v>
      </c>
      <c r="J214" s="8" t="s">
        <v>80</v>
      </c>
      <c r="K214" s="8" t="s">
        <v>28</v>
      </c>
      <c r="L214" s="8" t="s">
        <v>68</v>
      </c>
      <c r="M214" s="8" t="s">
        <v>45</v>
      </c>
      <c r="N214" s="11">
        <v>210967</v>
      </c>
      <c r="O214" s="11">
        <v>44401</v>
      </c>
      <c r="P214" s="12">
        <v>83.7</v>
      </c>
      <c r="Q214" s="9">
        <v>9</v>
      </c>
      <c r="R214" s="13">
        <v>6</v>
      </c>
      <c r="S214" s="13">
        <v>4</v>
      </c>
      <c r="T214" s="9">
        <v>36</v>
      </c>
      <c r="U214" s="13">
        <v>100</v>
      </c>
      <c r="V214" s="8" t="s">
        <v>31</v>
      </c>
      <c r="W214" s="8"/>
      <c r="X214" s="22">
        <f>IF(V214="Yes",1,0)</f>
        <v>0</v>
      </c>
      <c r="Y214" s="22">
        <f>IF(H214="Active",0,1)</f>
        <v>0</v>
      </c>
    </row>
    <row r="215" spans="1:25" ht="18" customHeight="1" x14ac:dyDescent="0.35">
      <c r="A215" s="8" t="s">
        <v>1741</v>
      </c>
      <c r="B215" s="8" t="s">
        <v>127</v>
      </c>
      <c r="C215" s="8" t="s">
        <v>34</v>
      </c>
      <c r="D215" s="9">
        <v>26</v>
      </c>
      <c r="E215" s="8" t="s">
        <v>63</v>
      </c>
      <c r="F215" s="8" t="s">
        <v>35</v>
      </c>
      <c r="G215" s="10">
        <v>45953</v>
      </c>
      <c r="H215" s="8" t="s">
        <v>26</v>
      </c>
      <c r="I215" s="8" t="s">
        <v>27</v>
      </c>
      <c r="J215" s="8" t="s">
        <v>80</v>
      </c>
      <c r="K215" s="8" t="s">
        <v>55</v>
      </c>
      <c r="L215" s="8" t="s">
        <v>56</v>
      </c>
      <c r="M215" s="8" t="s">
        <v>64</v>
      </c>
      <c r="N215" s="11">
        <v>109376</v>
      </c>
      <c r="O215" s="11">
        <v>44999</v>
      </c>
      <c r="P215" s="12">
        <v>91.5</v>
      </c>
      <c r="Q215" s="9">
        <v>8</v>
      </c>
      <c r="R215" s="13">
        <v>13</v>
      </c>
      <c r="S215" s="13">
        <v>3</v>
      </c>
      <c r="T215" s="9">
        <v>22</v>
      </c>
      <c r="U215" s="13">
        <v>88</v>
      </c>
      <c r="V215" s="8" t="s">
        <v>69</v>
      </c>
      <c r="W215" s="8"/>
      <c r="X215" s="22">
        <f>IF(V215="Yes",1,0)</f>
        <v>1</v>
      </c>
      <c r="Y215" s="22">
        <f>IF(H215="Active",0,1)</f>
        <v>0</v>
      </c>
    </row>
    <row r="216" spans="1:25" ht="18" customHeight="1" x14ac:dyDescent="0.35">
      <c r="A216" s="8" t="s">
        <v>2107</v>
      </c>
      <c r="B216" s="8" t="s">
        <v>228</v>
      </c>
      <c r="C216" s="8" t="s">
        <v>34</v>
      </c>
      <c r="D216" s="9">
        <v>24</v>
      </c>
      <c r="E216" s="8" t="s">
        <v>52</v>
      </c>
      <c r="F216" s="8" t="s">
        <v>53</v>
      </c>
      <c r="G216" s="10">
        <v>45953</v>
      </c>
      <c r="H216" s="8" t="s">
        <v>26</v>
      </c>
      <c r="I216" s="8" t="s">
        <v>36</v>
      </c>
      <c r="J216" s="8" t="s">
        <v>2269</v>
      </c>
      <c r="K216" s="8" t="s">
        <v>73</v>
      </c>
      <c r="L216" s="8" t="s">
        <v>56</v>
      </c>
      <c r="M216" s="8" t="s">
        <v>39</v>
      </c>
      <c r="N216" s="11">
        <v>49426</v>
      </c>
      <c r="O216" s="11">
        <v>5864</v>
      </c>
      <c r="P216" s="12">
        <v>98.3</v>
      </c>
      <c r="Q216" s="9">
        <v>9</v>
      </c>
      <c r="R216" s="13">
        <v>8</v>
      </c>
      <c r="S216" s="13">
        <v>4</v>
      </c>
      <c r="T216" s="9">
        <v>19</v>
      </c>
      <c r="U216" s="13">
        <v>69</v>
      </c>
      <c r="V216" s="8" t="s">
        <v>31</v>
      </c>
      <c r="W216" s="8"/>
      <c r="X216" s="22">
        <f>IF(V216="Yes",1,0)</f>
        <v>0</v>
      </c>
      <c r="Y216" s="22">
        <f>IF(H216="Active",0,1)</f>
        <v>0</v>
      </c>
    </row>
    <row r="217" spans="1:25" ht="18" customHeight="1" x14ac:dyDescent="0.35">
      <c r="A217" s="8" t="s">
        <v>1381</v>
      </c>
      <c r="B217" s="8" t="s">
        <v>151</v>
      </c>
      <c r="C217" s="8" t="s">
        <v>25</v>
      </c>
      <c r="D217" s="9">
        <v>25</v>
      </c>
      <c r="E217" s="8" t="s">
        <v>2303</v>
      </c>
      <c r="F217" s="8" t="s">
        <v>43</v>
      </c>
      <c r="G217" s="10">
        <v>45952</v>
      </c>
      <c r="H217" s="8" t="s">
        <v>26</v>
      </c>
      <c r="I217" s="8" t="s">
        <v>27</v>
      </c>
      <c r="J217" s="8" t="s">
        <v>80</v>
      </c>
      <c r="K217" s="8" t="s">
        <v>2271</v>
      </c>
      <c r="L217" s="8" t="s">
        <v>38</v>
      </c>
      <c r="M217" s="8" t="s">
        <v>64</v>
      </c>
      <c r="N217" s="11">
        <v>136128</v>
      </c>
      <c r="O217" s="11">
        <v>34900</v>
      </c>
      <c r="P217" s="12">
        <v>83.5</v>
      </c>
      <c r="Q217" s="9">
        <v>10</v>
      </c>
      <c r="R217" s="13">
        <v>7</v>
      </c>
      <c r="S217" s="13">
        <v>4</v>
      </c>
      <c r="T217" s="9">
        <v>20</v>
      </c>
      <c r="U217" s="13">
        <v>88</v>
      </c>
      <c r="V217" s="8" t="s">
        <v>31</v>
      </c>
      <c r="W217" s="8"/>
      <c r="X217" s="22">
        <f>IF(V217="Yes",1,0)</f>
        <v>0</v>
      </c>
      <c r="Y217" s="22">
        <f>IF(H217="Active",0,1)</f>
        <v>0</v>
      </c>
    </row>
    <row r="218" spans="1:25" ht="18" customHeight="1" x14ac:dyDescent="0.35">
      <c r="A218" s="14" t="s">
        <v>1594</v>
      </c>
      <c r="B218" s="14" t="s">
        <v>1155</v>
      </c>
      <c r="C218" s="14" t="s">
        <v>25</v>
      </c>
      <c r="D218" s="15">
        <v>36</v>
      </c>
      <c r="E218" s="14" t="s">
        <v>86</v>
      </c>
      <c r="F218" s="14" t="s">
        <v>35</v>
      </c>
      <c r="G218" s="16">
        <v>45952</v>
      </c>
      <c r="H218" s="14" t="s">
        <v>26</v>
      </c>
      <c r="I218" s="14" t="s">
        <v>2267</v>
      </c>
      <c r="J218" s="14" t="s">
        <v>80</v>
      </c>
      <c r="K218" s="14" t="s">
        <v>37</v>
      </c>
      <c r="L218" s="14" t="s">
        <v>116</v>
      </c>
      <c r="M218" s="14" t="s">
        <v>45</v>
      </c>
      <c r="N218" s="17">
        <v>95230</v>
      </c>
      <c r="O218" s="17">
        <v>34945</v>
      </c>
      <c r="P218" s="18">
        <v>96</v>
      </c>
      <c r="Q218" s="15">
        <v>6</v>
      </c>
      <c r="R218" s="19">
        <v>2</v>
      </c>
      <c r="S218" s="19">
        <v>4</v>
      </c>
      <c r="T218" s="15">
        <v>21</v>
      </c>
      <c r="U218" s="19">
        <v>84</v>
      </c>
      <c r="V218" s="14" t="s">
        <v>31</v>
      </c>
      <c r="W218" s="14"/>
      <c r="X218" s="14">
        <f>IF(V218="Yes",1,0)</f>
        <v>0</v>
      </c>
      <c r="Y218" s="14">
        <f>IF(H218="Active",0,1)</f>
        <v>0</v>
      </c>
    </row>
    <row r="219" spans="1:25" ht="18" customHeight="1" x14ac:dyDescent="0.35">
      <c r="A219" s="14" t="s">
        <v>1630</v>
      </c>
      <c r="B219" s="14" t="s">
        <v>24</v>
      </c>
      <c r="C219" s="14" t="s">
        <v>34</v>
      </c>
      <c r="D219" s="15">
        <v>50</v>
      </c>
      <c r="E219" s="14" t="s">
        <v>67</v>
      </c>
      <c r="F219" s="14" t="s">
        <v>76</v>
      </c>
      <c r="G219" s="16">
        <v>45952</v>
      </c>
      <c r="H219" s="14" t="s">
        <v>26</v>
      </c>
      <c r="I219" s="14" t="s">
        <v>2267</v>
      </c>
      <c r="J219" s="14" t="s">
        <v>2269</v>
      </c>
      <c r="K219" s="14" t="s">
        <v>73</v>
      </c>
      <c r="L219" s="14" t="s">
        <v>49</v>
      </c>
      <c r="M219" s="14" t="s">
        <v>45</v>
      </c>
      <c r="N219" s="17">
        <v>77638</v>
      </c>
      <c r="O219" s="17">
        <v>33243</v>
      </c>
      <c r="P219" s="18">
        <v>85</v>
      </c>
      <c r="Q219" s="15">
        <v>8</v>
      </c>
      <c r="R219" s="19">
        <v>10</v>
      </c>
      <c r="S219" s="19">
        <v>3</v>
      </c>
      <c r="T219" s="15">
        <v>15</v>
      </c>
      <c r="U219" s="19">
        <v>65</v>
      </c>
      <c r="V219" s="14" t="s">
        <v>69</v>
      </c>
      <c r="W219" s="14"/>
      <c r="X219" s="14">
        <f>IF(V219="Yes",1,0)</f>
        <v>1</v>
      </c>
      <c r="Y219" s="14">
        <f>IF(H219="Active",0,1)</f>
        <v>0</v>
      </c>
    </row>
    <row r="220" spans="1:25" ht="18" customHeight="1" x14ac:dyDescent="0.35">
      <c r="A220" s="14" t="s">
        <v>1824</v>
      </c>
      <c r="B220" s="14" t="s">
        <v>162</v>
      </c>
      <c r="C220" s="14" t="s">
        <v>34</v>
      </c>
      <c r="D220" s="15">
        <v>41</v>
      </c>
      <c r="E220" s="14" t="s">
        <v>93</v>
      </c>
      <c r="F220" s="14" t="s">
        <v>12</v>
      </c>
      <c r="G220" s="16">
        <v>45952</v>
      </c>
      <c r="H220" s="14" t="s">
        <v>26</v>
      </c>
      <c r="I220" s="14" t="s">
        <v>27</v>
      </c>
      <c r="J220" s="14" t="s">
        <v>48</v>
      </c>
      <c r="K220" s="14" t="s">
        <v>2271</v>
      </c>
      <c r="L220" s="14" t="s">
        <v>38</v>
      </c>
      <c r="M220" s="14" t="s">
        <v>45</v>
      </c>
      <c r="N220" s="17">
        <v>243313</v>
      </c>
      <c r="O220" s="17">
        <v>32310</v>
      </c>
      <c r="P220" s="18">
        <v>83.5</v>
      </c>
      <c r="Q220" s="15">
        <v>0</v>
      </c>
      <c r="R220" s="19">
        <v>2</v>
      </c>
      <c r="S220" s="19">
        <v>3</v>
      </c>
      <c r="T220" s="15">
        <v>13</v>
      </c>
      <c r="U220" s="19">
        <v>70</v>
      </c>
      <c r="V220" s="14" t="s">
        <v>31</v>
      </c>
      <c r="W220" s="14"/>
      <c r="X220" s="14">
        <f>IF(V220="Yes",1,0)</f>
        <v>0</v>
      </c>
      <c r="Y220" s="14">
        <f>IF(H220="Active",0,1)</f>
        <v>0</v>
      </c>
    </row>
    <row r="221" spans="1:25" ht="18" customHeight="1" x14ac:dyDescent="0.35">
      <c r="A221" s="8" t="s">
        <v>137</v>
      </c>
      <c r="B221" s="8" t="s">
        <v>138</v>
      </c>
      <c r="C221" s="8" t="s">
        <v>25</v>
      </c>
      <c r="D221" s="9">
        <v>23</v>
      </c>
      <c r="E221" s="8" t="s">
        <v>42</v>
      </c>
      <c r="F221" s="8" t="s">
        <v>12</v>
      </c>
      <c r="G221" s="10">
        <v>45951</v>
      </c>
      <c r="H221" s="8" t="s">
        <v>26</v>
      </c>
      <c r="I221" s="8" t="s">
        <v>36</v>
      </c>
      <c r="J221" s="8" t="s">
        <v>2269</v>
      </c>
      <c r="K221" s="8" t="s">
        <v>37</v>
      </c>
      <c r="L221" s="8" t="s">
        <v>56</v>
      </c>
      <c r="M221" s="8" t="s">
        <v>39</v>
      </c>
      <c r="N221" s="11">
        <v>83151</v>
      </c>
      <c r="O221" s="11">
        <v>37963</v>
      </c>
      <c r="P221" s="12">
        <v>87</v>
      </c>
      <c r="Q221" s="9">
        <v>4</v>
      </c>
      <c r="R221" s="13">
        <v>12</v>
      </c>
      <c r="S221" s="13">
        <v>1</v>
      </c>
      <c r="T221" s="9">
        <v>17</v>
      </c>
      <c r="U221" s="13">
        <v>81</v>
      </c>
      <c r="V221" s="8" t="s">
        <v>31</v>
      </c>
      <c r="W221" s="8"/>
      <c r="X221" s="22">
        <f>IF(V221="Yes",1,0)</f>
        <v>0</v>
      </c>
      <c r="Y221" s="22">
        <f>IF(H221="Active",0,1)</f>
        <v>0</v>
      </c>
    </row>
    <row r="222" spans="1:25" ht="18" customHeight="1" x14ac:dyDescent="0.35">
      <c r="A222" s="8" t="s">
        <v>565</v>
      </c>
      <c r="B222" s="8" t="s">
        <v>297</v>
      </c>
      <c r="C222" s="8" t="s">
        <v>25</v>
      </c>
      <c r="D222" s="9">
        <v>56</v>
      </c>
      <c r="E222" s="8" t="s">
        <v>109</v>
      </c>
      <c r="F222" s="8" t="s">
        <v>76</v>
      </c>
      <c r="G222" s="10">
        <v>45951</v>
      </c>
      <c r="H222" s="8" t="s">
        <v>26</v>
      </c>
      <c r="I222" s="8" t="s">
        <v>2267</v>
      </c>
      <c r="J222" s="8" t="s">
        <v>2268</v>
      </c>
      <c r="K222" s="8" t="s">
        <v>37</v>
      </c>
      <c r="L222" s="8" t="s">
        <v>38</v>
      </c>
      <c r="M222" s="8" t="s">
        <v>30</v>
      </c>
      <c r="N222" s="11">
        <v>209808</v>
      </c>
      <c r="O222" s="11">
        <v>36446</v>
      </c>
      <c r="P222" s="12">
        <v>81.2</v>
      </c>
      <c r="Q222" s="9">
        <v>7</v>
      </c>
      <c r="R222" s="13">
        <v>17</v>
      </c>
      <c r="S222" s="13">
        <v>5</v>
      </c>
      <c r="T222" s="9">
        <v>31</v>
      </c>
      <c r="U222" s="13">
        <v>60</v>
      </c>
      <c r="V222" s="8" t="s">
        <v>31</v>
      </c>
      <c r="W222" s="8"/>
      <c r="X222" s="22">
        <f>IF(V222="Yes",1,0)</f>
        <v>0</v>
      </c>
      <c r="Y222" s="22">
        <f>IF(H222="Active",0,1)</f>
        <v>0</v>
      </c>
    </row>
    <row r="223" spans="1:25" ht="18" customHeight="1" x14ac:dyDescent="0.35">
      <c r="A223" s="8" t="s">
        <v>2261</v>
      </c>
      <c r="B223" s="8" t="s">
        <v>153</v>
      </c>
      <c r="C223" s="8" t="s">
        <v>25</v>
      </c>
      <c r="D223" s="9">
        <v>22</v>
      </c>
      <c r="E223" s="8" t="s">
        <v>42</v>
      </c>
      <c r="F223" s="8" t="s">
        <v>76</v>
      </c>
      <c r="G223" s="10">
        <v>45951</v>
      </c>
      <c r="H223" s="8" t="s">
        <v>26</v>
      </c>
      <c r="I223" s="8" t="s">
        <v>2267</v>
      </c>
      <c r="J223" s="8" t="s">
        <v>48</v>
      </c>
      <c r="K223" s="8" t="s">
        <v>2271</v>
      </c>
      <c r="L223" s="8" t="s">
        <v>49</v>
      </c>
      <c r="M223" s="8" t="s">
        <v>64</v>
      </c>
      <c r="N223" s="11">
        <v>198231</v>
      </c>
      <c r="O223" s="11">
        <v>47705</v>
      </c>
      <c r="P223" s="12">
        <v>98.7</v>
      </c>
      <c r="Q223" s="9">
        <v>10</v>
      </c>
      <c r="R223" s="13">
        <v>18</v>
      </c>
      <c r="S223" s="13">
        <v>4</v>
      </c>
      <c r="T223" s="9">
        <v>39</v>
      </c>
      <c r="U223" s="13">
        <v>84</v>
      </c>
      <c r="V223" s="8" t="s">
        <v>69</v>
      </c>
      <c r="W223" s="8"/>
      <c r="X223" s="22">
        <f>IF(V223="Yes",1,0)</f>
        <v>1</v>
      </c>
      <c r="Y223" s="22">
        <f>IF(H223="Active",0,1)</f>
        <v>0</v>
      </c>
    </row>
    <row r="224" spans="1:25" ht="18" customHeight="1" x14ac:dyDescent="0.35">
      <c r="A224" s="14" t="s">
        <v>1532</v>
      </c>
      <c r="B224" s="14" t="s">
        <v>390</v>
      </c>
      <c r="C224" s="14" t="s">
        <v>34</v>
      </c>
      <c r="D224" s="15">
        <v>28</v>
      </c>
      <c r="E224" s="14" t="s">
        <v>52</v>
      </c>
      <c r="F224" s="14" t="s">
        <v>35</v>
      </c>
      <c r="G224" s="16">
        <v>45950</v>
      </c>
      <c r="H224" s="14" t="s">
        <v>26</v>
      </c>
      <c r="I224" s="14" t="s">
        <v>36</v>
      </c>
      <c r="J224" s="14" t="s">
        <v>80</v>
      </c>
      <c r="K224" s="14" t="s">
        <v>2271</v>
      </c>
      <c r="L224" s="14" t="s">
        <v>38</v>
      </c>
      <c r="M224" s="14" t="s">
        <v>45</v>
      </c>
      <c r="N224" s="17">
        <v>78586</v>
      </c>
      <c r="O224" s="17">
        <v>9058</v>
      </c>
      <c r="P224" s="18">
        <v>92.6</v>
      </c>
      <c r="Q224" s="15">
        <v>5</v>
      </c>
      <c r="R224" s="19">
        <v>0</v>
      </c>
      <c r="S224" s="19">
        <v>5</v>
      </c>
      <c r="T224" s="15">
        <v>39</v>
      </c>
      <c r="U224" s="19">
        <v>95</v>
      </c>
      <c r="V224" s="14" t="s">
        <v>31</v>
      </c>
      <c r="W224" s="14"/>
      <c r="X224" s="14">
        <f>IF(V224="Yes",1,0)</f>
        <v>0</v>
      </c>
      <c r="Y224" s="14">
        <f>IF(H224="Active",0,1)</f>
        <v>0</v>
      </c>
    </row>
    <row r="225" spans="1:25" ht="18" customHeight="1" x14ac:dyDescent="0.35">
      <c r="A225" s="8" t="s">
        <v>2077</v>
      </c>
      <c r="B225" s="8" t="s">
        <v>220</v>
      </c>
      <c r="C225" s="8" t="s">
        <v>25</v>
      </c>
      <c r="D225" s="9">
        <v>59</v>
      </c>
      <c r="E225" s="8" t="s">
        <v>93</v>
      </c>
      <c r="F225" s="8" t="s">
        <v>35</v>
      </c>
      <c r="G225" s="10">
        <v>45950</v>
      </c>
      <c r="H225" s="8" t="s">
        <v>26</v>
      </c>
      <c r="I225" s="8" t="s">
        <v>2267</v>
      </c>
      <c r="J225" s="8" t="s">
        <v>2269</v>
      </c>
      <c r="K225" s="8" t="s">
        <v>55</v>
      </c>
      <c r="L225" s="8" t="s">
        <v>68</v>
      </c>
      <c r="M225" s="8" t="s">
        <v>45</v>
      </c>
      <c r="N225" s="11">
        <v>113314</v>
      </c>
      <c r="O225" s="11">
        <v>15920</v>
      </c>
      <c r="P225" s="12">
        <v>95.6</v>
      </c>
      <c r="Q225" s="9">
        <v>9</v>
      </c>
      <c r="R225" s="13">
        <v>14</v>
      </c>
      <c r="S225" s="13">
        <v>5</v>
      </c>
      <c r="T225" s="9">
        <v>2</v>
      </c>
      <c r="U225" s="13">
        <v>63</v>
      </c>
      <c r="V225" s="8" t="s">
        <v>69</v>
      </c>
      <c r="W225" s="8"/>
      <c r="X225" s="22">
        <f>IF(V225="Yes",1,0)</f>
        <v>1</v>
      </c>
      <c r="Y225" s="22">
        <f>IF(H225="Active",0,1)</f>
        <v>0</v>
      </c>
    </row>
    <row r="226" spans="1:25" ht="18" customHeight="1" x14ac:dyDescent="0.35">
      <c r="A226" s="14" t="s">
        <v>2144</v>
      </c>
      <c r="B226" s="14" t="s">
        <v>224</v>
      </c>
      <c r="C226" s="14" t="s">
        <v>34</v>
      </c>
      <c r="D226" s="15">
        <v>44</v>
      </c>
      <c r="E226" s="14" t="s">
        <v>52</v>
      </c>
      <c r="F226" s="14" t="s">
        <v>72</v>
      </c>
      <c r="G226" s="16">
        <v>45950</v>
      </c>
      <c r="H226" s="14" t="s">
        <v>26</v>
      </c>
      <c r="I226" s="14" t="s">
        <v>27</v>
      </c>
      <c r="J226" s="14" t="s">
        <v>48</v>
      </c>
      <c r="K226" s="14" t="s">
        <v>28</v>
      </c>
      <c r="L226" s="14" t="s">
        <v>87</v>
      </c>
      <c r="M226" s="14" t="s">
        <v>39</v>
      </c>
      <c r="N226" s="17">
        <v>242192</v>
      </c>
      <c r="O226" s="17">
        <v>24492</v>
      </c>
      <c r="P226" s="18">
        <v>93.4</v>
      </c>
      <c r="Q226" s="15">
        <v>2</v>
      </c>
      <c r="R226" s="19">
        <v>2</v>
      </c>
      <c r="S226" s="19">
        <v>3</v>
      </c>
      <c r="T226" s="15">
        <v>22</v>
      </c>
      <c r="U226" s="19">
        <v>65</v>
      </c>
      <c r="V226" s="14" t="s">
        <v>31</v>
      </c>
      <c r="W226" s="14"/>
      <c r="X226" s="14">
        <f>IF(V226="Yes",1,0)</f>
        <v>0</v>
      </c>
      <c r="Y226" s="14">
        <f>IF(H226="Active",0,1)</f>
        <v>0</v>
      </c>
    </row>
    <row r="227" spans="1:25" ht="18" customHeight="1" x14ac:dyDescent="0.35">
      <c r="A227" s="8" t="s">
        <v>1075</v>
      </c>
      <c r="B227" s="8" t="s">
        <v>181</v>
      </c>
      <c r="C227" s="8" t="s">
        <v>25</v>
      </c>
      <c r="D227" s="9">
        <v>43</v>
      </c>
      <c r="E227" s="8" t="s">
        <v>63</v>
      </c>
      <c r="F227" s="8" t="s">
        <v>90</v>
      </c>
      <c r="G227" s="10">
        <v>45949</v>
      </c>
      <c r="H227" s="8" t="s">
        <v>26</v>
      </c>
      <c r="I227" s="8" t="s">
        <v>27</v>
      </c>
      <c r="J227" s="8" t="s">
        <v>80</v>
      </c>
      <c r="K227" s="8" t="s">
        <v>37</v>
      </c>
      <c r="L227" s="8" t="s">
        <v>49</v>
      </c>
      <c r="M227" s="8" t="s">
        <v>64</v>
      </c>
      <c r="N227" s="11">
        <v>73181</v>
      </c>
      <c r="O227" s="11">
        <v>8511</v>
      </c>
      <c r="P227" s="12">
        <v>90.3</v>
      </c>
      <c r="Q227" s="9">
        <v>10</v>
      </c>
      <c r="R227" s="13">
        <v>29</v>
      </c>
      <c r="S227" s="13">
        <v>2</v>
      </c>
      <c r="T227" s="9">
        <v>2</v>
      </c>
      <c r="U227" s="13">
        <v>74</v>
      </c>
      <c r="V227" s="8" t="s">
        <v>31</v>
      </c>
      <c r="W227" s="8"/>
      <c r="X227" s="22">
        <f>IF(V227="Yes",1,0)</f>
        <v>0</v>
      </c>
      <c r="Y227" s="22">
        <f>IF(H227="Active",0,1)</f>
        <v>0</v>
      </c>
    </row>
    <row r="228" spans="1:25" ht="18" customHeight="1" x14ac:dyDescent="0.35">
      <c r="A228" s="8" t="s">
        <v>1303</v>
      </c>
      <c r="B228" s="8" t="s">
        <v>548</v>
      </c>
      <c r="C228" s="8" t="s">
        <v>34</v>
      </c>
      <c r="D228" s="9">
        <v>36</v>
      </c>
      <c r="E228" s="8" t="s">
        <v>42</v>
      </c>
      <c r="F228" s="8" t="s">
        <v>79</v>
      </c>
      <c r="G228" s="10">
        <v>45949</v>
      </c>
      <c r="H228" s="8" t="s">
        <v>26</v>
      </c>
      <c r="I228" s="8" t="s">
        <v>36</v>
      </c>
      <c r="J228" s="8" t="s">
        <v>48</v>
      </c>
      <c r="K228" s="8" t="s">
        <v>2271</v>
      </c>
      <c r="L228" s="8" t="s">
        <v>87</v>
      </c>
      <c r="M228" s="8" t="s">
        <v>30</v>
      </c>
      <c r="N228" s="11">
        <v>129190</v>
      </c>
      <c r="O228" s="11">
        <v>30298</v>
      </c>
      <c r="P228" s="12">
        <v>87.8</v>
      </c>
      <c r="Q228" s="9">
        <v>2</v>
      </c>
      <c r="R228" s="13">
        <v>5</v>
      </c>
      <c r="S228" s="13">
        <v>3</v>
      </c>
      <c r="T228" s="9">
        <v>7</v>
      </c>
      <c r="U228" s="13">
        <v>97</v>
      </c>
      <c r="V228" s="8" t="s">
        <v>31</v>
      </c>
      <c r="W228" s="8"/>
      <c r="X228" s="22">
        <f>IF(V228="Yes",1,0)</f>
        <v>0</v>
      </c>
      <c r="Y228" s="22">
        <f>IF(H228="Active",0,1)</f>
        <v>0</v>
      </c>
    </row>
    <row r="229" spans="1:25" ht="18" customHeight="1" x14ac:dyDescent="0.35">
      <c r="A229" s="8" t="s">
        <v>188</v>
      </c>
      <c r="B229" s="8" t="s">
        <v>189</v>
      </c>
      <c r="C229" s="8" t="s">
        <v>25</v>
      </c>
      <c r="D229" s="9">
        <v>59</v>
      </c>
      <c r="E229" s="8" t="s">
        <v>86</v>
      </c>
      <c r="F229" s="8" t="s">
        <v>79</v>
      </c>
      <c r="G229" s="10">
        <v>45948</v>
      </c>
      <c r="H229" s="8" t="s">
        <v>26</v>
      </c>
      <c r="I229" s="8" t="s">
        <v>27</v>
      </c>
      <c r="J229" s="8" t="s">
        <v>2268</v>
      </c>
      <c r="K229" s="8" t="s">
        <v>2271</v>
      </c>
      <c r="L229" s="8" t="s">
        <v>87</v>
      </c>
      <c r="M229" s="8" t="s">
        <v>39</v>
      </c>
      <c r="N229" s="11">
        <v>53157</v>
      </c>
      <c r="O229" s="11">
        <v>49963</v>
      </c>
      <c r="P229" s="12">
        <v>92.9</v>
      </c>
      <c r="Q229" s="9">
        <v>1</v>
      </c>
      <c r="R229" s="13">
        <v>9</v>
      </c>
      <c r="S229" s="13">
        <v>2</v>
      </c>
      <c r="T229" s="9">
        <v>15</v>
      </c>
      <c r="U229" s="13">
        <v>68</v>
      </c>
      <c r="V229" s="8" t="s">
        <v>69</v>
      </c>
      <c r="W229" s="8"/>
      <c r="X229" s="22">
        <f>IF(V229="Yes",1,0)</f>
        <v>1</v>
      </c>
      <c r="Y229" s="22">
        <f>IF(H229="Active",0,1)</f>
        <v>0</v>
      </c>
    </row>
    <row r="230" spans="1:25" ht="18" customHeight="1" x14ac:dyDescent="0.35">
      <c r="A230" s="8" t="s">
        <v>977</v>
      </c>
      <c r="B230" s="8" t="s">
        <v>252</v>
      </c>
      <c r="C230" s="8" t="s">
        <v>34</v>
      </c>
      <c r="D230" s="9">
        <v>60</v>
      </c>
      <c r="E230" s="8" t="s">
        <v>2304</v>
      </c>
      <c r="F230" s="8" t="s">
        <v>53</v>
      </c>
      <c r="G230" s="10">
        <v>45948</v>
      </c>
      <c r="H230" s="8" t="s">
        <v>54</v>
      </c>
      <c r="I230" s="8" t="s">
        <v>36</v>
      </c>
      <c r="J230" s="8" t="s">
        <v>2268</v>
      </c>
      <c r="K230" s="8" t="s">
        <v>55</v>
      </c>
      <c r="L230" s="8" t="s">
        <v>49</v>
      </c>
      <c r="M230" s="8" t="s">
        <v>60</v>
      </c>
      <c r="N230" s="11">
        <v>44438</v>
      </c>
      <c r="O230" s="11">
        <v>31709</v>
      </c>
      <c r="P230" s="12">
        <v>85.9</v>
      </c>
      <c r="Q230" s="9">
        <v>9</v>
      </c>
      <c r="R230" s="13">
        <v>28</v>
      </c>
      <c r="S230" s="13">
        <v>5</v>
      </c>
      <c r="T230" s="9">
        <v>22</v>
      </c>
      <c r="U230" s="13">
        <v>62</v>
      </c>
      <c r="V230" s="8" t="s">
        <v>31</v>
      </c>
      <c r="W230" s="8" t="s">
        <v>57</v>
      </c>
      <c r="X230" s="22">
        <f>IF(V230="Yes",1,0)</f>
        <v>0</v>
      </c>
      <c r="Y230" s="22">
        <f>IF(H230="Active",0,1)</f>
        <v>1</v>
      </c>
    </row>
    <row r="231" spans="1:25" ht="18" customHeight="1" x14ac:dyDescent="0.35">
      <c r="A231" s="8" t="s">
        <v>1206</v>
      </c>
      <c r="B231" s="8" t="s">
        <v>115</v>
      </c>
      <c r="C231" s="8" t="s">
        <v>34</v>
      </c>
      <c r="D231" s="9">
        <v>44</v>
      </c>
      <c r="E231" s="8" t="s">
        <v>42</v>
      </c>
      <c r="F231" s="8" t="s">
        <v>72</v>
      </c>
      <c r="G231" s="10">
        <v>45948</v>
      </c>
      <c r="H231" s="8" t="s">
        <v>54</v>
      </c>
      <c r="I231" s="8" t="s">
        <v>27</v>
      </c>
      <c r="J231" s="8" t="s">
        <v>2269</v>
      </c>
      <c r="K231" s="8" t="s">
        <v>37</v>
      </c>
      <c r="L231" s="8" t="s">
        <v>68</v>
      </c>
      <c r="M231" s="8" t="s">
        <v>39</v>
      </c>
      <c r="N231" s="11">
        <v>180875</v>
      </c>
      <c r="O231" s="11">
        <v>12167</v>
      </c>
      <c r="P231" s="12">
        <v>81.7</v>
      </c>
      <c r="Q231" s="9">
        <v>7</v>
      </c>
      <c r="R231" s="13">
        <v>19</v>
      </c>
      <c r="S231" s="13">
        <v>2</v>
      </c>
      <c r="T231" s="9">
        <v>19</v>
      </c>
      <c r="U231" s="13">
        <v>79</v>
      </c>
      <c r="V231" s="8" t="s">
        <v>31</v>
      </c>
      <c r="W231" s="8" t="s">
        <v>205</v>
      </c>
      <c r="X231" s="22">
        <f>IF(V231="Yes",1,0)</f>
        <v>0</v>
      </c>
      <c r="Y231" s="22">
        <f>IF(H231="Active",0,1)</f>
        <v>1</v>
      </c>
    </row>
    <row r="232" spans="1:25" ht="18" customHeight="1" x14ac:dyDescent="0.35">
      <c r="A232" s="8" t="s">
        <v>1863</v>
      </c>
      <c r="B232" s="8" t="s">
        <v>318</v>
      </c>
      <c r="C232" s="8" t="s">
        <v>25</v>
      </c>
      <c r="D232" s="9">
        <v>32</v>
      </c>
      <c r="E232" s="8" t="s">
        <v>42</v>
      </c>
      <c r="F232" s="8" t="s">
        <v>43</v>
      </c>
      <c r="G232" s="10">
        <v>45948</v>
      </c>
      <c r="H232" s="8" t="s">
        <v>26</v>
      </c>
      <c r="I232" s="8" t="s">
        <v>2267</v>
      </c>
      <c r="J232" s="8" t="s">
        <v>2270</v>
      </c>
      <c r="K232" s="8" t="s">
        <v>2271</v>
      </c>
      <c r="L232" s="8" t="s">
        <v>87</v>
      </c>
      <c r="M232" s="8" t="s">
        <v>39</v>
      </c>
      <c r="N232" s="11">
        <v>96817</v>
      </c>
      <c r="O232" s="11">
        <v>48355</v>
      </c>
      <c r="P232" s="12">
        <v>88</v>
      </c>
      <c r="Q232" s="9">
        <v>1</v>
      </c>
      <c r="R232" s="13">
        <v>0</v>
      </c>
      <c r="S232" s="13">
        <v>3</v>
      </c>
      <c r="T232" s="9">
        <v>30</v>
      </c>
      <c r="U232" s="13">
        <v>98</v>
      </c>
      <c r="V232" s="8" t="s">
        <v>69</v>
      </c>
      <c r="W232" s="8"/>
      <c r="X232" s="22">
        <f>IF(V232="Yes",1,0)</f>
        <v>1</v>
      </c>
      <c r="Y232" s="22">
        <f>IF(H232="Active",0,1)</f>
        <v>0</v>
      </c>
    </row>
    <row r="233" spans="1:25" ht="18" customHeight="1" x14ac:dyDescent="0.35">
      <c r="A233" s="8" t="s">
        <v>479</v>
      </c>
      <c r="B233" s="8" t="s">
        <v>157</v>
      </c>
      <c r="C233" s="8" t="s">
        <v>25</v>
      </c>
      <c r="D233" s="9">
        <v>29</v>
      </c>
      <c r="E233" s="8" t="s">
        <v>2304</v>
      </c>
      <c r="F233" s="8" t="s">
        <v>72</v>
      </c>
      <c r="G233" s="10">
        <v>45947</v>
      </c>
      <c r="H233" s="8" t="s">
        <v>26</v>
      </c>
      <c r="I233" s="8" t="s">
        <v>27</v>
      </c>
      <c r="J233" s="8" t="s">
        <v>2270</v>
      </c>
      <c r="K233" s="8" t="s">
        <v>55</v>
      </c>
      <c r="L233" s="8" t="s">
        <v>68</v>
      </c>
      <c r="M233" s="8" t="s">
        <v>64</v>
      </c>
      <c r="N233" s="11">
        <v>175130</v>
      </c>
      <c r="O233" s="11">
        <v>22869</v>
      </c>
      <c r="P233" s="12">
        <v>86.9</v>
      </c>
      <c r="Q233" s="9">
        <v>3</v>
      </c>
      <c r="R233" s="13">
        <v>4</v>
      </c>
      <c r="S233" s="13">
        <v>1</v>
      </c>
      <c r="T233" s="9">
        <v>14</v>
      </c>
      <c r="U233" s="13">
        <v>66</v>
      </c>
      <c r="V233" s="8" t="s">
        <v>31</v>
      </c>
      <c r="W233" s="8"/>
      <c r="X233" s="22">
        <f>IF(V233="Yes",1,0)</f>
        <v>0</v>
      </c>
      <c r="Y233" s="22">
        <f>IF(H233="Active",0,1)</f>
        <v>0</v>
      </c>
    </row>
    <row r="234" spans="1:25" ht="18" customHeight="1" x14ac:dyDescent="0.35">
      <c r="A234" s="8" t="s">
        <v>570</v>
      </c>
      <c r="B234" s="8" t="s">
        <v>263</v>
      </c>
      <c r="C234" s="8" t="s">
        <v>34</v>
      </c>
      <c r="D234" s="9">
        <v>37</v>
      </c>
      <c r="E234" s="8" t="s">
        <v>67</v>
      </c>
      <c r="F234" s="8" t="s">
        <v>12</v>
      </c>
      <c r="G234" s="10">
        <v>45947</v>
      </c>
      <c r="H234" s="8" t="s">
        <v>26</v>
      </c>
      <c r="I234" s="8" t="s">
        <v>36</v>
      </c>
      <c r="J234" s="8" t="s">
        <v>2269</v>
      </c>
      <c r="K234" s="8" t="s">
        <v>2271</v>
      </c>
      <c r="L234" s="8" t="s">
        <v>56</v>
      </c>
      <c r="M234" s="8" t="s">
        <v>60</v>
      </c>
      <c r="N234" s="11">
        <v>192849</v>
      </c>
      <c r="O234" s="11">
        <v>17323</v>
      </c>
      <c r="P234" s="12">
        <v>88.3</v>
      </c>
      <c r="Q234" s="9">
        <v>7</v>
      </c>
      <c r="R234" s="13">
        <v>23</v>
      </c>
      <c r="S234" s="13">
        <v>1</v>
      </c>
      <c r="T234" s="9">
        <v>37</v>
      </c>
      <c r="U234" s="13">
        <v>86</v>
      </c>
      <c r="V234" s="8" t="s">
        <v>31</v>
      </c>
      <c r="W234" s="8"/>
      <c r="X234" s="22">
        <f>IF(V234="Yes",1,0)</f>
        <v>0</v>
      </c>
      <c r="Y234" s="22">
        <f>IF(H234="Active",0,1)</f>
        <v>0</v>
      </c>
    </row>
    <row r="235" spans="1:25" ht="18" customHeight="1" x14ac:dyDescent="0.35">
      <c r="A235" s="14" t="s">
        <v>921</v>
      </c>
      <c r="B235" s="14" t="s">
        <v>349</v>
      </c>
      <c r="C235" s="14" t="s">
        <v>25</v>
      </c>
      <c r="D235" s="15">
        <v>28</v>
      </c>
      <c r="E235" s="14" t="s">
        <v>2304</v>
      </c>
      <c r="F235" s="14" t="s">
        <v>76</v>
      </c>
      <c r="G235" s="16">
        <v>45947</v>
      </c>
      <c r="H235" s="14" t="s">
        <v>26</v>
      </c>
      <c r="I235" s="14" t="s">
        <v>27</v>
      </c>
      <c r="J235" s="14" t="s">
        <v>80</v>
      </c>
      <c r="K235" s="14" t="s">
        <v>55</v>
      </c>
      <c r="L235" s="14" t="s">
        <v>29</v>
      </c>
      <c r="M235" s="14" t="s">
        <v>64</v>
      </c>
      <c r="N235" s="17">
        <v>172212</v>
      </c>
      <c r="O235" s="17">
        <v>15226</v>
      </c>
      <c r="P235" s="18">
        <v>80.2</v>
      </c>
      <c r="Q235" s="15">
        <v>6</v>
      </c>
      <c r="R235" s="19">
        <v>10</v>
      </c>
      <c r="S235" s="19">
        <v>5</v>
      </c>
      <c r="T235" s="15">
        <v>19</v>
      </c>
      <c r="U235" s="19">
        <v>93</v>
      </c>
      <c r="V235" s="14" t="s">
        <v>31</v>
      </c>
      <c r="W235" s="14"/>
      <c r="X235" s="14">
        <f>IF(V235="Yes",1,0)</f>
        <v>0</v>
      </c>
      <c r="Y235" s="14">
        <f>IF(H235="Active",0,1)</f>
        <v>0</v>
      </c>
    </row>
    <row r="236" spans="1:25" ht="18" customHeight="1" x14ac:dyDescent="0.35">
      <c r="A236" s="14" t="s">
        <v>915</v>
      </c>
      <c r="B236" s="14" t="s">
        <v>661</v>
      </c>
      <c r="C236" s="14" t="s">
        <v>25</v>
      </c>
      <c r="D236" s="15">
        <v>44</v>
      </c>
      <c r="E236" s="14" t="s">
        <v>2304</v>
      </c>
      <c r="F236" s="14" t="s">
        <v>35</v>
      </c>
      <c r="G236" s="16">
        <v>45946</v>
      </c>
      <c r="H236" s="14" t="s">
        <v>26</v>
      </c>
      <c r="I236" s="14" t="s">
        <v>2267</v>
      </c>
      <c r="J236" s="14" t="s">
        <v>80</v>
      </c>
      <c r="K236" s="14" t="s">
        <v>2271</v>
      </c>
      <c r="L236" s="14" t="s">
        <v>38</v>
      </c>
      <c r="M236" s="14" t="s">
        <v>60</v>
      </c>
      <c r="N236" s="17">
        <v>201684</v>
      </c>
      <c r="O236" s="17">
        <v>11408</v>
      </c>
      <c r="P236" s="18">
        <v>88.1</v>
      </c>
      <c r="Q236" s="15">
        <v>9</v>
      </c>
      <c r="R236" s="19">
        <v>24</v>
      </c>
      <c r="S236" s="19">
        <v>1</v>
      </c>
      <c r="T236" s="15">
        <v>25</v>
      </c>
      <c r="U236" s="19">
        <v>89</v>
      </c>
      <c r="V236" s="14" t="s">
        <v>31</v>
      </c>
      <c r="W236" s="14"/>
      <c r="X236" s="14">
        <f>IF(V236="Yes",1,0)</f>
        <v>0</v>
      </c>
      <c r="Y236" s="14">
        <f>IF(H236="Active",0,1)</f>
        <v>0</v>
      </c>
    </row>
    <row r="237" spans="1:25" ht="18" customHeight="1" x14ac:dyDescent="0.35">
      <c r="A237" s="14" t="s">
        <v>1442</v>
      </c>
      <c r="B237" s="14" t="s">
        <v>118</v>
      </c>
      <c r="C237" s="14" t="s">
        <v>34</v>
      </c>
      <c r="D237" s="15">
        <v>47</v>
      </c>
      <c r="E237" s="14" t="s">
        <v>52</v>
      </c>
      <c r="F237" s="14" t="s">
        <v>72</v>
      </c>
      <c r="G237" s="16">
        <v>45946</v>
      </c>
      <c r="H237" s="14" t="s">
        <v>26</v>
      </c>
      <c r="I237" s="14" t="s">
        <v>2267</v>
      </c>
      <c r="J237" s="14" t="s">
        <v>48</v>
      </c>
      <c r="K237" s="14" t="s">
        <v>28</v>
      </c>
      <c r="L237" s="14" t="s">
        <v>87</v>
      </c>
      <c r="M237" s="14" t="s">
        <v>39</v>
      </c>
      <c r="N237" s="17">
        <v>199356</v>
      </c>
      <c r="O237" s="17">
        <v>35341</v>
      </c>
      <c r="P237" s="18">
        <v>90.5</v>
      </c>
      <c r="Q237" s="15">
        <v>7</v>
      </c>
      <c r="R237" s="19">
        <v>20</v>
      </c>
      <c r="S237" s="19">
        <v>2</v>
      </c>
      <c r="T237" s="15">
        <v>26</v>
      </c>
      <c r="U237" s="19">
        <v>78</v>
      </c>
      <c r="V237" s="14" t="s">
        <v>31</v>
      </c>
      <c r="W237" s="14"/>
      <c r="X237" s="14">
        <f>IF(V237="Yes",1,0)</f>
        <v>0</v>
      </c>
      <c r="Y237" s="14">
        <f>IF(H237="Active",0,1)</f>
        <v>0</v>
      </c>
    </row>
    <row r="238" spans="1:25" ht="18" customHeight="1" x14ac:dyDescent="0.35">
      <c r="A238" s="8" t="s">
        <v>1655</v>
      </c>
      <c r="B238" s="8" t="s">
        <v>302</v>
      </c>
      <c r="C238" s="8" t="s">
        <v>25</v>
      </c>
      <c r="D238" s="9">
        <v>49</v>
      </c>
      <c r="E238" s="8" t="s">
        <v>93</v>
      </c>
      <c r="F238" s="8" t="s">
        <v>53</v>
      </c>
      <c r="G238" s="10">
        <v>45946</v>
      </c>
      <c r="H238" s="8" t="s">
        <v>26</v>
      </c>
      <c r="I238" s="8" t="s">
        <v>27</v>
      </c>
      <c r="J238" s="8" t="s">
        <v>80</v>
      </c>
      <c r="K238" s="8" t="s">
        <v>55</v>
      </c>
      <c r="L238" s="8" t="s">
        <v>38</v>
      </c>
      <c r="M238" s="8" t="s">
        <v>30</v>
      </c>
      <c r="N238" s="11">
        <v>138420</v>
      </c>
      <c r="O238" s="11">
        <v>36059</v>
      </c>
      <c r="P238" s="12">
        <v>86</v>
      </c>
      <c r="Q238" s="9">
        <v>6</v>
      </c>
      <c r="R238" s="13">
        <v>19</v>
      </c>
      <c r="S238" s="13">
        <v>5</v>
      </c>
      <c r="T238" s="9">
        <v>14</v>
      </c>
      <c r="U238" s="13">
        <v>93</v>
      </c>
      <c r="V238" s="8" t="s">
        <v>31</v>
      </c>
      <c r="W238" s="8"/>
      <c r="X238" s="22">
        <f>IF(V238="Yes",1,0)</f>
        <v>0</v>
      </c>
      <c r="Y238" s="22">
        <f>IF(H238="Active",0,1)</f>
        <v>0</v>
      </c>
    </row>
    <row r="239" spans="1:25" ht="18" customHeight="1" x14ac:dyDescent="0.35">
      <c r="A239" s="14" t="s">
        <v>1978</v>
      </c>
      <c r="B239" s="14" t="s">
        <v>244</v>
      </c>
      <c r="C239" s="14" t="s">
        <v>25</v>
      </c>
      <c r="D239" s="15">
        <v>60</v>
      </c>
      <c r="E239" s="14" t="s">
        <v>2304</v>
      </c>
      <c r="F239" s="14" t="s">
        <v>53</v>
      </c>
      <c r="G239" s="16">
        <v>45946</v>
      </c>
      <c r="H239" s="14" t="s">
        <v>26</v>
      </c>
      <c r="I239" s="14" t="s">
        <v>27</v>
      </c>
      <c r="J239" s="14" t="s">
        <v>2268</v>
      </c>
      <c r="K239" s="14" t="s">
        <v>37</v>
      </c>
      <c r="L239" s="14" t="s">
        <v>56</v>
      </c>
      <c r="M239" s="14" t="s">
        <v>39</v>
      </c>
      <c r="N239" s="17">
        <v>101048</v>
      </c>
      <c r="O239" s="17">
        <v>44803</v>
      </c>
      <c r="P239" s="18">
        <v>83.7</v>
      </c>
      <c r="Q239" s="15">
        <v>6</v>
      </c>
      <c r="R239" s="19">
        <v>20</v>
      </c>
      <c r="S239" s="19">
        <v>5</v>
      </c>
      <c r="T239" s="15">
        <v>10</v>
      </c>
      <c r="U239" s="19">
        <v>77</v>
      </c>
      <c r="V239" s="14" t="s">
        <v>31</v>
      </c>
      <c r="W239" s="14"/>
      <c r="X239" s="14">
        <f>IF(V239="Yes",1,0)</f>
        <v>0</v>
      </c>
      <c r="Y239" s="14">
        <f>IF(H239="Active",0,1)</f>
        <v>0</v>
      </c>
    </row>
    <row r="240" spans="1:25" ht="18" customHeight="1" x14ac:dyDescent="0.35">
      <c r="A240" s="8" t="s">
        <v>2247</v>
      </c>
      <c r="B240" s="8" t="s">
        <v>115</v>
      </c>
      <c r="C240" s="8" t="s">
        <v>25</v>
      </c>
      <c r="D240" s="9">
        <v>22</v>
      </c>
      <c r="E240" s="8" t="s">
        <v>86</v>
      </c>
      <c r="F240" s="8" t="s">
        <v>43</v>
      </c>
      <c r="G240" s="10">
        <v>45945</v>
      </c>
      <c r="H240" s="8" t="s">
        <v>26</v>
      </c>
      <c r="I240" s="8" t="s">
        <v>2267</v>
      </c>
      <c r="J240" s="8" t="s">
        <v>48</v>
      </c>
      <c r="K240" s="8" t="s">
        <v>28</v>
      </c>
      <c r="L240" s="8" t="s">
        <v>68</v>
      </c>
      <c r="M240" s="8" t="s">
        <v>39</v>
      </c>
      <c r="N240" s="11">
        <v>149953</v>
      </c>
      <c r="O240" s="11">
        <v>46585</v>
      </c>
      <c r="P240" s="12">
        <v>81.599999999999994</v>
      </c>
      <c r="Q240" s="9">
        <v>3</v>
      </c>
      <c r="R240" s="13">
        <v>8</v>
      </c>
      <c r="S240" s="13">
        <v>3</v>
      </c>
      <c r="T240" s="9">
        <v>37</v>
      </c>
      <c r="U240" s="13">
        <v>61</v>
      </c>
      <c r="V240" s="8" t="s">
        <v>31</v>
      </c>
      <c r="W240" s="8"/>
      <c r="X240" s="22">
        <f>IF(V240="Yes",1,0)</f>
        <v>0</v>
      </c>
      <c r="Y240" s="22">
        <f>IF(H240="Active",0,1)</f>
        <v>0</v>
      </c>
    </row>
    <row r="241" spans="1:25" ht="18" customHeight="1" x14ac:dyDescent="0.35">
      <c r="A241" s="14" t="s">
        <v>752</v>
      </c>
      <c r="B241" s="14" t="s">
        <v>189</v>
      </c>
      <c r="C241" s="14" t="s">
        <v>25</v>
      </c>
      <c r="D241" s="15">
        <v>30</v>
      </c>
      <c r="E241" s="14" t="s">
        <v>93</v>
      </c>
      <c r="F241" s="14" t="s">
        <v>79</v>
      </c>
      <c r="G241" s="16">
        <v>45944</v>
      </c>
      <c r="H241" s="14" t="s">
        <v>26</v>
      </c>
      <c r="I241" s="14" t="s">
        <v>2267</v>
      </c>
      <c r="J241" s="14" t="s">
        <v>80</v>
      </c>
      <c r="K241" s="14" t="s">
        <v>55</v>
      </c>
      <c r="L241" s="14" t="s">
        <v>29</v>
      </c>
      <c r="M241" s="14" t="s">
        <v>39</v>
      </c>
      <c r="N241" s="17">
        <v>86702</v>
      </c>
      <c r="O241" s="17">
        <v>19366</v>
      </c>
      <c r="P241" s="18">
        <v>86.5</v>
      </c>
      <c r="Q241" s="15">
        <v>9</v>
      </c>
      <c r="R241" s="19">
        <v>29</v>
      </c>
      <c r="S241" s="19">
        <v>5</v>
      </c>
      <c r="T241" s="15">
        <v>10</v>
      </c>
      <c r="U241" s="19">
        <v>97</v>
      </c>
      <c r="V241" s="14" t="s">
        <v>31</v>
      </c>
      <c r="W241" s="14"/>
      <c r="X241" s="14">
        <f>IF(V241="Yes",1,0)</f>
        <v>0</v>
      </c>
      <c r="Y241" s="14">
        <f>IF(H241="Active",0,1)</f>
        <v>0</v>
      </c>
    </row>
    <row r="242" spans="1:25" ht="18" customHeight="1" x14ac:dyDescent="0.35">
      <c r="A242" s="14" t="s">
        <v>860</v>
      </c>
      <c r="B242" s="14" t="s">
        <v>353</v>
      </c>
      <c r="C242" s="14" t="s">
        <v>25</v>
      </c>
      <c r="D242" s="15">
        <v>25</v>
      </c>
      <c r="E242" s="14" t="s">
        <v>93</v>
      </c>
      <c r="F242" s="14" t="s">
        <v>43</v>
      </c>
      <c r="G242" s="16">
        <v>45944</v>
      </c>
      <c r="H242" s="14" t="s">
        <v>26</v>
      </c>
      <c r="I242" s="14" t="s">
        <v>36</v>
      </c>
      <c r="J242" s="14" t="s">
        <v>80</v>
      </c>
      <c r="K242" s="14" t="s">
        <v>55</v>
      </c>
      <c r="L242" s="14" t="s">
        <v>29</v>
      </c>
      <c r="M242" s="14" t="s">
        <v>60</v>
      </c>
      <c r="N242" s="17">
        <v>217217</v>
      </c>
      <c r="O242" s="17">
        <v>5396</v>
      </c>
      <c r="P242" s="18">
        <v>96.7</v>
      </c>
      <c r="Q242" s="15">
        <v>10</v>
      </c>
      <c r="R242" s="19">
        <v>26</v>
      </c>
      <c r="S242" s="19">
        <v>5</v>
      </c>
      <c r="T242" s="15">
        <v>7</v>
      </c>
      <c r="U242" s="19">
        <v>93</v>
      </c>
      <c r="V242" s="14" t="s">
        <v>31</v>
      </c>
      <c r="W242" s="14"/>
      <c r="X242" s="14">
        <f>IF(V242="Yes",1,0)</f>
        <v>0</v>
      </c>
      <c r="Y242" s="14">
        <f>IF(H242="Active",0,1)</f>
        <v>0</v>
      </c>
    </row>
    <row r="243" spans="1:25" ht="18" customHeight="1" x14ac:dyDescent="0.35">
      <c r="A243" s="8" t="s">
        <v>1317</v>
      </c>
      <c r="B243" s="8" t="s">
        <v>167</v>
      </c>
      <c r="C243" s="8" t="s">
        <v>25</v>
      </c>
      <c r="D243" s="9">
        <v>26</v>
      </c>
      <c r="E243" s="8" t="s">
        <v>63</v>
      </c>
      <c r="F243" s="8" t="s">
        <v>12</v>
      </c>
      <c r="G243" s="10">
        <v>45943</v>
      </c>
      <c r="H243" s="8" t="s">
        <v>26</v>
      </c>
      <c r="I243" s="8" t="s">
        <v>27</v>
      </c>
      <c r="J243" s="8" t="s">
        <v>2269</v>
      </c>
      <c r="K243" s="8" t="s">
        <v>2271</v>
      </c>
      <c r="L243" s="8" t="s">
        <v>68</v>
      </c>
      <c r="M243" s="8" t="s">
        <v>60</v>
      </c>
      <c r="N243" s="11">
        <v>144816</v>
      </c>
      <c r="O243" s="11">
        <v>14887</v>
      </c>
      <c r="P243" s="12">
        <v>92.5</v>
      </c>
      <c r="Q243" s="9">
        <v>3</v>
      </c>
      <c r="R243" s="13">
        <v>6</v>
      </c>
      <c r="S243" s="13">
        <v>1</v>
      </c>
      <c r="T243" s="9">
        <v>0</v>
      </c>
      <c r="U243" s="13">
        <v>73</v>
      </c>
      <c r="V243" s="8" t="s">
        <v>31</v>
      </c>
      <c r="W243" s="8"/>
      <c r="X243" s="22">
        <f>IF(V243="Yes",1,0)</f>
        <v>0</v>
      </c>
      <c r="Y243" s="22">
        <f>IF(H243="Active",0,1)</f>
        <v>0</v>
      </c>
    </row>
    <row r="244" spans="1:25" ht="18" customHeight="1" x14ac:dyDescent="0.35">
      <c r="A244" s="14" t="s">
        <v>1175</v>
      </c>
      <c r="B244" s="14" t="s">
        <v>526</v>
      </c>
      <c r="C244" s="14" t="s">
        <v>25</v>
      </c>
      <c r="D244" s="15">
        <v>48</v>
      </c>
      <c r="E244" s="14" t="s">
        <v>2303</v>
      </c>
      <c r="F244" s="14" t="s">
        <v>35</v>
      </c>
      <c r="G244" s="16">
        <v>45942</v>
      </c>
      <c r="H244" s="14" t="s">
        <v>26</v>
      </c>
      <c r="I244" s="14" t="s">
        <v>2267</v>
      </c>
      <c r="J244" s="14" t="s">
        <v>2269</v>
      </c>
      <c r="K244" s="14" t="s">
        <v>37</v>
      </c>
      <c r="L244" s="14" t="s">
        <v>87</v>
      </c>
      <c r="M244" s="14" t="s">
        <v>39</v>
      </c>
      <c r="N244" s="17">
        <v>204655</v>
      </c>
      <c r="O244" s="17">
        <v>27192</v>
      </c>
      <c r="P244" s="18">
        <v>99.1</v>
      </c>
      <c r="Q244" s="15">
        <v>1</v>
      </c>
      <c r="R244" s="19">
        <v>6</v>
      </c>
      <c r="S244" s="19">
        <v>5</v>
      </c>
      <c r="T244" s="15">
        <v>22</v>
      </c>
      <c r="U244" s="19">
        <v>79</v>
      </c>
      <c r="V244" s="14" t="s">
        <v>31</v>
      </c>
      <c r="W244" s="14"/>
      <c r="X244" s="14">
        <f>IF(V244="Yes",1,0)</f>
        <v>0</v>
      </c>
      <c r="Y244" s="14">
        <f>IF(H244="Active",0,1)</f>
        <v>0</v>
      </c>
    </row>
    <row r="245" spans="1:25" ht="18" customHeight="1" x14ac:dyDescent="0.35">
      <c r="A245" s="8" t="s">
        <v>1263</v>
      </c>
      <c r="B245" s="8" t="s">
        <v>51</v>
      </c>
      <c r="C245" s="8" t="s">
        <v>34</v>
      </c>
      <c r="D245" s="9">
        <v>36</v>
      </c>
      <c r="E245" s="8" t="s">
        <v>2304</v>
      </c>
      <c r="F245" s="8" t="s">
        <v>90</v>
      </c>
      <c r="G245" s="10">
        <v>45942</v>
      </c>
      <c r="H245" s="8" t="s">
        <v>54</v>
      </c>
      <c r="I245" s="8" t="s">
        <v>2267</v>
      </c>
      <c r="J245" s="8" t="s">
        <v>80</v>
      </c>
      <c r="K245" s="8" t="s">
        <v>55</v>
      </c>
      <c r="L245" s="8" t="s">
        <v>44</v>
      </c>
      <c r="M245" s="8" t="s">
        <v>39</v>
      </c>
      <c r="N245" s="11">
        <v>193412</v>
      </c>
      <c r="O245" s="11">
        <v>24121</v>
      </c>
      <c r="P245" s="12">
        <v>84.9</v>
      </c>
      <c r="Q245" s="9">
        <v>10</v>
      </c>
      <c r="R245" s="13">
        <v>12</v>
      </c>
      <c r="S245" s="13">
        <v>3</v>
      </c>
      <c r="T245" s="9">
        <v>12</v>
      </c>
      <c r="U245" s="13">
        <v>95</v>
      </c>
      <c r="V245" s="8" t="s">
        <v>31</v>
      </c>
      <c r="W245" s="8" t="s">
        <v>57</v>
      </c>
      <c r="X245" s="22">
        <f>IF(V245="Yes",1,0)</f>
        <v>0</v>
      </c>
      <c r="Y245" s="22">
        <f>IF(H245="Active",0,1)</f>
        <v>1</v>
      </c>
    </row>
    <row r="246" spans="1:25" ht="18" customHeight="1" x14ac:dyDescent="0.35">
      <c r="A246" s="14" t="s">
        <v>1358</v>
      </c>
      <c r="B246" s="14" t="s">
        <v>108</v>
      </c>
      <c r="C246" s="14" t="s">
        <v>34</v>
      </c>
      <c r="D246" s="15">
        <v>38</v>
      </c>
      <c r="E246" s="14" t="s">
        <v>42</v>
      </c>
      <c r="F246" s="14" t="s">
        <v>72</v>
      </c>
      <c r="G246" s="16">
        <v>45942</v>
      </c>
      <c r="H246" s="14" t="s">
        <v>26</v>
      </c>
      <c r="I246" s="14" t="s">
        <v>27</v>
      </c>
      <c r="J246" s="14" t="s">
        <v>2269</v>
      </c>
      <c r="K246" s="14" t="s">
        <v>73</v>
      </c>
      <c r="L246" s="14" t="s">
        <v>44</v>
      </c>
      <c r="M246" s="14" t="s">
        <v>30</v>
      </c>
      <c r="N246" s="17">
        <v>92942</v>
      </c>
      <c r="O246" s="17">
        <v>13539</v>
      </c>
      <c r="P246" s="18">
        <v>80.7</v>
      </c>
      <c r="Q246" s="15">
        <v>6</v>
      </c>
      <c r="R246" s="19">
        <v>3</v>
      </c>
      <c r="S246" s="19">
        <v>5</v>
      </c>
      <c r="T246" s="15">
        <v>36</v>
      </c>
      <c r="U246" s="19">
        <v>74</v>
      </c>
      <c r="V246" s="14" t="s">
        <v>31</v>
      </c>
      <c r="W246" s="14"/>
      <c r="X246" s="14">
        <f>IF(V246="Yes",1,0)</f>
        <v>0</v>
      </c>
      <c r="Y246" s="14">
        <f>IF(H246="Active",0,1)</f>
        <v>0</v>
      </c>
    </row>
    <row r="247" spans="1:25" ht="18" customHeight="1" x14ac:dyDescent="0.35">
      <c r="A247" s="14" t="s">
        <v>1370</v>
      </c>
      <c r="B247" s="14" t="s">
        <v>175</v>
      </c>
      <c r="C247" s="14" t="s">
        <v>25</v>
      </c>
      <c r="D247" s="15">
        <v>57</v>
      </c>
      <c r="E247" s="14" t="s">
        <v>42</v>
      </c>
      <c r="F247" s="14" t="s">
        <v>76</v>
      </c>
      <c r="G247" s="16">
        <v>45941</v>
      </c>
      <c r="H247" s="14" t="s">
        <v>26</v>
      </c>
      <c r="I247" s="14" t="s">
        <v>36</v>
      </c>
      <c r="J247" s="14" t="s">
        <v>2269</v>
      </c>
      <c r="K247" s="14" t="s">
        <v>2271</v>
      </c>
      <c r="L247" s="14" t="s">
        <v>44</v>
      </c>
      <c r="M247" s="14" t="s">
        <v>64</v>
      </c>
      <c r="N247" s="17">
        <v>126935</v>
      </c>
      <c r="O247" s="17">
        <v>23859</v>
      </c>
      <c r="P247" s="18">
        <v>90.6</v>
      </c>
      <c r="Q247" s="15">
        <v>0</v>
      </c>
      <c r="R247" s="19">
        <v>6</v>
      </c>
      <c r="S247" s="19">
        <v>3</v>
      </c>
      <c r="T247" s="15">
        <v>17</v>
      </c>
      <c r="U247" s="19">
        <v>91</v>
      </c>
      <c r="V247" s="14" t="s">
        <v>69</v>
      </c>
      <c r="W247" s="14"/>
      <c r="X247" s="14">
        <f>IF(V247="Yes",1,0)</f>
        <v>1</v>
      </c>
      <c r="Y247" s="14">
        <f>IF(H247="Active",0,1)</f>
        <v>0</v>
      </c>
    </row>
    <row r="248" spans="1:25" ht="18" customHeight="1" x14ac:dyDescent="0.35">
      <c r="A248" s="8" t="s">
        <v>1549</v>
      </c>
      <c r="B248" s="8" t="s">
        <v>311</v>
      </c>
      <c r="C248" s="8" t="s">
        <v>34</v>
      </c>
      <c r="D248" s="9">
        <v>51</v>
      </c>
      <c r="E248" s="8" t="s">
        <v>67</v>
      </c>
      <c r="F248" s="8" t="s">
        <v>90</v>
      </c>
      <c r="G248" s="10">
        <v>45940</v>
      </c>
      <c r="H248" s="8" t="s">
        <v>26</v>
      </c>
      <c r="I248" s="8" t="s">
        <v>27</v>
      </c>
      <c r="J248" s="8" t="s">
        <v>2270</v>
      </c>
      <c r="K248" s="8" t="s">
        <v>28</v>
      </c>
      <c r="L248" s="8" t="s">
        <v>38</v>
      </c>
      <c r="M248" s="8" t="s">
        <v>60</v>
      </c>
      <c r="N248" s="11">
        <v>46711</v>
      </c>
      <c r="O248" s="11">
        <v>18039</v>
      </c>
      <c r="P248" s="12">
        <v>93.2</v>
      </c>
      <c r="Q248" s="9">
        <v>4</v>
      </c>
      <c r="R248" s="13">
        <v>5</v>
      </c>
      <c r="S248" s="13">
        <v>2</v>
      </c>
      <c r="T248" s="9">
        <v>28</v>
      </c>
      <c r="U248" s="13">
        <v>67</v>
      </c>
      <c r="V248" s="8" t="s">
        <v>31</v>
      </c>
      <c r="W248" s="8"/>
      <c r="X248" s="22">
        <f>IF(V248="Yes",1,0)</f>
        <v>0</v>
      </c>
      <c r="Y248" s="22">
        <f>IF(H248="Active",0,1)</f>
        <v>0</v>
      </c>
    </row>
    <row r="249" spans="1:25" ht="18" customHeight="1" x14ac:dyDescent="0.35">
      <c r="A249" s="8" t="s">
        <v>1565</v>
      </c>
      <c r="B249" s="8" t="s">
        <v>339</v>
      </c>
      <c r="C249" s="8" t="s">
        <v>25</v>
      </c>
      <c r="D249" s="9">
        <v>29</v>
      </c>
      <c r="E249" s="8" t="s">
        <v>2304</v>
      </c>
      <c r="F249" s="8" t="s">
        <v>79</v>
      </c>
      <c r="G249" s="10">
        <v>45940</v>
      </c>
      <c r="H249" s="8" t="s">
        <v>54</v>
      </c>
      <c r="I249" s="8" t="s">
        <v>27</v>
      </c>
      <c r="J249" s="8" t="s">
        <v>2268</v>
      </c>
      <c r="K249" s="8" t="s">
        <v>55</v>
      </c>
      <c r="L249" s="8" t="s">
        <v>38</v>
      </c>
      <c r="M249" s="8" t="s">
        <v>39</v>
      </c>
      <c r="N249" s="11">
        <v>40757</v>
      </c>
      <c r="O249" s="11">
        <v>48853</v>
      </c>
      <c r="P249" s="12">
        <v>92.8</v>
      </c>
      <c r="Q249" s="9">
        <v>4</v>
      </c>
      <c r="R249" s="13">
        <v>10</v>
      </c>
      <c r="S249" s="13">
        <v>1</v>
      </c>
      <c r="T249" s="9">
        <v>11</v>
      </c>
      <c r="U249" s="13">
        <v>93</v>
      </c>
      <c r="V249" s="8" t="s">
        <v>31</v>
      </c>
      <c r="W249" s="8" t="s">
        <v>96</v>
      </c>
      <c r="X249" s="22">
        <f>IF(V249="Yes",1,0)</f>
        <v>0</v>
      </c>
      <c r="Y249" s="22">
        <f>IF(H249="Active",0,1)</f>
        <v>1</v>
      </c>
    </row>
    <row r="250" spans="1:25" ht="18" customHeight="1" x14ac:dyDescent="0.35">
      <c r="A250" s="14" t="s">
        <v>2016</v>
      </c>
      <c r="B250" s="14" t="s">
        <v>789</v>
      </c>
      <c r="C250" s="14" t="s">
        <v>34</v>
      </c>
      <c r="D250" s="15">
        <v>47</v>
      </c>
      <c r="E250" s="14" t="s">
        <v>67</v>
      </c>
      <c r="F250" s="14" t="s">
        <v>76</v>
      </c>
      <c r="G250" s="16">
        <v>45940</v>
      </c>
      <c r="H250" s="14" t="s">
        <v>26</v>
      </c>
      <c r="I250" s="14" t="s">
        <v>2267</v>
      </c>
      <c r="J250" s="14" t="s">
        <v>2268</v>
      </c>
      <c r="K250" s="14" t="s">
        <v>28</v>
      </c>
      <c r="L250" s="14" t="s">
        <v>38</v>
      </c>
      <c r="M250" s="14" t="s">
        <v>30</v>
      </c>
      <c r="N250" s="17">
        <v>175066</v>
      </c>
      <c r="O250" s="17">
        <v>14875</v>
      </c>
      <c r="P250" s="18">
        <v>95.5</v>
      </c>
      <c r="Q250" s="15">
        <v>3</v>
      </c>
      <c r="R250" s="19">
        <v>4</v>
      </c>
      <c r="S250" s="19">
        <v>2</v>
      </c>
      <c r="T250" s="15">
        <v>30</v>
      </c>
      <c r="U250" s="19">
        <v>83</v>
      </c>
      <c r="V250" s="14" t="s">
        <v>31</v>
      </c>
      <c r="W250" s="14"/>
      <c r="X250" s="14">
        <f>IF(V250="Yes",1,0)</f>
        <v>0</v>
      </c>
      <c r="Y250" s="14">
        <f>IF(H250="Active",0,1)</f>
        <v>0</v>
      </c>
    </row>
    <row r="251" spans="1:25" ht="18" customHeight="1" x14ac:dyDescent="0.35">
      <c r="A251" s="8" t="s">
        <v>584</v>
      </c>
      <c r="B251" s="8" t="s">
        <v>471</v>
      </c>
      <c r="C251" s="8" t="s">
        <v>25</v>
      </c>
      <c r="D251" s="9">
        <v>34</v>
      </c>
      <c r="E251" s="8" t="s">
        <v>63</v>
      </c>
      <c r="F251" s="8" t="s">
        <v>35</v>
      </c>
      <c r="G251" s="10">
        <v>45939</v>
      </c>
      <c r="H251" s="8" t="s">
        <v>26</v>
      </c>
      <c r="I251" s="8" t="s">
        <v>2267</v>
      </c>
      <c r="J251" s="8" t="s">
        <v>80</v>
      </c>
      <c r="K251" s="8" t="s">
        <v>2271</v>
      </c>
      <c r="L251" s="8" t="s">
        <v>44</v>
      </c>
      <c r="M251" s="8" t="s">
        <v>30</v>
      </c>
      <c r="N251" s="11">
        <v>228968</v>
      </c>
      <c r="O251" s="11">
        <v>17670</v>
      </c>
      <c r="P251" s="12">
        <v>96.5</v>
      </c>
      <c r="Q251" s="9">
        <v>1</v>
      </c>
      <c r="R251" s="13">
        <v>18</v>
      </c>
      <c r="S251" s="13">
        <v>5</v>
      </c>
      <c r="T251" s="9">
        <v>37</v>
      </c>
      <c r="U251" s="13">
        <v>62</v>
      </c>
      <c r="V251" s="8" t="s">
        <v>31</v>
      </c>
      <c r="W251" s="8"/>
      <c r="X251" s="22">
        <f>IF(V251="Yes",1,0)</f>
        <v>0</v>
      </c>
      <c r="Y251" s="22">
        <f>IF(H251="Active",0,1)</f>
        <v>0</v>
      </c>
    </row>
    <row r="252" spans="1:25" ht="18" customHeight="1" x14ac:dyDescent="0.35">
      <c r="A252" s="14" t="s">
        <v>844</v>
      </c>
      <c r="B252" s="14" t="s">
        <v>230</v>
      </c>
      <c r="C252" s="14" t="s">
        <v>25</v>
      </c>
      <c r="D252" s="15">
        <v>41</v>
      </c>
      <c r="E252" s="14" t="s">
        <v>86</v>
      </c>
      <c r="F252" s="14" t="s">
        <v>53</v>
      </c>
      <c r="G252" s="16">
        <v>45939</v>
      </c>
      <c r="H252" s="14" t="s">
        <v>26</v>
      </c>
      <c r="I252" s="14" t="s">
        <v>2267</v>
      </c>
      <c r="J252" s="14" t="s">
        <v>2269</v>
      </c>
      <c r="K252" s="14" t="s">
        <v>28</v>
      </c>
      <c r="L252" s="14" t="s">
        <v>44</v>
      </c>
      <c r="M252" s="14" t="s">
        <v>39</v>
      </c>
      <c r="N252" s="17">
        <v>134909</v>
      </c>
      <c r="O252" s="17">
        <v>6491</v>
      </c>
      <c r="P252" s="18">
        <v>81.099999999999994</v>
      </c>
      <c r="Q252" s="15">
        <v>2</v>
      </c>
      <c r="R252" s="19">
        <v>13</v>
      </c>
      <c r="S252" s="19">
        <v>1</v>
      </c>
      <c r="T252" s="15">
        <v>14</v>
      </c>
      <c r="U252" s="19">
        <v>82</v>
      </c>
      <c r="V252" s="14" t="s">
        <v>69</v>
      </c>
      <c r="W252" s="14"/>
      <c r="X252" s="14">
        <f>IF(V252="Yes",1,0)</f>
        <v>1</v>
      </c>
      <c r="Y252" s="14">
        <f>IF(H252="Active",0,1)</f>
        <v>0</v>
      </c>
    </row>
    <row r="253" spans="1:25" ht="18" customHeight="1" x14ac:dyDescent="0.35">
      <c r="A253" s="14" t="s">
        <v>1964</v>
      </c>
      <c r="B253" s="14" t="s">
        <v>471</v>
      </c>
      <c r="C253" s="14" t="s">
        <v>25</v>
      </c>
      <c r="D253" s="15">
        <v>45</v>
      </c>
      <c r="E253" s="14" t="s">
        <v>67</v>
      </c>
      <c r="F253" s="14" t="s">
        <v>90</v>
      </c>
      <c r="G253" s="16">
        <v>45939</v>
      </c>
      <c r="H253" s="14" t="s">
        <v>26</v>
      </c>
      <c r="I253" s="14" t="s">
        <v>36</v>
      </c>
      <c r="J253" s="14" t="s">
        <v>2268</v>
      </c>
      <c r="K253" s="14" t="s">
        <v>28</v>
      </c>
      <c r="L253" s="14" t="s">
        <v>87</v>
      </c>
      <c r="M253" s="14" t="s">
        <v>39</v>
      </c>
      <c r="N253" s="17">
        <v>202993</v>
      </c>
      <c r="O253" s="17">
        <v>46068</v>
      </c>
      <c r="P253" s="18">
        <v>95.7</v>
      </c>
      <c r="Q253" s="15">
        <v>9</v>
      </c>
      <c r="R253" s="19">
        <v>12</v>
      </c>
      <c r="S253" s="19">
        <v>1</v>
      </c>
      <c r="T253" s="15">
        <v>6</v>
      </c>
      <c r="U253" s="19">
        <v>69</v>
      </c>
      <c r="V253" s="14" t="s">
        <v>31</v>
      </c>
      <c r="W253" s="14"/>
      <c r="X253" s="14">
        <f>IF(V253="Yes",1,0)</f>
        <v>0</v>
      </c>
      <c r="Y253" s="14">
        <f>IF(H253="Active",0,1)</f>
        <v>0</v>
      </c>
    </row>
    <row r="254" spans="1:25" ht="18" customHeight="1" x14ac:dyDescent="0.35">
      <c r="A254" s="14" t="s">
        <v>279</v>
      </c>
      <c r="B254" s="14" t="s">
        <v>280</v>
      </c>
      <c r="C254" s="14" t="s">
        <v>25</v>
      </c>
      <c r="D254" s="15">
        <v>23</v>
      </c>
      <c r="E254" s="14" t="s">
        <v>86</v>
      </c>
      <c r="F254" s="14" t="s">
        <v>76</v>
      </c>
      <c r="G254" s="16">
        <v>45938</v>
      </c>
      <c r="H254" s="14" t="s">
        <v>26</v>
      </c>
      <c r="I254" s="14" t="s">
        <v>36</v>
      </c>
      <c r="J254" s="14" t="s">
        <v>2269</v>
      </c>
      <c r="K254" s="14" t="s">
        <v>2271</v>
      </c>
      <c r="L254" s="14" t="s">
        <v>29</v>
      </c>
      <c r="M254" s="14" t="s">
        <v>30</v>
      </c>
      <c r="N254" s="17">
        <v>194792</v>
      </c>
      <c r="O254" s="17">
        <v>41991</v>
      </c>
      <c r="P254" s="18">
        <v>88.6</v>
      </c>
      <c r="Q254" s="15">
        <v>7</v>
      </c>
      <c r="R254" s="19">
        <v>16</v>
      </c>
      <c r="S254" s="19">
        <v>2</v>
      </c>
      <c r="T254" s="15">
        <v>9</v>
      </c>
      <c r="U254" s="19">
        <v>68</v>
      </c>
      <c r="V254" s="14" t="s">
        <v>31</v>
      </c>
      <c r="W254" s="14"/>
      <c r="X254" s="14">
        <f>IF(V254="Yes",1,0)</f>
        <v>0</v>
      </c>
      <c r="Y254" s="14">
        <f>IF(H254="Active",0,1)</f>
        <v>0</v>
      </c>
    </row>
    <row r="255" spans="1:25" ht="18" customHeight="1" x14ac:dyDescent="0.35">
      <c r="A255" s="8" t="s">
        <v>801</v>
      </c>
      <c r="B255" s="8" t="s">
        <v>439</v>
      </c>
      <c r="C255" s="8" t="s">
        <v>34</v>
      </c>
      <c r="D255" s="9">
        <v>44</v>
      </c>
      <c r="E255" s="8" t="s">
        <v>52</v>
      </c>
      <c r="F255" s="8" t="s">
        <v>43</v>
      </c>
      <c r="G255" s="10">
        <v>45938</v>
      </c>
      <c r="H255" s="8" t="s">
        <v>26</v>
      </c>
      <c r="I255" s="8" t="s">
        <v>36</v>
      </c>
      <c r="J255" s="8" t="s">
        <v>2268</v>
      </c>
      <c r="K255" s="8" t="s">
        <v>55</v>
      </c>
      <c r="L255" s="8" t="s">
        <v>68</v>
      </c>
      <c r="M255" s="8" t="s">
        <v>45</v>
      </c>
      <c r="N255" s="11">
        <v>125141</v>
      </c>
      <c r="O255" s="11">
        <v>36254</v>
      </c>
      <c r="P255" s="12">
        <v>86.6</v>
      </c>
      <c r="Q255" s="9">
        <v>8</v>
      </c>
      <c r="R255" s="13">
        <v>18</v>
      </c>
      <c r="S255" s="13">
        <v>3</v>
      </c>
      <c r="T255" s="9">
        <v>22</v>
      </c>
      <c r="U255" s="13">
        <v>64</v>
      </c>
      <c r="V255" s="8" t="s">
        <v>31</v>
      </c>
      <c r="W255" s="8"/>
      <c r="X255" s="22">
        <f>IF(V255="Yes",1,0)</f>
        <v>0</v>
      </c>
      <c r="Y255" s="22">
        <f>IF(H255="Active",0,1)</f>
        <v>0</v>
      </c>
    </row>
    <row r="256" spans="1:25" ht="18" customHeight="1" x14ac:dyDescent="0.35">
      <c r="A256" s="14" t="s">
        <v>941</v>
      </c>
      <c r="B256" s="14" t="s">
        <v>399</v>
      </c>
      <c r="C256" s="14" t="s">
        <v>25</v>
      </c>
      <c r="D256" s="15">
        <v>38</v>
      </c>
      <c r="E256" s="14" t="s">
        <v>52</v>
      </c>
      <c r="F256" s="14" t="s">
        <v>12</v>
      </c>
      <c r="G256" s="16">
        <v>45938</v>
      </c>
      <c r="H256" s="14" t="s">
        <v>26</v>
      </c>
      <c r="I256" s="14" t="s">
        <v>36</v>
      </c>
      <c r="J256" s="14" t="s">
        <v>2268</v>
      </c>
      <c r="K256" s="14" t="s">
        <v>55</v>
      </c>
      <c r="L256" s="14" t="s">
        <v>87</v>
      </c>
      <c r="M256" s="14" t="s">
        <v>30</v>
      </c>
      <c r="N256" s="17">
        <v>244444</v>
      </c>
      <c r="O256" s="17">
        <v>49158</v>
      </c>
      <c r="P256" s="18">
        <v>85.6</v>
      </c>
      <c r="Q256" s="15">
        <v>4</v>
      </c>
      <c r="R256" s="19">
        <v>8</v>
      </c>
      <c r="S256" s="19">
        <v>5</v>
      </c>
      <c r="T256" s="15">
        <v>26</v>
      </c>
      <c r="U256" s="19">
        <v>72</v>
      </c>
      <c r="V256" s="14" t="s">
        <v>31</v>
      </c>
      <c r="W256" s="14"/>
      <c r="X256" s="14">
        <f>IF(V256="Yes",1,0)</f>
        <v>0</v>
      </c>
      <c r="Y256" s="14">
        <f>IF(H256="Active",0,1)</f>
        <v>0</v>
      </c>
    </row>
    <row r="257" spans="1:25" ht="18" customHeight="1" x14ac:dyDescent="0.35">
      <c r="A257" s="14" t="s">
        <v>1048</v>
      </c>
      <c r="B257" s="14" t="s">
        <v>974</v>
      </c>
      <c r="C257" s="14" t="s">
        <v>34</v>
      </c>
      <c r="D257" s="15">
        <v>38</v>
      </c>
      <c r="E257" s="14" t="s">
        <v>86</v>
      </c>
      <c r="F257" s="14" t="s">
        <v>35</v>
      </c>
      <c r="G257" s="16">
        <v>45938</v>
      </c>
      <c r="H257" s="14" t="s">
        <v>54</v>
      </c>
      <c r="I257" s="14" t="s">
        <v>2267</v>
      </c>
      <c r="J257" s="14" t="s">
        <v>2268</v>
      </c>
      <c r="K257" s="14" t="s">
        <v>37</v>
      </c>
      <c r="L257" s="14" t="s">
        <v>29</v>
      </c>
      <c r="M257" s="14" t="s">
        <v>45</v>
      </c>
      <c r="N257" s="17">
        <v>37748</v>
      </c>
      <c r="O257" s="17">
        <v>46070</v>
      </c>
      <c r="P257" s="18">
        <v>81.7</v>
      </c>
      <c r="Q257" s="15">
        <v>3</v>
      </c>
      <c r="R257" s="19">
        <v>26</v>
      </c>
      <c r="S257" s="19">
        <v>2</v>
      </c>
      <c r="T257" s="15">
        <v>37</v>
      </c>
      <c r="U257" s="19">
        <v>77</v>
      </c>
      <c r="V257" s="14" t="s">
        <v>31</v>
      </c>
      <c r="W257" s="14" t="s">
        <v>123</v>
      </c>
      <c r="X257" s="14">
        <f>IF(V257="Yes",1,0)</f>
        <v>0</v>
      </c>
      <c r="Y257" s="14">
        <f>IF(H257="Active",0,1)</f>
        <v>1</v>
      </c>
    </row>
    <row r="258" spans="1:25" ht="18" customHeight="1" x14ac:dyDescent="0.35">
      <c r="A258" s="8" t="s">
        <v>1475</v>
      </c>
      <c r="B258" s="8" t="s">
        <v>179</v>
      </c>
      <c r="C258" s="8" t="s">
        <v>25</v>
      </c>
      <c r="D258" s="9">
        <v>35</v>
      </c>
      <c r="E258" s="8" t="s">
        <v>42</v>
      </c>
      <c r="F258" s="8" t="s">
        <v>43</v>
      </c>
      <c r="G258" s="10">
        <v>45938</v>
      </c>
      <c r="H258" s="8" t="s">
        <v>26</v>
      </c>
      <c r="I258" s="8" t="s">
        <v>27</v>
      </c>
      <c r="J258" s="8" t="s">
        <v>80</v>
      </c>
      <c r="K258" s="8" t="s">
        <v>28</v>
      </c>
      <c r="L258" s="8" t="s">
        <v>29</v>
      </c>
      <c r="M258" s="8" t="s">
        <v>45</v>
      </c>
      <c r="N258" s="11">
        <v>77004</v>
      </c>
      <c r="O258" s="11">
        <v>5102</v>
      </c>
      <c r="P258" s="12">
        <v>88.1</v>
      </c>
      <c r="Q258" s="9">
        <v>3</v>
      </c>
      <c r="R258" s="13">
        <v>23</v>
      </c>
      <c r="S258" s="13">
        <v>2</v>
      </c>
      <c r="T258" s="9">
        <v>6</v>
      </c>
      <c r="U258" s="13">
        <v>69</v>
      </c>
      <c r="V258" s="8" t="s">
        <v>31</v>
      </c>
      <c r="W258" s="8"/>
      <c r="X258" s="22">
        <f>IF(V258="Yes",1,0)</f>
        <v>0</v>
      </c>
      <c r="Y258" s="22">
        <f>IF(H258="Active",0,1)</f>
        <v>0</v>
      </c>
    </row>
    <row r="259" spans="1:25" ht="18" customHeight="1" x14ac:dyDescent="0.35">
      <c r="A259" s="14" t="s">
        <v>1700</v>
      </c>
      <c r="B259" s="14" t="s">
        <v>624</v>
      </c>
      <c r="C259" s="14" t="s">
        <v>25</v>
      </c>
      <c r="D259" s="15">
        <v>32</v>
      </c>
      <c r="E259" s="14" t="s">
        <v>67</v>
      </c>
      <c r="F259" s="14" t="s">
        <v>12</v>
      </c>
      <c r="G259" s="16">
        <v>45938</v>
      </c>
      <c r="H259" s="14" t="s">
        <v>26</v>
      </c>
      <c r="I259" s="14" t="s">
        <v>36</v>
      </c>
      <c r="J259" s="14" t="s">
        <v>2268</v>
      </c>
      <c r="K259" s="14" t="s">
        <v>2271</v>
      </c>
      <c r="L259" s="14" t="s">
        <v>87</v>
      </c>
      <c r="M259" s="14" t="s">
        <v>64</v>
      </c>
      <c r="N259" s="17">
        <v>91254</v>
      </c>
      <c r="O259" s="17">
        <v>48635</v>
      </c>
      <c r="P259" s="18">
        <v>81.2</v>
      </c>
      <c r="Q259" s="15">
        <v>0</v>
      </c>
      <c r="R259" s="19">
        <v>11</v>
      </c>
      <c r="S259" s="19">
        <v>2</v>
      </c>
      <c r="T259" s="15">
        <v>38</v>
      </c>
      <c r="U259" s="19">
        <v>96</v>
      </c>
      <c r="V259" s="14" t="s">
        <v>31</v>
      </c>
      <c r="W259" s="14"/>
      <c r="X259" s="14">
        <f>IF(V259="Yes",1,0)</f>
        <v>0</v>
      </c>
      <c r="Y259" s="14">
        <f>IF(H259="Active",0,1)</f>
        <v>0</v>
      </c>
    </row>
    <row r="260" spans="1:25" ht="18" customHeight="1" x14ac:dyDescent="0.35">
      <c r="A260" s="8" t="s">
        <v>1389</v>
      </c>
      <c r="B260" s="8" t="s">
        <v>553</v>
      </c>
      <c r="C260" s="8" t="s">
        <v>25</v>
      </c>
      <c r="D260" s="9">
        <v>37</v>
      </c>
      <c r="E260" s="8" t="s">
        <v>86</v>
      </c>
      <c r="F260" s="8" t="s">
        <v>43</v>
      </c>
      <c r="G260" s="10">
        <v>45937</v>
      </c>
      <c r="H260" s="8" t="s">
        <v>26</v>
      </c>
      <c r="I260" s="8" t="s">
        <v>27</v>
      </c>
      <c r="J260" s="8" t="s">
        <v>2269</v>
      </c>
      <c r="K260" s="8" t="s">
        <v>37</v>
      </c>
      <c r="L260" s="8" t="s">
        <v>116</v>
      </c>
      <c r="M260" s="8" t="s">
        <v>60</v>
      </c>
      <c r="N260" s="11">
        <v>84769</v>
      </c>
      <c r="O260" s="11">
        <v>44043</v>
      </c>
      <c r="P260" s="12">
        <v>93.8</v>
      </c>
      <c r="Q260" s="9">
        <v>8</v>
      </c>
      <c r="R260" s="13">
        <v>23</v>
      </c>
      <c r="S260" s="13">
        <v>5</v>
      </c>
      <c r="T260" s="9">
        <v>8</v>
      </c>
      <c r="U260" s="13">
        <v>62</v>
      </c>
      <c r="V260" s="8" t="s">
        <v>31</v>
      </c>
      <c r="W260" s="8"/>
      <c r="X260" s="22">
        <f>IF(V260="Yes",1,0)</f>
        <v>0</v>
      </c>
      <c r="Y260" s="22">
        <f>IF(H260="Active",0,1)</f>
        <v>0</v>
      </c>
    </row>
    <row r="261" spans="1:25" ht="18" customHeight="1" x14ac:dyDescent="0.35">
      <c r="A261" s="8" t="s">
        <v>1615</v>
      </c>
      <c r="B261" s="8" t="s">
        <v>537</v>
      </c>
      <c r="C261" s="8" t="s">
        <v>34</v>
      </c>
      <c r="D261" s="9">
        <v>27</v>
      </c>
      <c r="E261" s="8" t="s">
        <v>93</v>
      </c>
      <c r="F261" s="8" t="s">
        <v>43</v>
      </c>
      <c r="G261" s="10">
        <v>45937</v>
      </c>
      <c r="H261" s="8" t="s">
        <v>26</v>
      </c>
      <c r="I261" s="8" t="s">
        <v>2267</v>
      </c>
      <c r="J261" s="8" t="s">
        <v>80</v>
      </c>
      <c r="K261" s="8" t="s">
        <v>73</v>
      </c>
      <c r="L261" s="8" t="s">
        <v>29</v>
      </c>
      <c r="M261" s="8" t="s">
        <v>30</v>
      </c>
      <c r="N261" s="11">
        <v>100124</v>
      </c>
      <c r="O261" s="11">
        <v>14748</v>
      </c>
      <c r="P261" s="12">
        <v>94.1</v>
      </c>
      <c r="Q261" s="9">
        <v>2</v>
      </c>
      <c r="R261" s="13">
        <v>11</v>
      </c>
      <c r="S261" s="13">
        <v>1</v>
      </c>
      <c r="T261" s="9">
        <v>17</v>
      </c>
      <c r="U261" s="13">
        <v>84</v>
      </c>
      <c r="V261" s="8" t="s">
        <v>31</v>
      </c>
      <c r="W261" s="8"/>
      <c r="X261" s="22">
        <f>IF(V261="Yes",1,0)</f>
        <v>0</v>
      </c>
      <c r="Y261" s="22">
        <f>IF(H261="Active",0,1)</f>
        <v>0</v>
      </c>
    </row>
    <row r="262" spans="1:25" ht="18" customHeight="1" x14ac:dyDescent="0.35">
      <c r="A262" s="8" t="s">
        <v>1849</v>
      </c>
      <c r="B262" s="8" t="s">
        <v>349</v>
      </c>
      <c r="C262" s="8" t="s">
        <v>34</v>
      </c>
      <c r="D262" s="9">
        <v>50</v>
      </c>
      <c r="E262" s="8" t="s">
        <v>67</v>
      </c>
      <c r="F262" s="8" t="s">
        <v>79</v>
      </c>
      <c r="G262" s="10">
        <v>45935</v>
      </c>
      <c r="H262" s="8" t="s">
        <v>26</v>
      </c>
      <c r="I262" s="8" t="s">
        <v>27</v>
      </c>
      <c r="J262" s="8" t="s">
        <v>2270</v>
      </c>
      <c r="K262" s="8" t="s">
        <v>37</v>
      </c>
      <c r="L262" s="8" t="s">
        <v>49</v>
      </c>
      <c r="M262" s="8" t="s">
        <v>30</v>
      </c>
      <c r="N262" s="11">
        <v>230560</v>
      </c>
      <c r="O262" s="11">
        <v>6541</v>
      </c>
      <c r="P262" s="12">
        <v>97</v>
      </c>
      <c r="Q262" s="9">
        <v>5</v>
      </c>
      <c r="R262" s="13">
        <v>21</v>
      </c>
      <c r="S262" s="13">
        <v>1</v>
      </c>
      <c r="T262" s="9">
        <v>27</v>
      </c>
      <c r="U262" s="13">
        <v>81</v>
      </c>
      <c r="V262" s="8" t="s">
        <v>31</v>
      </c>
      <c r="W262" s="8"/>
      <c r="X262" s="22">
        <f>IF(V262="Yes",1,0)</f>
        <v>0</v>
      </c>
      <c r="Y262" s="22">
        <f>IF(H262="Active",0,1)</f>
        <v>0</v>
      </c>
    </row>
    <row r="263" spans="1:25" ht="18" customHeight="1" x14ac:dyDescent="0.35">
      <c r="A263" s="8" t="s">
        <v>555</v>
      </c>
      <c r="B263" s="8" t="s">
        <v>556</v>
      </c>
      <c r="C263" s="8" t="s">
        <v>25</v>
      </c>
      <c r="D263" s="9">
        <v>51</v>
      </c>
      <c r="E263" s="8" t="s">
        <v>63</v>
      </c>
      <c r="F263" s="8" t="s">
        <v>35</v>
      </c>
      <c r="G263" s="10">
        <v>45934</v>
      </c>
      <c r="H263" s="8" t="s">
        <v>26</v>
      </c>
      <c r="I263" s="8" t="s">
        <v>36</v>
      </c>
      <c r="J263" s="8" t="s">
        <v>2270</v>
      </c>
      <c r="K263" s="8" t="s">
        <v>28</v>
      </c>
      <c r="L263" s="8" t="s">
        <v>38</v>
      </c>
      <c r="M263" s="8" t="s">
        <v>39</v>
      </c>
      <c r="N263" s="11">
        <v>155827</v>
      </c>
      <c r="O263" s="11">
        <v>42869</v>
      </c>
      <c r="P263" s="12">
        <v>85.8</v>
      </c>
      <c r="Q263" s="9">
        <v>8</v>
      </c>
      <c r="R263" s="13">
        <v>1</v>
      </c>
      <c r="S263" s="13">
        <v>2</v>
      </c>
      <c r="T263" s="9">
        <v>3</v>
      </c>
      <c r="U263" s="13">
        <v>69</v>
      </c>
      <c r="V263" s="8" t="s">
        <v>31</v>
      </c>
      <c r="W263" s="8"/>
      <c r="X263" s="22">
        <f>IF(V263="Yes",1,0)</f>
        <v>0</v>
      </c>
      <c r="Y263" s="22">
        <f>IF(H263="Active",0,1)</f>
        <v>0</v>
      </c>
    </row>
    <row r="264" spans="1:25" ht="18" customHeight="1" x14ac:dyDescent="0.35">
      <c r="A264" s="14" t="s">
        <v>1858</v>
      </c>
      <c r="B264" s="14" t="s">
        <v>531</v>
      </c>
      <c r="C264" s="14" t="s">
        <v>34</v>
      </c>
      <c r="D264" s="15">
        <v>36</v>
      </c>
      <c r="E264" s="14" t="s">
        <v>67</v>
      </c>
      <c r="F264" s="14" t="s">
        <v>53</v>
      </c>
      <c r="G264" s="16">
        <v>45934</v>
      </c>
      <c r="H264" s="14" t="s">
        <v>26</v>
      </c>
      <c r="I264" s="14" t="s">
        <v>27</v>
      </c>
      <c r="J264" s="14" t="s">
        <v>48</v>
      </c>
      <c r="K264" s="14" t="s">
        <v>55</v>
      </c>
      <c r="L264" s="14" t="s">
        <v>56</v>
      </c>
      <c r="M264" s="14" t="s">
        <v>30</v>
      </c>
      <c r="N264" s="17">
        <v>225921</v>
      </c>
      <c r="O264" s="17">
        <v>11852</v>
      </c>
      <c r="P264" s="18">
        <v>89.4</v>
      </c>
      <c r="Q264" s="15">
        <v>10</v>
      </c>
      <c r="R264" s="19">
        <v>20</v>
      </c>
      <c r="S264" s="19">
        <v>2</v>
      </c>
      <c r="T264" s="15">
        <v>19</v>
      </c>
      <c r="U264" s="19">
        <v>74</v>
      </c>
      <c r="V264" s="14" t="s">
        <v>31</v>
      </c>
      <c r="W264" s="14"/>
      <c r="X264" s="14">
        <f>IF(V264="Yes",1,0)</f>
        <v>0</v>
      </c>
      <c r="Y264" s="14">
        <f>IF(H264="Active",0,1)</f>
        <v>0</v>
      </c>
    </row>
    <row r="265" spans="1:25" ht="18" customHeight="1" x14ac:dyDescent="0.35">
      <c r="A265" s="14" t="s">
        <v>245</v>
      </c>
      <c r="B265" s="14" t="s">
        <v>246</v>
      </c>
      <c r="C265" s="14" t="s">
        <v>34</v>
      </c>
      <c r="D265" s="15">
        <v>50</v>
      </c>
      <c r="E265" s="14" t="s">
        <v>109</v>
      </c>
      <c r="F265" s="14" t="s">
        <v>43</v>
      </c>
      <c r="G265" s="16">
        <v>45933</v>
      </c>
      <c r="H265" s="14" t="s">
        <v>26</v>
      </c>
      <c r="I265" s="14" t="s">
        <v>2267</v>
      </c>
      <c r="J265" s="14" t="s">
        <v>2270</v>
      </c>
      <c r="K265" s="14" t="s">
        <v>28</v>
      </c>
      <c r="L265" s="14" t="s">
        <v>44</v>
      </c>
      <c r="M265" s="14" t="s">
        <v>39</v>
      </c>
      <c r="N265" s="17">
        <v>141452</v>
      </c>
      <c r="O265" s="17">
        <v>38480</v>
      </c>
      <c r="P265" s="18">
        <v>82</v>
      </c>
      <c r="Q265" s="15">
        <v>4</v>
      </c>
      <c r="R265" s="19">
        <v>22</v>
      </c>
      <c r="S265" s="19">
        <v>4</v>
      </c>
      <c r="T265" s="15">
        <v>22</v>
      </c>
      <c r="U265" s="19">
        <v>67</v>
      </c>
      <c r="V265" s="14" t="s">
        <v>69</v>
      </c>
      <c r="W265" s="14"/>
      <c r="X265" s="14">
        <f>IF(V265="Yes",1,0)</f>
        <v>1</v>
      </c>
      <c r="Y265" s="14">
        <f>IF(H265="Active",0,1)</f>
        <v>0</v>
      </c>
    </row>
    <row r="266" spans="1:25" ht="18" customHeight="1" x14ac:dyDescent="0.35">
      <c r="A266" s="14" t="s">
        <v>986</v>
      </c>
      <c r="B266" s="14" t="s">
        <v>41</v>
      </c>
      <c r="C266" s="14" t="s">
        <v>25</v>
      </c>
      <c r="D266" s="15">
        <v>46</v>
      </c>
      <c r="E266" s="14" t="s">
        <v>63</v>
      </c>
      <c r="F266" s="14" t="s">
        <v>79</v>
      </c>
      <c r="G266" s="16">
        <v>45933</v>
      </c>
      <c r="H266" s="14" t="s">
        <v>26</v>
      </c>
      <c r="I266" s="14" t="s">
        <v>36</v>
      </c>
      <c r="J266" s="14" t="s">
        <v>2269</v>
      </c>
      <c r="K266" s="14" t="s">
        <v>28</v>
      </c>
      <c r="L266" s="14" t="s">
        <v>38</v>
      </c>
      <c r="M266" s="14" t="s">
        <v>45</v>
      </c>
      <c r="N266" s="17">
        <v>45765</v>
      </c>
      <c r="O266" s="17">
        <v>27338</v>
      </c>
      <c r="P266" s="18">
        <v>91.6</v>
      </c>
      <c r="Q266" s="15">
        <v>2</v>
      </c>
      <c r="R266" s="19">
        <v>11</v>
      </c>
      <c r="S266" s="19">
        <v>2</v>
      </c>
      <c r="T266" s="15">
        <v>10</v>
      </c>
      <c r="U266" s="19">
        <v>78</v>
      </c>
      <c r="V266" s="14" t="s">
        <v>31</v>
      </c>
      <c r="W266" s="14"/>
      <c r="X266" s="14">
        <f>IF(V266="Yes",1,0)</f>
        <v>0</v>
      </c>
      <c r="Y266" s="14">
        <f>IF(H266="Active",0,1)</f>
        <v>0</v>
      </c>
    </row>
    <row r="267" spans="1:25" ht="18" customHeight="1" x14ac:dyDescent="0.35">
      <c r="A267" s="14" t="s">
        <v>1173</v>
      </c>
      <c r="B267" s="14" t="s">
        <v>113</v>
      </c>
      <c r="C267" s="14" t="s">
        <v>34</v>
      </c>
      <c r="D267" s="15">
        <v>50</v>
      </c>
      <c r="E267" s="14" t="s">
        <v>2303</v>
      </c>
      <c r="F267" s="14" t="s">
        <v>79</v>
      </c>
      <c r="G267" s="16">
        <v>45932</v>
      </c>
      <c r="H267" s="14" t="s">
        <v>26</v>
      </c>
      <c r="I267" s="14" t="s">
        <v>36</v>
      </c>
      <c r="J267" s="14" t="s">
        <v>80</v>
      </c>
      <c r="K267" s="14" t="s">
        <v>55</v>
      </c>
      <c r="L267" s="14" t="s">
        <v>38</v>
      </c>
      <c r="M267" s="14" t="s">
        <v>39</v>
      </c>
      <c r="N267" s="17">
        <v>146605</v>
      </c>
      <c r="O267" s="17">
        <v>46858</v>
      </c>
      <c r="P267" s="18">
        <v>89.7</v>
      </c>
      <c r="Q267" s="15">
        <v>4</v>
      </c>
      <c r="R267" s="19">
        <v>9</v>
      </c>
      <c r="S267" s="19">
        <v>3</v>
      </c>
      <c r="T267" s="15">
        <v>34</v>
      </c>
      <c r="U267" s="19">
        <v>87</v>
      </c>
      <c r="V267" s="14" t="s">
        <v>69</v>
      </c>
      <c r="W267" s="14"/>
      <c r="X267" s="14">
        <f>IF(V267="Yes",1,0)</f>
        <v>1</v>
      </c>
      <c r="Y267" s="14">
        <f>IF(H267="Active",0,1)</f>
        <v>0</v>
      </c>
    </row>
    <row r="268" spans="1:25" ht="18" customHeight="1" x14ac:dyDescent="0.35">
      <c r="A268" s="8" t="s">
        <v>1357</v>
      </c>
      <c r="B268" s="8" t="s">
        <v>445</v>
      </c>
      <c r="C268" s="8" t="s">
        <v>34</v>
      </c>
      <c r="D268" s="9">
        <v>48</v>
      </c>
      <c r="E268" s="8" t="s">
        <v>67</v>
      </c>
      <c r="F268" s="8" t="s">
        <v>76</v>
      </c>
      <c r="G268" s="10">
        <v>45932</v>
      </c>
      <c r="H268" s="8" t="s">
        <v>26</v>
      </c>
      <c r="I268" s="8" t="s">
        <v>2267</v>
      </c>
      <c r="J268" s="8" t="s">
        <v>2270</v>
      </c>
      <c r="K268" s="8" t="s">
        <v>2271</v>
      </c>
      <c r="L268" s="8" t="s">
        <v>87</v>
      </c>
      <c r="M268" s="8" t="s">
        <v>64</v>
      </c>
      <c r="N268" s="11">
        <v>37803</v>
      </c>
      <c r="O268" s="11">
        <v>47246</v>
      </c>
      <c r="P268" s="12">
        <v>81</v>
      </c>
      <c r="Q268" s="9">
        <v>1</v>
      </c>
      <c r="R268" s="13">
        <v>10</v>
      </c>
      <c r="S268" s="13">
        <v>5</v>
      </c>
      <c r="T268" s="9">
        <v>8</v>
      </c>
      <c r="U268" s="13">
        <v>99</v>
      </c>
      <c r="V268" s="8" t="s">
        <v>31</v>
      </c>
      <c r="W268" s="8"/>
      <c r="X268" s="22">
        <f>IF(V268="Yes",1,0)</f>
        <v>0</v>
      </c>
      <c r="Y268" s="22">
        <f>IF(H268="Active",0,1)</f>
        <v>0</v>
      </c>
    </row>
    <row r="269" spans="1:25" ht="18" customHeight="1" x14ac:dyDescent="0.35">
      <c r="A269" s="14" t="s">
        <v>1694</v>
      </c>
      <c r="B269" s="14" t="s">
        <v>353</v>
      </c>
      <c r="C269" s="14" t="s">
        <v>25</v>
      </c>
      <c r="D269" s="15">
        <v>43</v>
      </c>
      <c r="E269" s="14" t="s">
        <v>109</v>
      </c>
      <c r="F269" s="14" t="s">
        <v>76</v>
      </c>
      <c r="G269" s="16">
        <v>45932</v>
      </c>
      <c r="H269" s="14" t="s">
        <v>26</v>
      </c>
      <c r="I269" s="14" t="s">
        <v>36</v>
      </c>
      <c r="J269" s="14" t="s">
        <v>2268</v>
      </c>
      <c r="K269" s="14" t="s">
        <v>28</v>
      </c>
      <c r="L269" s="14" t="s">
        <v>116</v>
      </c>
      <c r="M269" s="14" t="s">
        <v>45</v>
      </c>
      <c r="N269" s="17">
        <v>137015</v>
      </c>
      <c r="O269" s="17">
        <v>24873</v>
      </c>
      <c r="P269" s="18">
        <v>96.1</v>
      </c>
      <c r="Q269" s="15">
        <v>9</v>
      </c>
      <c r="R269" s="19">
        <v>3</v>
      </c>
      <c r="S269" s="19">
        <v>3</v>
      </c>
      <c r="T269" s="15">
        <v>3</v>
      </c>
      <c r="U269" s="19">
        <v>83</v>
      </c>
      <c r="V269" s="14" t="s">
        <v>31</v>
      </c>
      <c r="W269" s="14"/>
      <c r="X269" s="14">
        <f>IF(V269="Yes",1,0)</f>
        <v>0</v>
      </c>
      <c r="Y269" s="14">
        <f>IF(H269="Active",0,1)</f>
        <v>0</v>
      </c>
    </row>
    <row r="270" spans="1:25" ht="18" customHeight="1" x14ac:dyDescent="0.35">
      <c r="A270" s="14" t="s">
        <v>1550</v>
      </c>
      <c r="B270" s="14" t="s">
        <v>458</v>
      </c>
      <c r="C270" s="14" t="s">
        <v>34</v>
      </c>
      <c r="D270" s="15">
        <v>39</v>
      </c>
      <c r="E270" s="14" t="s">
        <v>67</v>
      </c>
      <c r="F270" s="14" t="s">
        <v>76</v>
      </c>
      <c r="G270" s="16">
        <v>45931</v>
      </c>
      <c r="H270" s="14" t="s">
        <v>26</v>
      </c>
      <c r="I270" s="14" t="s">
        <v>27</v>
      </c>
      <c r="J270" s="14" t="s">
        <v>80</v>
      </c>
      <c r="K270" s="14" t="s">
        <v>73</v>
      </c>
      <c r="L270" s="14" t="s">
        <v>29</v>
      </c>
      <c r="M270" s="14" t="s">
        <v>64</v>
      </c>
      <c r="N270" s="17">
        <v>122097</v>
      </c>
      <c r="O270" s="17">
        <v>47925</v>
      </c>
      <c r="P270" s="18">
        <v>99.4</v>
      </c>
      <c r="Q270" s="15">
        <v>8</v>
      </c>
      <c r="R270" s="19">
        <v>12</v>
      </c>
      <c r="S270" s="19">
        <v>2</v>
      </c>
      <c r="T270" s="15">
        <v>5</v>
      </c>
      <c r="U270" s="19">
        <v>79</v>
      </c>
      <c r="V270" s="14" t="s">
        <v>31</v>
      </c>
      <c r="W270" s="14"/>
      <c r="X270" s="14">
        <f>IF(V270="Yes",1,0)</f>
        <v>0</v>
      </c>
      <c r="Y270" s="14">
        <f>IF(H270="Active",0,1)</f>
        <v>0</v>
      </c>
    </row>
    <row r="271" spans="1:25" ht="18" customHeight="1" x14ac:dyDescent="0.35">
      <c r="A271" s="8" t="s">
        <v>1715</v>
      </c>
      <c r="B271" s="8" t="s">
        <v>106</v>
      </c>
      <c r="C271" s="8" t="s">
        <v>34</v>
      </c>
      <c r="D271" s="9">
        <v>21</v>
      </c>
      <c r="E271" s="8" t="s">
        <v>86</v>
      </c>
      <c r="F271" s="8" t="s">
        <v>43</v>
      </c>
      <c r="G271" s="10">
        <v>45931</v>
      </c>
      <c r="H271" s="8" t="s">
        <v>26</v>
      </c>
      <c r="I271" s="8" t="s">
        <v>27</v>
      </c>
      <c r="J271" s="8" t="s">
        <v>2269</v>
      </c>
      <c r="K271" s="8" t="s">
        <v>2271</v>
      </c>
      <c r="L271" s="8" t="s">
        <v>116</v>
      </c>
      <c r="M271" s="8" t="s">
        <v>60</v>
      </c>
      <c r="N271" s="11">
        <v>142481</v>
      </c>
      <c r="O271" s="11">
        <v>40015</v>
      </c>
      <c r="P271" s="12">
        <v>86.8</v>
      </c>
      <c r="Q271" s="9">
        <v>2</v>
      </c>
      <c r="R271" s="13">
        <v>1</v>
      </c>
      <c r="S271" s="13">
        <v>4</v>
      </c>
      <c r="T271" s="9">
        <v>29</v>
      </c>
      <c r="U271" s="13">
        <v>98</v>
      </c>
      <c r="V271" s="8" t="s">
        <v>31</v>
      </c>
      <c r="W271" s="8"/>
      <c r="X271" s="22">
        <f>IF(V271="Yes",1,0)</f>
        <v>0</v>
      </c>
      <c r="Y271" s="22">
        <f>IF(H271="Active",0,1)</f>
        <v>0</v>
      </c>
    </row>
    <row r="272" spans="1:25" ht="18" customHeight="1" x14ac:dyDescent="0.35">
      <c r="A272" s="14" t="s">
        <v>2036</v>
      </c>
      <c r="B272" s="14" t="s">
        <v>556</v>
      </c>
      <c r="C272" s="14" t="s">
        <v>25</v>
      </c>
      <c r="D272" s="15">
        <v>45</v>
      </c>
      <c r="E272" s="14" t="s">
        <v>86</v>
      </c>
      <c r="F272" s="14" t="s">
        <v>72</v>
      </c>
      <c r="G272" s="16">
        <v>45931</v>
      </c>
      <c r="H272" s="14" t="s">
        <v>26</v>
      </c>
      <c r="I272" s="14" t="s">
        <v>36</v>
      </c>
      <c r="J272" s="14" t="s">
        <v>80</v>
      </c>
      <c r="K272" s="14" t="s">
        <v>55</v>
      </c>
      <c r="L272" s="14" t="s">
        <v>29</v>
      </c>
      <c r="M272" s="14" t="s">
        <v>45</v>
      </c>
      <c r="N272" s="17">
        <v>114705</v>
      </c>
      <c r="O272" s="17">
        <v>36323</v>
      </c>
      <c r="P272" s="18">
        <v>80.8</v>
      </c>
      <c r="Q272" s="15">
        <v>6</v>
      </c>
      <c r="R272" s="19">
        <v>12</v>
      </c>
      <c r="S272" s="19">
        <v>1</v>
      </c>
      <c r="T272" s="15">
        <v>35</v>
      </c>
      <c r="U272" s="19">
        <v>61</v>
      </c>
      <c r="V272" s="14" t="s">
        <v>31</v>
      </c>
      <c r="W272" s="14"/>
      <c r="X272" s="14">
        <f>IF(V272="Yes",1,0)</f>
        <v>0</v>
      </c>
      <c r="Y272" s="14">
        <f>IF(H272="Active",0,1)</f>
        <v>0</v>
      </c>
    </row>
    <row r="273" spans="1:25" ht="18" customHeight="1" x14ac:dyDescent="0.35">
      <c r="A273" s="14" t="s">
        <v>117</v>
      </c>
      <c r="B273" s="14" t="s">
        <v>118</v>
      </c>
      <c r="C273" s="14" t="s">
        <v>34</v>
      </c>
      <c r="D273" s="15">
        <v>43</v>
      </c>
      <c r="E273" s="14" t="s">
        <v>42</v>
      </c>
      <c r="F273" s="14" t="s">
        <v>79</v>
      </c>
      <c r="G273" s="16">
        <v>45930</v>
      </c>
      <c r="H273" s="14" t="s">
        <v>26</v>
      </c>
      <c r="I273" s="14" t="s">
        <v>2267</v>
      </c>
      <c r="J273" s="14" t="s">
        <v>80</v>
      </c>
      <c r="K273" s="14" t="s">
        <v>28</v>
      </c>
      <c r="L273" s="14" t="s">
        <v>56</v>
      </c>
      <c r="M273" s="14" t="s">
        <v>60</v>
      </c>
      <c r="N273" s="17">
        <v>39900</v>
      </c>
      <c r="O273" s="17">
        <v>24468</v>
      </c>
      <c r="P273" s="18">
        <v>92.4</v>
      </c>
      <c r="Q273" s="15">
        <v>6</v>
      </c>
      <c r="R273" s="19">
        <v>30</v>
      </c>
      <c r="S273" s="19">
        <v>3</v>
      </c>
      <c r="T273" s="15">
        <v>25</v>
      </c>
      <c r="U273" s="19">
        <v>65</v>
      </c>
      <c r="V273" s="14" t="s">
        <v>31</v>
      </c>
      <c r="W273" s="14"/>
      <c r="X273" s="14">
        <f>IF(V273="Yes",1,0)</f>
        <v>0</v>
      </c>
      <c r="Y273" s="14">
        <f>IF(H273="Active",0,1)</f>
        <v>0</v>
      </c>
    </row>
    <row r="274" spans="1:25" ht="18" customHeight="1" x14ac:dyDescent="0.35">
      <c r="A274" s="8" t="s">
        <v>141</v>
      </c>
      <c r="B274" s="8" t="s">
        <v>142</v>
      </c>
      <c r="C274" s="8" t="s">
        <v>34</v>
      </c>
      <c r="D274" s="9">
        <v>32</v>
      </c>
      <c r="E274" s="8" t="s">
        <v>109</v>
      </c>
      <c r="F274" s="8" t="s">
        <v>79</v>
      </c>
      <c r="G274" s="10">
        <v>45930</v>
      </c>
      <c r="H274" s="8" t="s">
        <v>26</v>
      </c>
      <c r="I274" s="8" t="s">
        <v>2267</v>
      </c>
      <c r="J274" s="8" t="s">
        <v>80</v>
      </c>
      <c r="K274" s="8" t="s">
        <v>55</v>
      </c>
      <c r="L274" s="8" t="s">
        <v>56</v>
      </c>
      <c r="M274" s="8" t="s">
        <v>60</v>
      </c>
      <c r="N274" s="11">
        <v>153276</v>
      </c>
      <c r="O274" s="11">
        <v>21345</v>
      </c>
      <c r="P274" s="12">
        <v>88.4</v>
      </c>
      <c r="Q274" s="9">
        <v>10</v>
      </c>
      <c r="R274" s="13">
        <v>25</v>
      </c>
      <c r="S274" s="13">
        <v>2</v>
      </c>
      <c r="T274" s="9">
        <v>15</v>
      </c>
      <c r="U274" s="13">
        <v>62</v>
      </c>
      <c r="V274" s="8" t="s">
        <v>31</v>
      </c>
      <c r="W274" s="8"/>
      <c r="X274" s="22">
        <f>IF(V274="Yes",1,0)</f>
        <v>0</v>
      </c>
      <c r="Y274" s="22">
        <f>IF(H274="Active",0,1)</f>
        <v>0</v>
      </c>
    </row>
    <row r="275" spans="1:25" ht="18" customHeight="1" x14ac:dyDescent="0.35">
      <c r="A275" s="14" t="s">
        <v>1122</v>
      </c>
      <c r="B275" s="14" t="s">
        <v>51</v>
      </c>
      <c r="C275" s="14" t="s">
        <v>34</v>
      </c>
      <c r="D275" s="15">
        <v>48</v>
      </c>
      <c r="E275" s="14" t="s">
        <v>42</v>
      </c>
      <c r="F275" s="14" t="s">
        <v>35</v>
      </c>
      <c r="G275" s="16">
        <v>45930</v>
      </c>
      <c r="H275" s="14" t="s">
        <v>26</v>
      </c>
      <c r="I275" s="14" t="s">
        <v>27</v>
      </c>
      <c r="J275" s="14" t="s">
        <v>48</v>
      </c>
      <c r="K275" s="14" t="s">
        <v>37</v>
      </c>
      <c r="L275" s="14" t="s">
        <v>29</v>
      </c>
      <c r="M275" s="14" t="s">
        <v>60</v>
      </c>
      <c r="N275" s="17">
        <v>57392</v>
      </c>
      <c r="O275" s="17">
        <v>8221</v>
      </c>
      <c r="P275" s="18">
        <v>86.1</v>
      </c>
      <c r="Q275" s="15">
        <v>5</v>
      </c>
      <c r="R275" s="19">
        <v>11</v>
      </c>
      <c r="S275" s="19">
        <v>1</v>
      </c>
      <c r="T275" s="15">
        <v>1</v>
      </c>
      <c r="U275" s="19">
        <v>75</v>
      </c>
      <c r="V275" s="14" t="s">
        <v>31</v>
      </c>
      <c r="W275" s="14"/>
      <c r="X275" s="14">
        <f>IF(V275="Yes",1,0)</f>
        <v>0</v>
      </c>
      <c r="Y275" s="14">
        <f>IF(H275="Active",0,1)</f>
        <v>0</v>
      </c>
    </row>
    <row r="276" spans="1:25" ht="18" customHeight="1" x14ac:dyDescent="0.35">
      <c r="A276" s="14" t="s">
        <v>1136</v>
      </c>
      <c r="B276" s="14" t="s">
        <v>358</v>
      </c>
      <c r="C276" s="14" t="s">
        <v>34</v>
      </c>
      <c r="D276" s="15">
        <v>56</v>
      </c>
      <c r="E276" s="14" t="s">
        <v>52</v>
      </c>
      <c r="F276" s="14" t="s">
        <v>53</v>
      </c>
      <c r="G276" s="16">
        <v>45930</v>
      </c>
      <c r="H276" s="14" t="s">
        <v>26</v>
      </c>
      <c r="I276" s="14" t="s">
        <v>2267</v>
      </c>
      <c r="J276" s="14" t="s">
        <v>2268</v>
      </c>
      <c r="K276" s="14" t="s">
        <v>2271</v>
      </c>
      <c r="L276" s="14" t="s">
        <v>116</v>
      </c>
      <c r="M276" s="14" t="s">
        <v>39</v>
      </c>
      <c r="N276" s="17">
        <v>185965</v>
      </c>
      <c r="O276" s="17">
        <v>13932</v>
      </c>
      <c r="P276" s="18">
        <v>99.1</v>
      </c>
      <c r="Q276" s="15">
        <v>2</v>
      </c>
      <c r="R276" s="19">
        <v>22</v>
      </c>
      <c r="S276" s="19">
        <v>4</v>
      </c>
      <c r="T276" s="15">
        <v>4</v>
      </c>
      <c r="U276" s="19">
        <v>80</v>
      </c>
      <c r="V276" s="14" t="s">
        <v>31</v>
      </c>
      <c r="W276" s="14"/>
      <c r="X276" s="14">
        <f>IF(V276="Yes",1,0)</f>
        <v>0</v>
      </c>
      <c r="Y276" s="14">
        <f>IF(H276="Active",0,1)</f>
        <v>0</v>
      </c>
    </row>
    <row r="277" spans="1:25" ht="18" customHeight="1" x14ac:dyDescent="0.35">
      <c r="A277" s="8" t="s">
        <v>1277</v>
      </c>
      <c r="B277" s="8" t="s">
        <v>386</v>
      </c>
      <c r="C277" s="8" t="s">
        <v>25</v>
      </c>
      <c r="D277" s="9">
        <v>48</v>
      </c>
      <c r="E277" s="8" t="s">
        <v>109</v>
      </c>
      <c r="F277" s="8" t="s">
        <v>12</v>
      </c>
      <c r="G277" s="10">
        <v>45930</v>
      </c>
      <c r="H277" s="8" t="s">
        <v>26</v>
      </c>
      <c r="I277" s="8" t="s">
        <v>27</v>
      </c>
      <c r="J277" s="8" t="s">
        <v>80</v>
      </c>
      <c r="K277" s="8" t="s">
        <v>55</v>
      </c>
      <c r="L277" s="8" t="s">
        <v>87</v>
      </c>
      <c r="M277" s="8" t="s">
        <v>39</v>
      </c>
      <c r="N277" s="11">
        <v>55576</v>
      </c>
      <c r="O277" s="11">
        <v>22313</v>
      </c>
      <c r="P277" s="12">
        <v>89.5</v>
      </c>
      <c r="Q277" s="9">
        <v>4</v>
      </c>
      <c r="R277" s="13">
        <v>30</v>
      </c>
      <c r="S277" s="13">
        <v>4</v>
      </c>
      <c r="T277" s="9">
        <v>5</v>
      </c>
      <c r="U277" s="13">
        <v>92</v>
      </c>
      <c r="V277" s="8" t="s">
        <v>69</v>
      </c>
      <c r="W277" s="8"/>
      <c r="X277" s="22">
        <f>IF(V277="Yes",1,0)</f>
        <v>1</v>
      </c>
      <c r="Y277" s="22">
        <f>IF(H277="Active",0,1)</f>
        <v>0</v>
      </c>
    </row>
    <row r="278" spans="1:25" ht="18" customHeight="1" x14ac:dyDescent="0.35">
      <c r="A278" s="14" t="s">
        <v>1344</v>
      </c>
      <c r="B278" s="14" t="s">
        <v>327</v>
      </c>
      <c r="C278" s="14" t="s">
        <v>25</v>
      </c>
      <c r="D278" s="15">
        <v>58</v>
      </c>
      <c r="E278" s="14" t="s">
        <v>109</v>
      </c>
      <c r="F278" s="14" t="s">
        <v>72</v>
      </c>
      <c r="G278" s="16">
        <v>45930</v>
      </c>
      <c r="H278" s="14" t="s">
        <v>26</v>
      </c>
      <c r="I278" s="14" t="s">
        <v>2267</v>
      </c>
      <c r="J278" s="14" t="s">
        <v>2270</v>
      </c>
      <c r="K278" s="14" t="s">
        <v>55</v>
      </c>
      <c r="L278" s="14" t="s">
        <v>116</v>
      </c>
      <c r="M278" s="14" t="s">
        <v>60</v>
      </c>
      <c r="N278" s="17">
        <v>222288</v>
      </c>
      <c r="O278" s="17">
        <v>14560</v>
      </c>
      <c r="P278" s="18">
        <v>94.5</v>
      </c>
      <c r="Q278" s="15">
        <v>0</v>
      </c>
      <c r="R278" s="19">
        <v>17</v>
      </c>
      <c r="S278" s="19">
        <v>2</v>
      </c>
      <c r="T278" s="15">
        <v>13</v>
      </c>
      <c r="U278" s="19">
        <v>83</v>
      </c>
      <c r="V278" s="14" t="s">
        <v>31</v>
      </c>
      <c r="W278" s="14"/>
      <c r="X278" s="14">
        <f>IF(V278="Yes",1,0)</f>
        <v>0</v>
      </c>
      <c r="Y278" s="14">
        <f>IF(H278="Active",0,1)</f>
        <v>0</v>
      </c>
    </row>
    <row r="279" spans="1:25" ht="18" customHeight="1" x14ac:dyDescent="0.35">
      <c r="A279" s="14" t="s">
        <v>620</v>
      </c>
      <c r="B279" s="14" t="s">
        <v>285</v>
      </c>
      <c r="C279" s="14" t="s">
        <v>34</v>
      </c>
      <c r="D279" s="15">
        <v>25</v>
      </c>
      <c r="E279" s="14" t="s">
        <v>109</v>
      </c>
      <c r="F279" s="14" t="s">
        <v>53</v>
      </c>
      <c r="G279" s="16">
        <v>45929</v>
      </c>
      <c r="H279" s="14" t="s">
        <v>26</v>
      </c>
      <c r="I279" s="14" t="s">
        <v>2267</v>
      </c>
      <c r="J279" s="14" t="s">
        <v>2270</v>
      </c>
      <c r="K279" s="14" t="s">
        <v>28</v>
      </c>
      <c r="L279" s="14" t="s">
        <v>29</v>
      </c>
      <c r="M279" s="14" t="s">
        <v>39</v>
      </c>
      <c r="N279" s="17">
        <v>116855</v>
      </c>
      <c r="O279" s="17">
        <v>37893</v>
      </c>
      <c r="P279" s="18">
        <v>81.2</v>
      </c>
      <c r="Q279" s="15">
        <v>3</v>
      </c>
      <c r="R279" s="19">
        <v>3</v>
      </c>
      <c r="S279" s="19">
        <v>1</v>
      </c>
      <c r="T279" s="15">
        <v>36</v>
      </c>
      <c r="U279" s="19">
        <v>71</v>
      </c>
      <c r="V279" s="14" t="s">
        <v>31</v>
      </c>
      <c r="W279" s="14"/>
      <c r="X279" s="14">
        <f>IF(V279="Yes",1,0)</f>
        <v>0</v>
      </c>
      <c r="Y279" s="14">
        <f>IF(H279="Active",0,1)</f>
        <v>0</v>
      </c>
    </row>
    <row r="280" spans="1:25" ht="18" customHeight="1" x14ac:dyDescent="0.35">
      <c r="A280" s="14" t="s">
        <v>1134</v>
      </c>
      <c r="B280" s="14" t="s">
        <v>464</v>
      </c>
      <c r="C280" s="14" t="s">
        <v>34</v>
      </c>
      <c r="D280" s="15">
        <v>31</v>
      </c>
      <c r="E280" s="14" t="s">
        <v>52</v>
      </c>
      <c r="F280" s="14" t="s">
        <v>76</v>
      </c>
      <c r="G280" s="16">
        <v>45929</v>
      </c>
      <c r="H280" s="14" t="s">
        <v>26</v>
      </c>
      <c r="I280" s="14" t="s">
        <v>36</v>
      </c>
      <c r="J280" s="14" t="s">
        <v>80</v>
      </c>
      <c r="K280" s="14" t="s">
        <v>2271</v>
      </c>
      <c r="L280" s="14" t="s">
        <v>38</v>
      </c>
      <c r="M280" s="14" t="s">
        <v>60</v>
      </c>
      <c r="N280" s="17">
        <v>121352</v>
      </c>
      <c r="O280" s="17">
        <v>24586</v>
      </c>
      <c r="P280" s="18">
        <v>94.9</v>
      </c>
      <c r="Q280" s="15">
        <v>6</v>
      </c>
      <c r="R280" s="19">
        <v>29</v>
      </c>
      <c r="S280" s="19">
        <v>4</v>
      </c>
      <c r="T280" s="15">
        <v>29</v>
      </c>
      <c r="U280" s="19">
        <v>98</v>
      </c>
      <c r="V280" s="14" t="s">
        <v>69</v>
      </c>
      <c r="W280" s="14"/>
      <c r="X280" s="14">
        <f>IF(V280="Yes",1,0)</f>
        <v>1</v>
      </c>
      <c r="Y280" s="14">
        <f>IF(H280="Active",0,1)</f>
        <v>0</v>
      </c>
    </row>
    <row r="281" spans="1:25" ht="18" customHeight="1" x14ac:dyDescent="0.35">
      <c r="A281" s="14" t="s">
        <v>1179</v>
      </c>
      <c r="B281" s="14" t="s">
        <v>581</v>
      </c>
      <c r="C281" s="14" t="s">
        <v>25</v>
      </c>
      <c r="D281" s="15">
        <v>40</v>
      </c>
      <c r="E281" s="14" t="s">
        <v>86</v>
      </c>
      <c r="F281" s="14" t="s">
        <v>43</v>
      </c>
      <c r="G281" s="16">
        <v>45929</v>
      </c>
      <c r="H281" s="14" t="s">
        <v>26</v>
      </c>
      <c r="I281" s="14" t="s">
        <v>2267</v>
      </c>
      <c r="J281" s="14" t="s">
        <v>80</v>
      </c>
      <c r="K281" s="14" t="s">
        <v>37</v>
      </c>
      <c r="L281" s="14" t="s">
        <v>29</v>
      </c>
      <c r="M281" s="14" t="s">
        <v>60</v>
      </c>
      <c r="N281" s="17">
        <v>168348</v>
      </c>
      <c r="O281" s="17">
        <v>14833</v>
      </c>
      <c r="P281" s="18">
        <v>85.5</v>
      </c>
      <c r="Q281" s="15">
        <v>6</v>
      </c>
      <c r="R281" s="19">
        <v>20</v>
      </c>
      <c r="S281" s="19">
        <v>4</v>
      </c>
      <c r="T281" s="15">
        <v>23</v>
      </c>
      <c r="U281" s="19">
        <v>60</v>
      </c>
      <c r="V281" s="14" t="s">
        <v>31</v>
      </c>
      <c r="W281" s="14"/>
      <c r="X281" s="14">
        <f>IF(V281="Yes",1,0)</f>
        <v>0</v>
      </c>
      <c r="Y281" s="14">
        <f>IF(H281="Active",0,1)</f>
        <v>0</v>
      </c>
    </row>
    <row r="282" spans="1:25" ht="18" customHeight="1" x14ac:dyDescent="0.35">
      <c r="A282" s="14" t="s">
        <v>917</v>
      </c>
      <c r="B282" s="14" t="s">
        <v>162</v>
      </c>
      <c r="C282" s="14" t="s">
        <v>25</v>
      </c>
      <c r="D282" s="15">
        <v>59</v>
      </c>
      <c r="E282" s="14" t="s">
        <v>93</v>
      </c>
      <c r="F282" s="14" t="s">
        <v>90</v>
      </c>
      <c r="G282" s="16">
        <v>45928</v>
      </c>
      <c r="H282" s="14" t="s">
        <v>26</v>
      </c>
      <c r="I282" s="14" t="s">
        <v>27</v>
      </c>
      <c r="J282" s="14" t="s">
        <v>80</v>
      </c>
      <c r="K282" s="14" t="s">
        <v>73</v>
      </c>
      <c r="L282" s="14" t="s">
        <v>56</v>
      </c>
      <c r="M282" s="14" t="s">
        <v>60</v>
      </c>
      <c r="N282" s="17">
        <v>49593</v>
      </c>
      <c r="O282" s="17">
        <v>5825</v>
      </c>
      <c r="P282" s="18">
        <v>94.5</v>
      </c>
      <c r="Q282" s="15">
        <v>5</v>
      </c>
      <c r="R282" s="19">
        <v>3</v>
      </c>
      <c r="S282" s="19">
        <v>5</v>
      </c>
      <c r="T282" s="15">
        <v>32</v>
      </c>
      <c r="U282" s="19">
        <v>65</v>
      </c>
      <c r="V282" s="14" t="s">
        <v>69</v>
      </c>
      <c r="W282" s="14"/>
      <c r="X282" s="14">
        <f>IF(V282="Yes",1,0)</f>
        <v>1</v>
      </c>
      <c r="Y282" s="14">
        <f>IF(H282="Active",0,1)</f>
        <v>0</v>
      </c>
    </row>
    <row r="283" spans="1:25" ht="18" customHeight="1" x14ac:dyDescent="0.35">
      <c r="A283" s="14" t="s">
        <v>1298</v>
      </c>
      <c r="B283" s="14" t="s">
        <v>672</v>
      </c>
      <c r="C283" s="14" t="s">
        <v>34</v>
      </c>
      <c r="D283" s="15">
        <v>52</v>
      </c>
      <c r="E283" s="14" t="s">
        <v>42</v>
      </c>
      <c r="F283" s="14" t="s">
        <v>76</v>
      </c>
      <c r="G283" s="16">
        <v>45927</v>
      </c>
      <c r="H283" s="14" t="s">
        <v>26</v>
      </c>
      <c r="I283" s="14" t="s">
        <v>2267</v>
      </c>
      <c r="J283" s="14" t="s">
        <v>2268</v>
      </c>
      <c r="K283" s="14" t="s">
        <v>55</v>
      </c>
      <c r="L283" s="14" t="s">
        <v>44</v>
      </c>
      <c r="M283" s="14" t="s">
        <v>64</v>
      </c>
      <c r="N283" s="17">
        <v>192311</v>
      </c>
      <c r="O283" s="17">
        <v>16058</v>
      </c>
      <c r="P283" s="18">
        <v>80.599999999999994</v>
      </c>
      <c r="Q283" s="15">
        <v>8</v>
      </c>
      <c r="R283" s="19">
        <v>25</v>
      </c>
      <c r="S283" s="19">
        <v>4</v>
      </c>
      <c r="T283" s="15">
        <v>25</v>
      </c>
      <c r="U283" s="19">
        <v>91</v>
      </c>
      <c r="V283" s="14" t="s">
        <v>69</v>
      </c>
      <c r="W283" s="14"/>
      <c r="X283" s="14">
        <f>IF(V283="Yes",1,0)</f>
        <v>1</v>
      </c>
      <c r="Y283" s="14">
        <f>IF(H283="Active",0,1)</f>
        <v>0</v>
      </c>
    </row>
    <row r="284" spans="1:25" ht="18" customHeight="1" x14ac:dyDescent="0.35">
      <c r="A284" s="14" t="s">
        <v>760</v>
      </c>
      <c r="B284" s="14" t="s">
        <v>531</v>
      </c>
      <c r="C284" s="14" t="s">
        <v>34</v>
      </c>
      <c r="D284" s="15">
        <v>28</v>
      </c>
      <c r="E284" s="14" t="s">
        <v>109</v>
      </c>
      <c r="F284" s="14" t="s">
        <v>90</v>
      </c>
      <c r="G284" s="16">
        <v>45926</v>
      </c>
      <c r="H284" s="14" t="s">
        <v>26</v>
      </c>
      <c r="I284" s="14" t="s">
        <v>27</v>
      </c>
      <c r="J284" s="14" t="s">
        <v>2268</v>
      </c>
      <c r="K284" s="14" t="s">
        <v>2271</v>
      </c>
      <c r="L284" s="14" t="s">
        <v>38</v>
      </c>
      <c r="M284" s="14" t="s">
        <v>60</v>
      </c>
      <c r="N284" s="17">
        <v>140194</v>
      </c>
      <c r="O284" s="17">
        <v>41309</v>
      </c>
      <c r="P284" s="18">
        <v>87.6</v>
      </c>
      <c r="Q284" s="15">
        <v>0</v>
      </c>
      <c r="R284" s="19">
        <v>2</v>
      </c>
      <c r="S284" s="19">
        <v>1</v>
      </c>
      <c r="T284" s="15">
        <v>35</v>
      </c>
      <c r="U284" s="19">
        <v>91</v>
      </c>
      <c r="V284" s="14" t="s">
        <v>31</v>
      </c>
      <c r="W284" s="14"/>
      <c r="X284" s="14">
        <f>IF(V284="Yes",1,0)</f>
        <v>0</v>
      </c>
      <c r="Y284" s="14">
        <f>IF(H284="Active",0,1)</f>
        <v>0</v>
      </c>
    </row>
    <row r="285" spans="1:25" ht="18" customHeight="1" x14ac:dyDescent="0.35">
      <c r="A285" s="14" t="s">
        <v>1304</v>
      </c>
      <c r="B285" s="14" t="s">
        <v>64</v>
      </c>
      <c r="C285" s="14" t="s">
        <v>25</v>
      </c>
      <c r="D285" s="15">
        <v>54</v>
      </c>
      <c r="E285" s="14" t="s">
        <v>63</v>
      </c>
      <c r="F285" s="14" t="s">
        <v>79</v>
      </c>
      <c r="G285" s="16">
        <v>45926</v>
      </c>
      <c r="H285" s="14" t="s">
        <v>26</v>
      </c>
      <c r="I285" s="14" t="s">
        <v>27</v>
      </c>
      <c r="J285" s="14" t="s">
        <v>2269</v>
      </c>
      <c r="K285" s="14" t="s">
        <v>2271</v>
      </c>
      <c r="L285" s="14" t="s">
        <v>44</v>
      </c>
      <c r="M285" s="14" t="s">
        <v>30</v>
      </c>
      <c r="N285" s="17">
        <v>220301</v>
      </c>
      <c r="O285" s="17">
        <v>39510</v>
      </c>
      <c r="P285" s="18">
        <v>98.1</v>
      </c>
      <c r="Q285" s="15">
        <v>7</v>
      </c>
      <c r="R285" s="19">
        <v>20</v>
      </c>
      <c r="S285" s="19">
        <v>2</v>
      </c>
      <c r="T285" s="15">
        <v>9</v>
      </c>
      <c r="U285" s="19">
        <v>69</v>
      </c>
      <c r="V285" s="14" t="s">
        <v>31</v>
      </c>
      <c r="W285" s="14"/>
      <c r="X285" s="14">
        <f>IF(V285="Yes",1,0)</f>
        <v>0</v>
      </c>
      <c r="Y285" s="14">
        <f>IF(H285="Active",0,1)</f>
        <v>0</v>
      </c>
    </row>
    <row r="286" spans="1:25" ht="18" customHeight="1" x14ac:dyDescent="0.35">
      <c r="A286" s="8" t="s">
        <v>1069</v>
      </c>
      <c r="B286" s="8" t="s">
        <v>199</v>
      </c>
      <c r="C286" s="8" t="s">
        <v>34</v>
      </c>
      <c r="D286" s="9">
        <v>58</v>
      </c>
      <c r="E286" s="8" t="s">
        <v>2303</v>
      </c>
      <c r="F286" s="8" t="s">
        <v>43</v>
      </c>
      <c r="G286" s="10">
        <v>45924</v>
      </c>
      <c r="H286" s="8" t="s">
        <v>26</v>
      </c>
      <c r="I286" s="8" t="s">
        <v>27</v>
      </c>
      <c r="J286" s="8" t="s">
        <v>48</v>
      </c>
      <c r="K286" s="8" t="s">
        <v>73</v>
      </c>
      <c r="L286" s="8" t="s">
        <v>44</v>
      </c>
      <c r="M286" s="8" t="s">
        <v>60</v>
      </c>
      <c r="N286" s="11">
        <v>45051</v>
      </c>
      <c r="O286" s="11">
        <v>21276</v>
      </c>
      <c r="P286" s="12">
        <v>82.9</v>
      </c>
      <c r="Q286" s="9">
        <v>4</v>
      </c>
      <c r="R286" s="13">
        <v>17</v>
      </c>
      <c r="S286" s="13">
        <v>1</v>
      </c>
      <c r="T286" s="9">
        <v>16</v>
      </c>
      <c r="U286" s="13">
        <v>89</v>
      </c>
      <c r="V286" s="8" t="s">
        <v>31</v>
      </c>
      <c r="W286" s="8"/>
      <c r="X286" s="22">
        <f>IF(V286="Yes",1,0)</f>
        <v>0</v>
      </c>
      <c r="Y286" s="22">
        <f>IF(H286="Active",0,1)</f>
        <v>0</v>
      </c>
    </row>
    <row r="287" spans="1:25" ht="18" customHeight="1" x14ac:dyDescent="0.35">
      <c r="A287" s="14" t="s">
        <v>284</v>
      </c>
      <c r="B287" s="14" t="s">
        <v>285</v>
      </c>
      <c r="C287" s="14" t="s">
        <v>34</v>
      </c>
      <c r="D287" s="15">
        <v>43</v>
      </c>
      <c r="E287" s="14" t="s">
        <v>42</v>
      </c>
      <c r="F287" s="14" t="s">
        <v>79</v>
      </c>
      <c r="G287" s="16">
        <v>45923</v>
      </c>
      <c r="H287" s="14" t="s">
        <v>26</v>
      </c>
      <c r="I287" s="14" t="s">
        <v>2267</v>
      </c>
      <c r="J287" s="14" t="s">
        <v>2270</v>
      </c>
      <c r="K287" s="14" t="s">
        <v>73</v>
      </c>
      <c r="L287" s="14" t="s">
        <v>87</v>
      </c>
      <c r="M287" s="14" t="s">
        <v>30</v>
      </c>
      <c r="N287" s="17">
        <v>183194</v>
      </c>
      <c r="O287" s="17">
        <v>24449</v>
      </c>
      <c r="P287" s="18">
        <v>93.2</v>
      </c>
      <c r="Q287" s="15">
        <v>2</v>
      </c>
      <c r="R287" s="19">
        <v>6</v>
      </c>
      <c r="S287" s="19">
        <v>1</v>
      </c>
      <c r="T287" s="15">
        <v>23</v>
      </c>
      <c r="U287" s="19">
        <v>71</v>
      </c>
      <c r="V287" s="14" t="s">
        <v>31</v>
      </c>
      <c r="W287" s="14"/>
      <c r="X287" s="14">
        <f>IF(V287="Yes",1,0)</f>
        <v>0</v>
      </c>
      <c r="Y287" s="14">
        <f>IF(H287="Active",0,1)</f>
        <v>0</v>
      </c>
    </row>
    <row r="288" spans="1:25" ht="18" customHeight="1" x14ac:dyDescent="0.35">
      <c r="A288" s="8" t="s">
        <v>499</v>
      </c>
      <c r="B288" s="8" t="s">
        <v>349</v>
      </c>
      <c r="C288" s="8" t="s">
        <v>25</v>
      </c>
      <c r="D288" s="9">
        <v>34</v>
      </c>
      <c r="E288" s="8" t="s">
        <v>52</v>
      </c>
      <c r="F288" s="8" t="s">
        <v>43</v>
      </c>
      <c r="G288" s="10">
        <v>45923</v>
      </c>
      <c r="H288" s="8" t="s">
        <v>26</v>
      </c>
      <c r="I288" s="8" t="s">
        <v>2267</v>
      </c>
      <c r="J288" s="8" t="s">
        <v>2269</v>
      </c>
      <c r="K288" s="8" t="s">
        <v>73</v>
      </c>
      <c r="L288" s="8" t="s">
        <v>56</v>
      </c>
      <c r="M288" s="8" t="s">
        <v>30</v>
      </c>
      <c r="N288" s="11">
        <v>163387</v>
      </c>
      <c r="O288" s="11">
        <v>9054</v>
      </c>
      <c r="P288" s="12">
        <v>90</v>
      </c>
      <c r="Q288" s="9">
        <v>9</v>
      </c>
      <c r="R288" s="13">
        <v>13</v>
      </c>
      <c r="S288" s="13">
        <v>5</v>
      </c>
      <c r="T288" s="9">
        <v>20</v>
      </c>
      <c r="U288" s="13">
        <v>69</v>
      </c>
      <c r="V288" s="8" t="s">
        <v>69</v>
      </c>
      <c r="W288" s="8"/>
      <c r="X288" s="22">
        <f>IF(V288="Yes",1,0)</f>
        <v>1</v>
      </c>
      <c r="Y288" s="22">
        <f>IF(H288="Active",0,1)</f>
        <v>0</v>
      </c>
    </row>
    <row r="289" spans="1:25" ht="18" customHeight="1" x14ac:dyDescent="0.35">
      <c r="A289" s="8" t="s">
        <v>338</v>
      </c>
      <c r="B289" s="8" t="s">
        <v>339</v>
      </c>
      <c r="C289" s="8" t="s">
        <v>34</v>
      </c>
      <c r="D289" s="9">
        <v>36</v>
      </c>
      <c r="E289" s="8" t="s">
        <v>42</v>
      </c>
      <c r="F289" s="8" t="s">
        <v>53</v>
      </c>
      <c r="G289" s="10">
        <v>45922</v>
      </c>
      <c r="H289" s="8" t="s">
        <v>26</v>
      </c>
      <c r="I289" s="8" t="s">
        <v>36</v>
      </c>
      <c r="J289" s="8" t="s">
        <v>2269</v>
      </c>
      <c r="K289" s="8" t="s">
        <v>28</v>
      </c>
      <c r="L289" s="8" t="s">
        <v>87</v>
      </c>
      <c r="M289" s="8" t="s">
        <v>39</v>
      </c>
      <c r="N289" s="11">
        <v>86763</v>
      </c>
      <c r="O289" s="11">
        <v>14098</v>
      </c>
      <c r="P289" s="12">
        <v>98.6</v>
      </c>
      <c r="Q289" s="9">
        <v>10</v>
      </c>
      <c r="R289" s="13">
        <v>6</v>
      </c>
      <c r="S289" s="13">
        <v>5</v>
      </c>
      <c r="T289" s="9">
        <v>4</v>
      </c>
      <c r="U289" s="13">
        <v>62</v>
      </c>
      <c r="V289" s="8" t="s">
        <v>31</v>
      </c>
      <c r="W289" s="8"/>
      <c r="X289" s="22">
        <f>IF(V289="Yes",1,0)</f>
        <v>0</v>
      </c>
      <c r="Y289" s="22">
        <f>IF(H289="Active",0,1)</f>
        <v>0</v>
      </c>
    </row>
    <row r="290" spans="1:25" ht="18" customHeight="1" x14ac:dyDescent="0.35">
      <c r="A290" s="14" t="s">
        <v>473</v>
      </c>
      <c r="B290" s="14" t="s">
        <v>153</v>
      </c>
      <c r="C290" s="14" t="s">
        <v>34</v>
      </c>
      <c r="D290" s="15">
        <v>40</v>
      </c>
      <c r="E290" s="14" t="s">
        <v>86</v>
      </c>
      <c r="F290" s="14" t="s">
        <v>72</v>
      </c>
      <c r="G290" s="16">
        <v>45922</v>
      </c>
      <c r="H290" s="14" t="s">
        <v>26</v>
      </c>
      <c r="I290" s="14" t="s">
        <v>27</v>
      </c>
      <c r="J290" s="14" t="s">
        <v>2269</v>
      </c>
      <c r="K290" s="14" t="s">
        <v>2271</v>
      </c>
      <c r="L290" s="14" t="s">
        <v>44</v>
      </c>
      <c r="M290" s="14" t="s">
        <v>45</v>
      </c>
      <c r="N290" s="17">
        <v>67549</v>
      </c>
      <c r="O290" s="17">
        <v>14360</v>
      </c>
      <c r="P290" s="18">
        <v>93</v>
      </c>
      <c r="Q290" s="15">
        <v>4</v>
      </c>
      <c r="R290" s="19">
        <v>25</v>
      </c>
      <c r="S290" s="19">
        <v>1</v>
      </c>
      <c r="T290" s="15">
        <v>28</v>
      </c>
      <c r="U290" s="19">
        <v>65</v>
      </c>
      <c r="V290" s="14" t="s">
        <v>31</v>
      </c>
      <c r="W290" s="14"/>
      <c r="X290" s="14">
        <f>IF(V290="Yes",1,0)</f>
        <v>0</v>
      </c>
      <c r="Y290" s="14">
        <f>IF(H290="Active",0,1)</f>
        <v>0</v>
      </c>
    </row>
    <row r="291" spans="1:25" ht="18" customHeight="1" x14ac:dyDescent="0.35">
      <c r="A291" s="8" t="s">
        <v>600</v>
      </c>
      <c r="B291" s="8" t="s">
        <v>240</v>
      </c>
      <c r="C291" s="8" t="s">
        <v>34</v>
      </c>
      <c r="D291" s="9">
        <v>38</v>
      </c>
      <c r="E291" s="8" t="s">
        <v>52</v>
      </c>
      <c r="F291" s="8" t="s">
        <v>76</v>
      </c>
      <c r="G291" s="10">
        <v>45922</v>
      </c>
      <c r="H291" s="8" t="s">
        <v>26</v>
      </c>
      <c r="I291" s="8" t="s">
        <v>2267</v>
      </c>
      <c r="J291" s="8" t="s">
        <v>48</v>
      </c>
      <c r="K291" s="8" t="s">
        <v>37</v>
      </c>
      <c r="L291" s="8" t="s">
        <v>87</v>
      </c>
      <c r="M291" s="8" t="s">
        <v>60</v>
      </c>
      <c r="N291" s="11">
        <v>212558</v>
      </c>
      <c r="O291" s="11">
        <v>12337</v>
      </c>
      <c r="P291" s="12">
        <v>80.7</v>
      </c>
      <c r="Q291" s="9">
        <v>10</v>
      </c>
      <c r="R291" s="13">
        <v>13</v>
      </c>
      <c r="S291" s="13">
        <v>2</v>
      </c>
      <c r="T291" s="9">
        <v>30</v>
      </c>
      <c r="U291" s="13">
        <v>78</v>
      </c>
      <c r="V291" s="8" t="s">
        <v>69</v>
      </c>
      <c r="W291" s="8"/>
      <c r="X291" s="22">
        <f>IF(V291="Yes",1,0)</f>
        <v>1</v>
      </c>
      <c r="Y291" s="22">
        <f>IF(H291="Active",0,1)</f>
        <v>0</v>
      </c>
    </row>
    <row r="292" spans="1:25" ht="18" customHeight="1" x14ac:dyDescent="0.35">
      <c r="A292" s="14" t="s">
        <v>727</v>
      </c>
      <c r="B292" s="14" t="s">
        <v>520</v>
      </c>
      <c r="C292" s="14" t="s">
        <v>25</v>
      </c>
      <c r="D292" s="15">
        <v>38</v>
      </c>
      <c r="E292" s="14" t="s">
        <v>63</v>
      </c>
      <c r="F292" s="14" t="s">
        <v>43</v>
      </c>
      <c r="G292" s="16">
        <v>45922</v>
      </c>
      <c r="H292" s="14" t="s">
        <v>26</v>
      </c>
      <c r="I292" s="14" t="s">
        <v>2267</v>
      </c>
      <c r="J292" s="14" t="s">
        <v>80</v>
      </c>
      <c r="K292" s="14" t="s">
        <v>55</v>
      </c>
      <c r="L292" s="14" t="s">
        <v>68</v>
      </c>
      <c r="M292" s="14" t="s">
        <v>64</v>
      </c>
      <c r="N292" s="17">
        <v>241671</v>
      </c>
      <c r="O292" s="17">
        <v>44289</v>
      </c>
      <c r="P292" s="18">
        <v>90.1</v>
      </c>
      <c r="Q292" s="15">
        <v>2</v>
      </c>
      <c r="R292" s="19">
        <v>18</v>
      </c>
      <c r="S292" s="19">
        <v>3</v>
      </c>
      <c r="T292" s="15">
        <v>24</v>
      </c>
      <c r="U292" s="19">
        <v>92</v>
      </c>
      <c r="V292" s="14" t="s">
        <v>31</v>
      </c>
      <c r="W292" s="14"/>
      <c r="X292" s="14">
        <f>IF(V292="Yes",1,0)</f>
        <v>0</v>
      </c>
      <c r="Y292" s="14">
        <f>IF(H292="Active",0,1)</f>
        <v>0</v>
      </c>
    </row>
    <row r="293" spans="1:25" ht="18" customHeight="1" x14ac:dyDescent="0.35">
      <c r="A293" s="14" t="s">
        <v>1378</v>
      </c>
      <c r="B293" s="14" t="s">
        <v>587</v>
      </c>
      <c r="C293" s="14" t="s">
        <v>25</v>
      </c>
      <c r="D293" s="15">
        <v>54</v>
      </c>
      <c r="E293" s="14" t="s">
        <v>2304</v>
      </c>
      <c r="F293" s="14" t="s">
        <v>90</v>
      </c>
      <c r="G293" s="16">
        <v>45922</v>
      </c>
      <c r="H293" s="14" t="s">
        <v>26</v>
      </c>
      <c r="I293" s="14" t="s">
        <v>36</v>
      </c>
      <c r="J293" s="14" t="s">
        <v>2270</v>
      </c>
      <c r="K293" s="14" t="s">
        <v>55</v>
      </c>
      <c r="L293" s="14" t="s">
        <v>56</v>
      </c>
      <c r="M293" s="14" t="s">
        <v>64</v>
      </c>
      <c r="N293" s="17">
        <v>209673</v>
      </c>
      <c r="O293" s="17">
        <v>29955</v>
      </c>
      <c r="P293" s="18">
        <v>89</v>
      </c>
      <c r="Q293" s="15">
        <v>6</v>
      </c>
      <c r="R293" s="19">
        <v>7</v>
      </c>
      <c r="S293" s="19">
        <v>4</v>
      </c>
      <c r="T293" s="15">
        <v>14</v>
      </c>
      <c r="U293" s="19">
        <v>65</v>
      </c>
      <c r="V293" s="14" t="s">
        <v>31</v>
      </c>
      <c r="W293" s="14"/>
      <c r="X293" s="14">
        <f>IF(V293="Yes",1,0)</f>
        <v>0</v>
      </c>
      <c r="Y293" s="14">
        <f>IF(H293="Active",0,1)</f>
        <v>0</v>
      </c>
    </row>
    <row r="294" spans="1:25" ht="18" customHeight="1" x14ac:dyDescent="0.35">
      <c r="A294" s="8" t="s">
        <v>1539</v>
      </c>
      <c r="B294" s="8" t="s">
        <v>33</v>
      </c>
      <c r="C294" s="8" t="s">
        <v>25</v>
      </c>
      <c r="D294" s="9">
        <v>42</v>
      </c>
      <c r="E294" s="8" t="s">
        <v>42</v>
      </c>
      <c r="F294" s="8" t="s">
        <v>12</v>
      </c>
      <c r="G294" s="10">
        <v>45922</v>
      </c>
      <c r="H294" s="8" t="s">
        <v>26</v>
      </c>
      <c r="I294" s="8" t="s">
        <v>27</v>
      </c>
      <c r="J294" s="8" t="s">
        <v>48</v>
      </c>
      <c r="K294" s="8" t="s">
        <v>2271</v>
      </c>
      <c r="L294" s="8" t="s">
        <v>49</v>
      </c>
      <c r="M294" s="8" t="s">
        <v>60</v>
      </c>
      <c r="N294" s="11">
        <v>129331</v>
      </c>
      <c r="O294" s="11">
        <v>45731</v>
      </c>
      <c r="P294" s="12">
        <v>96.7</v>
      </c>
      <c r="Q294" s="9">
        <v>7</v>
      </c>
      <c r="R294" s="13">
        <v>3</v>
      </c>
      <c r="S294" s="13">
        <v>2</v>
      </c>
      <c r="T294" s="9">
        <v>32</v>
      </c>
      <c r="U294" s="13">
        <v>80</v>
      </c>
      <c r="V294" s="8" t="s">
        <v>31</v>
      </c>
      <c r="W294" s="8"/>
      <c r="X294" s="22">
        <f>IF(V294="Yes",1,0)</f>
        <v>0</v>
      </c>
      <c r="Y294" s="22">
        <f>IF(H294="Active",0,1)</f>
        <v>0</v>
      </c>
    </row>
    <row r="295" spans="1:25" ht="18" customHeight="1" x14ac:dyDescent="0.35">
      <c r="A295" s="8" t="s">
        <v>1477</v>
      </c>
      <c r="B295" s="8" t="s">
        <v>151</v>
      </c>
      <c r="C295" s="8" t="s">
        <v>34</v>
      </c>
      <c r="D295" s="9">
        <v>45</v>
      </c>
      <c r="E295" s="8" t="s">
        <v>52</v>
      </c>
      <c r="F295" s="8" t="s">
        <v>72</v>
      </c>
      <c r="G295" s="10">
        <v>45921</v>
      </c>
      <c r="H295" s="8" t="s">
        <v>26</v>
      </c>
      <c r="I295" s="8" t="s">
        <v>36</v>
      </c>
      <c r="J295" s="8" t="s">
        <v>2269</v>
      </c>
      <c r="K295" s="8" t="s">
        <v>73</v>
      </c>
      <c r="L295" s="8" t="s">
        <v>38</v>
      </c>
      <c r="M295" s="8" t="s">
        <v>64</v>
      </c>
      <c r="N295" s="11">
        <v>195950</v>
      </c>
      <c r="O295" s="11">
        <v>38244</v>
      </c>
      <c r="P295" s="12">
        <v>90.8</v>
      </c>
      <c r="Q295" s="9">
        <v>0</v>
      </c>
      <c r="R295" s="13">
        <v>22</v>
      </c>
      <c r="S295" s="13">
        <v>3</v>
      </c>
      <c r="T295" s="9">
        <v>33</v>
      </c>
      <c r="U295" s="13">
        <v>87</v>
      </c>
      <c r="V295" s="8" t="s">
        <v>31</v>
      </c>
      <c r="W295" s="8"/>
      <c r="X295" s="22">
        <f>IF(V295="Yes",1,0)</f>
        <v>0</v>
      </c>
      <c r="Y295" s="22">
        <f>IF(H295="Active",0,1)</f>
        <v>0</v>
      </c>
    </row>
    <row r="296" spans="1:25" ht="18" customHeight="1" x14ac:dyDescent="0.35">
      <c r="A296" s="8" t="s">
        <v>2167</v>
      </c>
      <c r="B296" s="8" t="s">
        <v>278</v>
      </c>
      <c r="C296" s="8" t="s">
        <v>34</v>
      </c>
      <c r="D296" s="9">
        <v>52</v>
      </c>
      <c r="E296" s="8" t="s">
        <v>67</v>
      </c>
      <c r="F296" s="8" t="s">
        <v>90</v>
      </c>
      <c r="G296" s="10">
        <v>45921</v>
      </c>
      <c r="H296" s="8" t="s">
        <v>26</v>
      </c>
      <c r="I296" s="8" t="s">
        <v>36</v>
      </c>
      <c r="J296" s="8" t="s">
        <v>48</v>
      </c>
      <c r="K296" s="8" t="s">
        <v>2271</v>
      </c>
      <c r="L296" s="8" t="s">
        <v>116</v>
      </c>
      <c r="M296" s="8" t="s">
        <v>39</v>
      </c>
      <c r="N296" s="11">
        <v>205607</v>
      </c>
      <c r="O296" s="11">
        <v>7637</v>
      </c>
      <c r="P296" s="12">
        <v>91.3</v>
      </c>
      <c r="Q296" s="9">
        <v>10</v>
      </c>
      <c r="R296" s="13">
        <v>30</v>
      </c>
      <c r="S296" s="13">
        <v>2</v>
      </c>
      <c r="T296" s="9">
        <v>0</v>
      </c>
      <c r="U296" s="13">
        <v>85</v>
      </c>
      <c r="V296" s="8" t="s">
        <v>31</v>
      </c>
      <c r="W296" s="8"/>
      <c r="X296" s="22">
        <f>IF(V296="Yes",1,0)</f>
        <v>0</v>
      </c>
      <c r="Y296" s="22">
        <f>IF(H296="Active",0,1)</f>
        <v>0</v>
      </c>
    </row>
    <row r="297" spans="1:25" ht="18" customHeight="1" x14ac:dyDescent="0.35">
      <c r="A297" s="14" t="s">
        <v>2260</v>
      </c>
      <c r="B297" s="14" t="s">
        <v>624</v>
      </c>
      <c r="C297" s="14" t="s">
        <v>25</v>
      </c>
      <c r="D297" s="15">
        <v>53</v>
      </c>
      <c r="E297" s="14" t="s">
        <v>42</v>
      </c>
      <c r="F297" s="14" t="s">
        <v>90</v>
      </c>
      <c r="G297" s="16">
        <v>45921</v>
      </c>
      <c r="H297" s="14" t="s">
        <v>26</v>
      </c>
      <c r="I297" s="14" t="s">
        <v>2267</v>
      </c>
      <c r="J297" s="14" t="s">
        <v>2270</v>
      </c>
      <c r="K297" s="14" t="s">
        <v>73</v>
      </c>
      <c r="L297" s="14" t="s">
        <v>87</v>
      </c>
      <c r="M297" s="14" t="s">
        <v>30</v>
      </c>
      <c r="N297" s="17">
        <v>75947</v>
      </c>
      <c r="O297" s="17">
        <v>21741</v>
      </c>
      <c r="P297" s="18">
        <v>85</v>
      </c>
      <c r="Q297" s="15">
        <v>0</v>
      </c>
      <c r="R297" s="19">
        <v>16</v>
      </c>
      <c r="S297" s="19">
        <v>4</v>
      </c>
      <c r="T297" s="15">
        <v>19</v>
      </c>
      <c r="U297" s="19">
        <v>78</v>
      </c>
      <c r="V297" s="14" t="s">
        <v>31</v>
      </c>
      <c r="W297" s="14"/>
      <c r="X297" s="14">
        <f>IF(V297="Yes",1,0)</f>
        <v>0</v>
      </c>
      <c r="Y297" s="14">
        <f>IF(H297="Active",0,1)</f>
        <v>0</v>
      </c>
    </row>
    <row r="298" spans="1:25" ht="18" customHeight="1" x14ac:dyDescent="0.35">
      <c r="A298" s="14" t="s">
        <v>504</v>
      </c>
      <c r="B298" s="14" t="s">
        <v>127</v>
      </c>
      <c r="C298" s="14" t="s">
        <v>34</v>
      </c>
      <c r="D298" s="15">
        <v>29</v>
      </c>
      <c r="E298" s="14" t="s">
        <v>67</v>
      </c>
      <c r="F298" s="14" t="s">
        <v>53</v>
      </c>
      <c r="G298" s="16">
        <v>45920</v>
      </c>
      <c r="H298" s="14" t="s">
        <v>54</v>
      </c>
      <c r="I298" s="14" t="s">
        <v>2267</v>
      </c>
      <c r="J298" s="14" t="s">
        <v>2268</v>
      </c>
      <c r="K298" s="14" t="s">
        <v>73</v>
      </c>
      <c r="L298" s="14" t="s">
        <v>49</v>
      </c>
      <c r="M298" s="14" t="s">
        <v>30</v>
      </c>
      <c r="N298" s="17">
        <v>203916</v>
      </c>
      <c r="O298" s="17">
        <v>7781</v>
      </c>
      <c r="P298" s="18">
        <v>99.1</v>
      </c>
      <c r="Q298" s="15">
        <v>10</v>
      </c>
      <c r="R298" s="19">
        <v>30</v>
      </c>
      <c r="S298" s="19">
        <v>2</v>
      </c>
      <c r="T298" s="15">
        <v>1</v>
      </c>
      <c r="U298" s="19">
        <v>78</v>
      </c>
      <c r="V298" s="14" t="s">
        <v>31</v>
      </c>
      <c r="W298" s="14" t="s">
        <v>83</v>
      </c>
      <c r="X298" s="14">
        <f>IF(V298="Yes",1,0)</f>
        <v>0</v>
      </c>
      <c r="Y298" s="14">
        <f>IF(H298="Active",0,1)</f>
        <v>1</v>
      </c>
    </row>
    <row r="299" spans="1:25" ht="18" customHeight="1" x14ac:dyDescent="0.35">
      <c r="A299" s="8" t="s">
        <v>1241</v>
      </c>
      <c r="B299" s="8" t="s">
        <v>165</v>
      </c>
      <c r="C299" s="8" t="s">
        <v>34</v>
      </c>
      <c r="D299" s="9">
        <v>28</v>
      </c>
      <c r="E299" s="8" t="s">
        <v>86</v>
      </c>
      <c r="F299" s="8" t="s">
        <v>35</v>
      </c>
      <c r="G299" s="10">
        <v>45920</v>
      </c>
      <c r="H299" s="8" t="s">
        <v>54</v>
      </c>
      <c r="I299" s="8" t="s">
        <v>27</v>
      </c>
      <c r="J299" s="8" t="s">
        <v>2268</v>
      </c>
      <c r="K299" s="8" t="s">
        <v>28</v>
      </c>
      <c r="L299" s="8" t="s">
        <v>49</v>
      </c>
      <c r="M299" s="8" t="s">
        <v>64</v>
      </c>
      <c r="N299" s="11">
        <v>175253</v>
      </c>
      <c r="O299" s="11">
        <v>16116</v>
      </c>
      <c r="P299" s="12">
        <v>85</v>
      </c>
      <c r="Q299" s="9">
        <v>9</v>
      </c>
      <c r="R299" s="13">
        <v>19</v>
      </c>
      <c r="S299" s="13">
        <v>3</v>
      </c>
      <c r="T299" s="9">
        <v>3</v>
      </c>
      <c r="U299" s="13">
        <v>73</v>
      </c>
      <c r="V299" s="8" t="s">
        <v>31</v>
      </c>
      <c r="W299" s="8" t="s">
        <v>83</v>
      </c>
      <c r="X299" s="22">
        <f>IF(V299="Yes",1,0)</f>
        <v>0</v>
      </c>
      <c r="Y299" s="22">
        <f>IF(H299="Active",0,1)</f>
        <v>1</v>
      </c>
    </row>
    <row r="300" spans="1:25" ht="18" customHeight="1" x14ac:dyDescent="0.35">
      <c r="A300" s="8" t="s">
        <v>1677</v>
      </c>
      <c r="B300" s="8" t="s">
        <v>439</v>
      </c>
      <c r="C300" s="8" t="s">
        <v>25</v>
      </c>
      <c r="D300" s="9">
        <v>41</v>
      </c>
      <c r="E300" s="8" t="s">
        <v>86</v>
      </c>
      <c r="F300" s="8" t="s">
        <v>43</v>
      </c>
      <c r="G300" s="10">
        <v>45919</v>
      </c>
      <c r="H300" s="8" t="s">
        <v>26</v>
      </c>
      <c r="I300" s="8" t="s">
        <v>36</v>
      </c>
      <c r="J300" s="8" t="s">
        <v>2268</v>
      </c>
      <c r="K300" s="8" t="s">
        <v>73</v>
      </c>
      <c r="L300" s="8" t="s">
        <v>56</v>
      </c>
      <c r="M300" s="8" t="s">
        <v>30</v>
      </c>
      <c r="N300" s="11">
        <v>180010</v>
      </c>
      <c r="O300" s="11">
        <v>5022</v>
      </c>
      <c r="P300" s="12">
        <v>90.8</v>
      </c>
      <c r="Q300" s="9">
        <v>2</v>
      </c>
      <c r="R300" s="13">
        <v>30</v>
      </c>
      <c r="S300" s="13">
        <v>5</v>
      </c>
      <c r="T300" s="9">
        <v>20</v>
      </c>
      <c r="U300" s="13">
        <v>76</v>
      </c>
      <c r="V300" s="8" t="s">
        <v>31</v>
      </c>
      <c r="W300" s="8"/>
      <c r="X300" s="22">
        <f>IF(V300="Yes",1,0)</f>
        <v>0</v>
      </c>
      <c r="Y300" s="22">
        <f>IF(H300="Active",0,1)</f>
        <v>0</v>
      </c>
    </row>
    <row r="301" spans="1:25" ht="18" customHeight="1" x14ac:dyDescent="0.35">
      <c r="A301" s="8" t="s">
        <v>1745</v>
      </c>
      <c r="B301" s="8" t="s">
        <v>237</v>
      </c>
      <c r="C301" s="8" t="s">
        <v>34</v>
      </c>
      <c r="D301" s="9">
        <v>58</v>
      </c>
      <c r="E301" s="8" t="s">
        <v>2304</v>
      </c>
      <c r="F301" s="8" t="s">
        <v>35</v>
      </c>
      <c r="G301" s="10">
        <v>45919</v>
      </c>
      <c r="H301" s="8" t="s">
        <v>26</v>
      </c>
      <c r="I301" s="8" t="s">
        <v>36</v>
      </c>
      <c r="J301" s="8" t="s">
        <v>48</v>
      </c>
      <c r="K301" s="8" t="s">
        <v>73</v>
      </c>
      <c r="L301" s="8" t="s">
        <v>38</v>
      </c>
      <c r="M301" s="8" t="s">
        <v>30</v>
      </c>
      <c r="N301" s="11">
        <v>102867</v>
      </c>
      <c r="O301" s="11">
        <v>28728</v>
      </c>
      <c r="P301" s="12">
        <v>82.7</v>
      </c>
      <c r="Q301" s="9">
        <v>6</v>
      </c>
      <c r="R301" s="13">
        <v>12</v>
      </c>
      <c r="S301" s="13">
        <v>4</v>
      </c>
      <c r="T301" s="9">
        <v>0</v>
      </c>
      <c r="U301" s="13">
        <v>95</v>
      </c>
      <c r="V301" s="8" t="s">
        <v>31</v>
      </c>
      <c r="W301" s="8"/>
      <c r="X301" s="22">
        <f>IF(V301="Yes",1,0)</f>
        <v>0</v>
      </c>
      <c r="Y301" s="22">
        <f>IF(H301="Active",0,1)</f>
        <v>0</v>
      </c>
    </row>
    <row r="302" spans="1:25" ht="18" customHeight="1" x14ac:dyDescent="0.35">
      <c r="A302" s="14" t="s">
        <v>2074</v>
      </c>
      <c r="B302" s="14" t="s">
        <v>583</v>
      </c>
      <c r="C302" s="14" t="s">
        <v>34</v>
      </c>
      <c r="D302" s="15">
        <v>44</v>
      </c>
      <c r="E302" s="14" t="s">
        <v>93</v>
      </c>
      <c r="F302" s="14" t="s">
        <v>72</v>
      </c>
      <c r="G302" s="16">
        <v>45919</v>
      </c>
      <c r="H302" s="14" t="s">
        <v>26</v>
      </c>
      <c r="I302" s="14" t="s">
        <v>36</v>
      </c>
      <c r="J302" s="14" t="s">
        <v>2268</v>
      </c>
      <c r="K302" s="14" t="s">
        <v>2271</v>
      </c>
      <c r="L302" s="14" t="s">
        <v>29</v>
      </c>
      <c r="M302" s="14" t="s">
        <v>45</v>
      </c>
      <c r="N302" s="17">
        <v>148222</v>
      </c>
      <c r="O302" s="17">
        <v>46138</v>
      </c>
      <c r="P302" s="18">
        <v>95.5</v>
      </c>
      <c r="Q302" s="15">
        <v>0</v>
      </c>
      <c r="R302" s="19">
        <v>23</v>
      </c>
      <c r="S302" s="19">
        <v>2</v>
      </c>
      <c r="T302" s="15">
        <v>30</v>
      </c>
      <c r="U302" s="19">
        <v>96</v>
      </c>
      <c r="V302" s="14" t="s">
        <v>69</v>
      </c>
      <c r="W302" s="14"/>
      <c r="X302" s="14">
        <f>IF(V302="Yes",1,0)</f>
        <v>1</v>
      </c>
      <c r="Y302" s="14">
        <f>IF(H302="Active",0,1)</f>
        <v>0</v>
      </c>
    </row>
    <row r="303" spans="1:25" ht="18" customHeight="1" x14ac:dyDescent="0.35">
      <c r="A303" s="8" t="s">
        <v>1519</v>
      </c>
      <c r="B303" s="8" t="s">
        <v>567</v>
      </c>
      <c r="C303" s="8" t="s">
        <v>34</v>
      </c>
      <c r="D303" s="9">
        <v>49</v>
      </c>
      <c r="E303" s="8" t="s">
        <v>2304</v>
      </c>
      <c r="F303" s="8" t="s">
        <v>35</v>
      </c>
      <c r="G303" s="10">
        <v>45918</v>
      </c>
      <c r="H303" s="8" t="s">
        <v>26</v>
      </c>
      <c r="I303" s="8" t="s">
        <v>2267</v>
      </c>
      <c r="J303" s="8" t="s">
        <v>80</v>
      </c>
      <c r="K303" s="8" t="s">
        <v>28</v>
      </c>
      <c r="L303" s="8" t="s">
        <v>87</v>
      </c>
      <c r="M303" s="8" t="s">
        <v>45</v>
      </c>
      <c r="N303" s="11">
        <v>198059</v>
      </c>
      <c r="O303" s="11">
        <v>32806</v>
      </c>
      <c r="P303" s="12">
        <v>89</v>
      </c>
      <c r="Q303" s="9">
        <v>4</v>
      </c>
      <c r="R303" s="13">
        <v>12</v>
      </c>
      <c r="S303" s="13">
        <v>1</v>
      </c>
      <c r="T303" s="9">
        <v>26</v>
      </c>
      <c r="U303" s="13">
        <v>79</v>
      </c>
      <c r="V303" s="8" t="s">
        <v>31</v>
      </c>
      <c r="W303" s="8"/>
      <c r="X303" s="22">
        <f>IF(V303="Yes",1,0)</f>
        <v>0</v>
      </c>
      <c r="Y303" s="22">
        <f>IF(H303="Active",0,1)</f>
        <v>0</v>
      </c>
    </row>
    <row r="304" spans="1:25" ht="18" customHeight="1" x14ac:dyDescent="0.35">
      <c r="A304" s="8" t="s">
        <v>832</v>
      </c>
      <c r="B304" s="8" t="s">
        <v>694</v>
      </c>
      <c r="C304" s="8" t="s">
        <v>25</v>
      </c>
      <c r="D304" s="9">
        <v>50</v>
      </c>
      <c r="E304" s="8" t="s">
        <v>2304</v>
      </c>
      <c r="F304" s="8" t="s">
        <v>79</v>
      </c>
      <c r="G304" s="10">
        <v>45917</v>
      </c>
      <c r="H304" s="8" t="s">
        <v>26</v>
      </c>
      <c r="I304" s="8" t="s">
        <v>27</v>
      </c>
      <c r="J304" s="8" t="s">
        <v>48</v>
      </c>
      <c r="K304" s="8" t="s">
        <v>28</v>
      </c>
      <c r="L304" s="8" t="s">
        <v>49</v>
      </c>
      <c r="M304" s="8" t="s">
        <v>45</v>
      </c>
      <c r="N304" s="11">
        <v>183992</v>
      </c>
      <c r="O304" s="11">
        <v>20393</v>
      </c>
      <c r="P304" s="12">
        <v>99.6</v>
      </c>
      <c r="Q304" s="9">
        <v>7</v>
      </c>
      <c r="R304" s="13">
        <v>24</v>
      </c>
      <c r="S304" s="13">
        <v>5</v>
      </c>
      <c r="T304" s="9">
        <v>8</v>
      </c>
      <c r="U304" s="13">
        <v>60</v>
      </c>
      <c r="V304" s="8" t="s">
        <v>31</v>
      </c>
      <c r="W304" s="8"/>
      <c r="X304" s="22">
        <f>IF(V304="Yes",1,0)</f>
        <v>0</v>
      </c>
      <c r="Y304" s="22">
        <f>IF(H304="Active",0,1)</f>
        <v>0</v>
      </c>
    </row>
    <row r="305" spans="1:25" ht="18" customHeight="1" x14ac:dyDescent="0.35">
      <c r="A305" s="14" t="s">
        <v>2026</v>
      </c>
      <c r="B305" s="14" t="s">
        <v>815</v>
      </c>
      <c r="C305" s="14" t="s">
        <v>34</v>
      </c>
      <c r="D305" s="15">
        <v>31</v>
      </c>
      <c r="E305" s="14" t="s">
        <v>52</v>
      </c>
      <c r="F305" s="14" t="s">
        <v>72</v>
      </c>
      <c r="G305" s="16">
        <v>45917</v>
      </c>
      <c r="H305" s="14" t="s">
        <v>26</v>
      </c>
      <c r="I305" s="14" t="s">
        <v>36</v>
      </c>
      <c r="J305" s="14" t="s">
        <v>80</v>
      </c>
      <c r="K305" s="14" t="s">
        <v>2271</v>
      </c>
      <c r="L305" s="14" t="s">
        <v>56</v>
      </c>
      <c r="M305" s="14" t="s">
        <v>30</v>
      </c>
      <c r="N305" s="17">
        <v>122935</v>
      </c>
      <c r="O305" s="17">
        <v>10024</v>
      </c>
      <c r="P305" s="18">
        <v>99.7</v>
      </c>
      <c r="Q305" s="15">
        <v>6</v>
      </c>
      <c r="R305" s="19">
        <v>25</v>
      </c>
      <c r="S305" s="19">
        <v>4</v>
      </c>
      <c r="T305" s="15">
        <v>8</v>
      </c>
      <c r="U305" s="19">
        <v>100</v>
      </c>
      <c r="V305" s="14" t="s">
        <v>31</v>
      </c>
      <c r="W305" s="14"/>
      <c r="X305" s="14">
        <f>IF(V305="Yes",1,0)</f>
        <v>0</v>
      </c>
      <c r="Y305" s="14">
        <f>IF(H305="Active",0,1)</f>
        <v>0</v>
      </c>
    </row>
    <row r="306" spans="1:25" ht="18" customHeight="1" x14ac:dyDescent="0.35">
      <c r="A306" s="8" t="s">
        <v>2049</v>
      </c>
      <c r="B306" s="8" t="s">
        <v>254</v>
      </c>
      <c r="C306" s="8" t="s">
        <v>25</v>
      </c>
      <c r="D306" s="9">
        <v>33</v>
      </c>
      <c r="E306" s="8" t="s">
        <v>2303</v>
      </c>
      <c r="F306" s="8" t="s">
        <v>79</v>
      </c>
      <c r="G306" s="10">
        <v>45917</v>
      </c>
      <c r="H306" s="8" t="s">
        <v>26</v>
      </c>
      <c r="I306" s="8" t="s">
        <v>27</v>
      </c>
      <c r="J306" s="8" t="s">
        <v>2269</v>
      </c>
      <c r="K306" s="8" t="s">
        <v>37</v>
      </c>
      <c r="L306" s="8" t="s">
        <v>49</v>
      </c>
      <c r="M306" s="8" t="s">
        <v>39</v>
      </c>
      <c r="N306" s="11">
        <v>88347</v>
      </c>
      <c r="O306" s="11">
        <v>35044</v>
      </c>
      <c r="P306" s="12">
        <v>88.9</v>
      </c>
      <c r="Q306" s="9">
        <v>0</v>
      </c>
      <c r="R306" s="13">
        <v>6</v>
      </c>
      <c r="S306" s="13">
        <v>5</v>
      </c>
      <c r="T306" s="9">
        <v>18</v>
      </c>
      <c r="U306" s="13">
        <v>81</v>
      </c>
      <c r="V306" s="8" t="s">
        <v>69</v>
      </c>
      <c r="W306" s="8"/>
      <c r="X306" s="22">
        <f>IF(V306="Yes",1,0)</f>
        <v>1</v>
      </c>
      <c r="Y306" s="22">
        <f>IF(H306="Active",0,1)</f>
        <v>0</v>
      </c>
    </row>
    <row r="307" spans="1:25" ht="18" customHeight="1" x14ac:dyDescent="0.35">
      <c r="A307" s="8" t="s">
        <v>2259</v>
      </c>
      <c r="B307" s="8" t="s">
        <v>248</v>
      </c>
      <c r="C307" s="8" t="s">
        <v>34</v>
      </c>
      <c r="D307" s="9">
        <v>49</v>
      </c>
      <c r="E307" s="8" t="s">
        <v>2304</v>
      </c>
      <c r="F307" s="8" t="s">
        <v>90</v>
      </c>
      <c r="G307" s="10">
        <v>45917</v>
      </c>
      <c r="H307" s="8" t="s">
        <v>26</v>
      </c>
      <c r="I307" s="8" t="s">
        <v>2267</v>
      </c>
      <c r="J307" s="8" t="s">
        <v>48</v>
      </c>
      <c r="K307" s="8" t="s">
        <v>73</v>
      </c>
      <c r="L307" s="8" t="s">
        <v>49</v>
      </c>
      <c r="M307" s="8" t="s">
        <v>64</v>
      </c>
      <c r="N307" s="11">
        <v>126954</v>
      </c>
      <c r="O307" s="11">
        <v>10724</v>
      </c>
      <c r="P307" s="12">
        <v>91</v>
      </c>
      <c r="Q307" s="9">
        <v>7</v>
      </c>
      <c r="R307" s="13">
        <v>21</v>
      </c>
      <c r="S307" s="13">
        <v>2</v>
      </c>
      <c r="T307" s="9">
        <v>0</v>
      </c>
      <c r="U307" s="13">
        <v>96</v>
      </c>
      <c r="V307" s="8" t="s">
        <v>69</v>
      </c>
      <c r="W307" s="8"/>
      <c r="X307" s="22">
        <f>IF(V307="Yes",1,0)</f>
        <v>1</v>
      </c>
      <c r="Y307" s="22">
        <f>IF(H307="Active",0,1)</f>
        <v>0</v>
      </c>
    </row>
    <row r="308" spans="1:25" ht="18" customHeight="1" x14ac:dyDescent="0.35">
      <c r="A308" s="14" t="s">
        <v>1254</v>
      </c>
      <c r="B308" s="14" t="s">
        <v>203</v>
      </c>
      <c r="C308" s="14" t="s">
        <v>25</v>
      </c>
      <c r="D308" s="15">
        <v>51</v>
      </c>
      <c r="E308" s="14" t="s">
        <v>93</v>
      </c>
      <c r="F308" s="14" t="s">
        <v>53</v>
      </c>
      <c r="G308" s="16">
        <v>45916</v>
      </c>
      <c r="H308" s="14" t="s">
        <v>26</v>
      </c>
      <c r="I308" s="14" t="s">
        <v>36</v>
      </c>
      <c r="J308" s="14" t="s">
        <v>2269</v>
      </c>
      <c r="K308" s="14" t="s">
        <v>55</v>
      </c>
      <c r="L308" s="14" t="s">
        <v>116</v>
      </c>
      <c r="M308" s="14" t="s">
        <v>39</v>
      </c>
      <c r="N308" s="17">
        <v>191879</v>
      </c>
      <c r="O308" s="17">
        <v>21976</v>
      </c>
      <c r="P308" s="18">
        <v>82.6</v>
      </c>
      <c r="Q308" s="15">
        <v>0</v>
      </c>
      <c r="R308" s="19">
        <v>25</v>
      </c>
      <c r="S308" s="19">
        <v>5</v>
      </c>
      <c r="T308" s="15">
        <v>3</v>
      </c>
      <c r="U308" s="19">
        <v>87</v>
      </c>
      <c r="V308" s="14" t="s">
        <v>69</v>
      </c>
      <c r="W308" s="14"/>
      <c r="X308" s="14">
        <f>IF(V308="Yes",1,0)</f>
        <v>1</v>
      </c>
      <c r="Y308" s="14">
        <f>IF(H308="Active",0,1)</f>
        <v>0</v>
      </c>
    </row>
    <row r="309" spans="1:25" ht="18" customHeight="1" x14ac:dyDescent="0.35">
      <c r="A309" s="8" t="s">
        <v>1525</v>
      </c>
      <c r="B309" s="8" t="s">
        <v>514</v>
      </c>
      <c r="C309" s="8" t="s">
        <v>25</v>
      </c>
      <c r="D309" s="9">
        <v>48</v>
      </c>
      <c r="E309" s="8" t="s">
        <v>63</v>
      </c>
      <c r="F309" s="8" t="s">
        <v>90</v>
      </c>
      <c r="G309" s="10">
        <v>45916</v>
      </c>
      <c r="H309" s="8" t="s">
        <v>26</v>
      </c>
      <c r="I309" s="8" t="s">
        <v>2267</v>
      </c>
      <c r="J309" s="8" t="s">
        <v>2270</v>
      </c>
      <c r="K309" s="8" t="s">
        <v>73</v>
      </c>
      <c r="L309" s="8" t="s">
        <v>56</v>
      </c>
      <c r="M309" s="8" t="s">
        <v>64</v>
      </c>
      <c r="N309" s="11">
        <v>148148</v>
      </c>
      <c r="O309" s="11">
        <v>32662</v>
      </c>
      <c r="P309" s="12">
        <v>98.2</v>
      </c>
      <c r="Q309" s="9">
        <v>7</v>
      </c>
      <c r="R309" s="13">
        <v>15</v>
      </c>
      <c r="S309" s="13">
        <v>2</v>
      </c>
      <c r="T309" s="9">
        <v>36</v>
      </c>
      <c r="U309" s="13">
        <v>79</v>
      </c>
      <c r="V309" s="8" t="s">
        <v>31</v>
      </c>
      <c r="W309" s="8"/>
      <c r="X309" s="22">
        <f>IF(V309="Yes",1,0)</f>
        <v>0</v>
      </c>
      <c r="Y309" s="22">
        <f>IF(H309="Active",0,1)</f>
        <v>0</v>
      </c>
    </row>
    <row r="310" spans="1:25" ht="18" customHeight="1" x14ac:dyDescent="0.35">
      <c r="A310" s="14" t="s">
        <v>1634</v>
      </c>
      <c r="B310" s="14" t="s">
        <v>789</v>
      </c>
      <c r="C310" s="14" t="s">
        <v>25</v>
      </c>
      <c r="D310" s="15">
        <v>59</v>
      </c>
      <c r="E310" s="14" t="s">
        <v>2303</v>
      </c>
      <c r="F310" s="14" t="s">
        <v>90</v>
      </c>
      <c r="G310" s="16">
        <v>45916</v>
      </c>
      <c r="H310" s="14" t="s">
        <v>26</v>
      </c>
      <c r="I310" s="14" t="s">
        <v>2267</v>
      </c>
      <c r="J310" s="14" t="s">
        <v>80</v>
      </c>
      <c r="K310" s="14" t="s">
        <v>2271</v>
      </c>
      <c r="L310" s="14" t="s">
        <v>44</v>
      </c>
      <c r="M310" s="14" t="s">
        <v>64</v>
      </c>
      <c r="N310" s="17">
        <v>235343</v>
      </c>
      <c r="O310" s="17">
        <v>9915</v>
      </c>
      <c r="P310" s="18">
        <v>80.8</v>
      </c>
      <c r="Q310" s="15">
        <v>5</v>
      </c>
      <c r="R310" s="19">
        <v>25</v>
      </c>
      <c r="S310" s="19">
        <v>1</v>
      </c>
      <c r="T310" s="15">
        <v>37</v>
      </c>
      <c r="U310" s="19">
        <v>85</v>
      </c>
      <c r="V310" s="14" t="s">
        <v>31</v>
      </c>
      <c r="W310" s="14"/>
      <c r="X310" s="14">
        <f>IF(V310="Yes",1,0)</f>
        <v>0</v>
      </c>
      <c r="Y310" s="14">
        <f>IF(H310="Active",0,1)</f>
        <v>0</v>
      </c>
    </row>
    <row r="311" spans="1:25" ht="18" customHeight="1" x14ac:dyDescent="0.35">
      <c r="A311" s="8" t="s">
        <v>1775</v>
      </c>
      <c r="B311" s="8" t="s">
        <v>246</v>
      </c>
      <c r="C311" s="8" t="s">
        <v>25</v>
      </c>
      <c r="D311" s="9">
        <v>47</v>
      </c>
      <c r="E311" s="8" t="s">
        <v>52</v>
      </c>
      <c r="F311" s="8" t="s">
        <v>76</v>
      </c>
      <c r="G311" s="10">
        <v>45916</v>
      </c>
      <c r="H311" s="8" t="s">
        <v>26</v>
      </c>
      <c r="I311" s="8" t="s">
        <v>36</v>
      </c>
      <c r="J311" s="8" t="s">
        <v>80</v>
      </c>
      <c r="K311" s="8" t="s">
        <v>37</v>
      </c>
      <c r="L311" s="8" t="s">
        <v>49</v>
      </c>
      <c r="M311" s="8" t="s">
        <v>39</v>
      </c>
      <c r="N311" s="11">
        <v>36737</v>
      </c>
      <c r="O311" s="11">
        <v>43445</v>
      </c>
      <c r="P311" s="12">
        <v>85.7</v>
      </c>
      <c r="Q311" s="9">
        <v>4</v>
      </c>
      <c r="R311" s="13">
        <v>18</v>
      </c>
      <c r="S311" s="13">
        <v>4</v>
      </c>
      <c r="T311" s="9">
        <v>5</v>
      </c>
      <c r="U311" s="13">
        <v>96</v>
      </c>
      <c r="V311" s="8" t="s">
        <v>31</v>
      </c>
      <c r="W311" s="8"/>
      <c r="X311" s="22">
        <f>IF(V311="Yes",1,0)</f>
        <v>0</v>
      </c>
      <c r="Y311" s="22">
        <f>IF(H311="Active",0,1)</f>
        <v>0</v>
      </c>
    </row>
    <row r="312" spans="1:25" ht="18" customHeight="1" x14ac:dyDescent="0.35">
      <c r="A312" s="8" t="s">
        <v>436</v>
      </c>
      <c r="B312" s="8" t="s">
        <v>265</v>
      </c>
      <c r="C312" s="8" t="s">
        <v>25</v>
      </c>
      <c r="D312" s="9">
        <v>43</v>
      </c>
      <c r="E312" s="8" t="s">
        <v>86</v>
      </c>
      <c r="F312" s="8" t="s">
        <v>12</v>
      </c>
      <c r="G312" s="10">
        <v>45915</v>
      </c>
      <c r="H312" s="8" t="s">
        <v>26</v>
      </c>
      <c r="I312" s="8" t="s">
        <v>36</v>
      </c>
      <c r="J312" s="8" t="s">
        <v>2269</v>
      </c>
      <c r="K312" s="8" t="s">
        <v>28</v>
      </c>
      <c r="L312" s="8" t="s">
        <v>87</v>
      </c>
      <c r="M312" s="8" t="s">
        <v>30</v>
      </c>
      <c r="N312" s="11">
        <v>236988</v>
      </c>
      <c r="O312" s="11">
        <v>29906</v>
      </c>
      <c r="P312" s="12">
        <v>84.2</v>
      </c>
      <c r="Q312" s="9">
        <v>5</v>
      </c>
      <c r="R312" s="13">
        <v>19</v>
      </c>
      <c r="S312" s="13">
        <v>1</v>
      </c>
      <c r="T312" s="9">
        <v>17</v>
      </c>
      <c r="U312" s="13">
        <v>83</v>
      </c>
      <c r="V312" s="8" t="s">
        <v>31</v>
      </c>
      <c r="W312" s="8"/>
      <c r="X312" s="22">
        <f>IF(V312="Yes",1,0)</f>
        <v>0</v>
      </c>
      <c r="Y312" s="22">
        <f>IF(H312="Active",0,1)</f>
        <v>0</v>
      </c>
    </row>
    <row r="313" spans="1:25" ht="18" customHeight="1" x14ac:dyDescent="0.35">
      <c r="A313" s="8" t="s">
        <v>1943</v>
      </c>
      <c r="B313" s="8" t="s">
        <v>537</v>
      </c>
      <c r="C313" s="8" t="s">
        <v>34</v>
      </c>
      <c r="D313" s="9">
        <v>50</v>
      </c>
      <c r="E313" s="8" t="s">
        <v>86</v>
      </c>
      <c r="F313" s="8" t="s">
        <v>35</v>
      </c>
      <c r="G313" s="10">
        <v>45915</v>
      </c>
      <c r="H313" s="8" t="s">
        <v>26</v>
      </c>
      <c r="I313" s="8" t="s">
        <v>36</v>
      </c>
      <c r="J313" s="8" t="s">
        <v>2269</v>
      </c>
      <c r="K313" s="8" t="s">
        <v>2271</v>
      </c>
      <c r="L313" s="8" t="s">
        <v>44</v>
      </c>
      <c r="M313" s="8" t="s">
        <v>64</v>
      </c>
      <c r="N313" s="11">
        <v>69377</v>
      </c>
      <c r="O313" s="11">
        <v>11298</v>
      </c>
      <c r="P313" s="12">
        <v>88</v>
      </c>
      <c r="Q313" s="9">
        <v>9</v>
      </c>
      <c r="R313" s="13">
        <v>30</v>
      </c>
      <c r="S313" s="13">
        <v>2</v>
      </c>
      <c r="T313" s="9">
        <v>10</v>
      </c>
      <c r="U313" s="13">
        <v>91</v>
      </c>
      <c r="V313" s="8" t="s">
        <v>69</v>
      </c>
      <c r="W313" s="8"/>
      <c r="X313" s="22">
        <f>IF(V313="Yes",1,0)</f>
        <v>1</v>
      </c>
      <c r="Y313" s="22">
        <f>IF(H313="Active",0,1)</f>
        <v>0</v>
      </c>
    </row>
    <row r="314" spans="1:25" ht="18" customHeight="1" x14ac:dyDescent="0.35">
      <c r="A314" s="14" t="s">
        <v>566</v>
      </c>
      <c r="B314" s="14" t="s">
        <v>567</v>
      </c>
      <c r="C314" s="14" t="s">
        <v>25</v>
      </c>
      <c r="D314" s="15">
        <v>51</v>
      </c>
      <c r="E314" s="14" t="s">
        <v>93</v>
      </c>
      <c r="F314" s="14" t="s">
        <v>53</v>
      </c>
      <c r="G314" s="16">
        <v>45914</v>
      </c>
      <c r="H314" s="14" t="s">
        <v>26</v>
      </c>
      <c r="I314" s="14" t="s">
        <v>2267</v>
      </c>
      <c r="J314" s="14" t="s">
        <v>2269</v>
      </c>
      <c r="K314" s="14" t="s">
        <v>2271</v>
      </c>
      <c r="L314" s="14" t="s">
        <v>49</v>
      </c>
      <c r="M314" s="14" t="s">
        <v>30</v>
      </c>
      <c r="N314" s="17">
        <v>96819</v>
      </c>
      <c r="O314" s="17">
        <v>41323</v>
      </c>
      <c r="P314" s="18">
        <v>91.3</v>
      </c>
      <c r="Q314" s="15">
        <v>9</v>
      </c>
      <c r="R314" s="19">
        <v>16</v>
      </c>
      <c r="S314" s="19">
        <v>1</v>
      </c>
      <c r="T314" s="15">
        <v>18</v>
      </c>
      <c r="U314" s="19">
        <v>91</v>
      </c>
      <c r="V314" s="14" t="s">
        <v>31</v>
      </c>
      <c r="W314" s="14"/>
      <c r="X314" s="14">
        <f>IF(V314="Yes",1,0)</f>
        <v>0</v>
      </c>
      <c r="Y314" s="14">
        <f>IF(H314="Active",0,1)</f>
        <v>0</v>
      </c>
    </row>
    <row r="315" spans="1:25" ht="18" customHeight="1" x14ac:dyDescent="0.35">
      <c r="A315" s="8" t="s">
        <v>1003</v>
      </c>
      <c r="B315" s="8" t="s">
        <v>162</v>
      </c>
      <c r="C315" s="8" t="s">
        <v>25</v>
      </c>
      <c r="D315" s="9">
        <v>59</v>
      </c>
      <c r="E315" s="8" t="s">
        <v>67</v>
      </c>
      <c r="F315" s="8" t="s">
        <v>90</v>
      </c>
      <c r="G315" s="10">
        <v>45914</v>
      </c>
      <c r="H315" s="8" t="s">
        <v>54</v>
      </c>
      <c r="I315" s="8" t="s">
        <v>36</v>
      </c>
      <c r="J315" s="8" t="s">
        <v>48</v>
      </c>
      <c r="K315" s="8" t="s">
        <v>2271</v>
      </c>
      <c r="L315" s="8" t="s">
        <v>56</v>
      </c>
      <c r="M315" s="8" t="s">
        <v>39</v>
      </c>
      <c r="N315" s="11">
        <v>58970</v>
      </c>
      <c r="O315" s="11">
        <v>46118</v>
      </c>
      <c r="P315" s="12">
        <v>92.2</v>
      </c>
      <c r="Q315" s="9">
        <v>6</v>
      </c>
      <c r="R315" s="13">
        <v>21</v>
      </c>
      <c r="S315" s="13">
        <v>2</v>
      </c>
      <c r="T315" s="9">
        <v>38</v>
      </c>
      <c r="U315" s="13">
        <v>78</v>
      </c>
      <c r="V315" s="8" t="s">
        <v>31</v>
      </c>
      <c r="W315" s="8" t="s">
        <v>57</v>
      </c>
      <c r="X315" s="22">
        <f>IF(V315="Yes",1,0)</f>
        <v>0</v>
      </c>
      <c r="Y315" s="22">
        <f>IF(H315="Active",0,1)</f>
        <v>1</v>
      </c>
    </row>
    <row r="316" spans="1:25" ht="18" customHeight="1" x14ac:dyDescent="0.35">
      <c r="A316" s="8" t="s">
        <v>1089</v>
      </c>
      <c r="B316" s="8" t="s">
        <v>240</v>
      </c>
      <c r="C316" s="8" t="s">
        <v>34</v>
      </c>
      <c r="D316" s="9">
        <v>54</v>
      </c>
      <c r="E316" s="8" t="s">
        <v>67</v>
      </c>
      <c r="F316" s="8" t="s">
        <v>35</v>
      </c>
      <c r="G316" s="10">
        <v>45914</v>
      </c>
      <c r="H316" s="8" t="s">
        <v>26</v>
      </c>
      <c r="I316" s="8" t="s">
        <v>36</v>
      </c>
      <c r="J316" s="8" t="s">
        <v>48</v>
      </c>
      <c r="K316" s="8" t="s">
        <v>73</v>
      </c>
      <c r="L316" s="8" t="s">
        <v>116</v>
      </c>
      <c r="M316" s="8" t="s">
        <v>30</v>
      </c>
      <c r="N316" s="11">
        <v>149188</v>
      </c>
      <c r="O316" s="11">
        <v>49682</v>
      </c>
      <c r="P316" s="12">
        <v>82</v>
      </c>
      <c r="Q316" s="9">
        <v>6</v>
      </c>
      <c r="R316" s="13">
        <v>23</v>
      </c>
      <c r="S316" s="13">
        <v>4</v>
      </c>
      <c r="T316" s="9">
        <v>39</v>
      </c>
      <c r="U316" s="13">
        <v>64</v>
      </c>
      <c r="V316" s="8" t="s">
        <v>31</v>
      </c>
      <c r="W316" s="8"/>
      <c r="X316" s="22">
        <f>IF(V316="Yes",1,0)</f>
        <v>0</v>
      </c>
      <c r="Y316" s="22">
        <f>IF(H316="Active",0,1)</f>
        <v>0</v>
      </c>
    </row>
    <row r="317" spans="1:25" ht="18" customHeight="1" x14ac:dyDescent="0.35">
      <c r="A317" s="14" t="s">
        <v>1626</v>
      </c>
      <c r="B317" s="14" t="s">
        <v>33</v>
      </c>
      <c r="C317" s="14" t="s">
        <v>25</v>
      </c>
      <c r="D317" s="15">
        <v>43</v>
      </c>
      <c r="E317" s="14" t="s">
        <v>93</v>
      </c>
      <c r="F317" s="14" t="s">
        <v>76</v>
      </c>
      <c r="G317" s="16">
        <v>45914</v>
      </c>
      <c r="H317" s="14" t="s">
        <v>26</v>
      </c>
      <c r="I317" s="14" t="s">
        <v>27</v>
      </c>
      <c r="J317" s="14" t="s">
        <v>80</v>
      </c>
      <c r="K317" s="14" t="s">
        <v>37</v>
      </c>
      <c r="L317" s="14" t="s">
        <v>87</v>
      </c>
      <c r="M317" s="14" t="s">
        <v>30</v>
      </c>
      <c r="N317" s="17">
        <v>70774</v>
      </c>
      <c r="O317" s="17">
        <v>37087</v>
      </c>
      <c r="P317" s="18">
        <v>93.7</v>
      </c>
      <c r="Q317" s="15">
        <v>0</v>
      </c>
      <c r="R317" s="19">
        <v>27</v>
      </c>
      <c r="S317" s="19">
        <v>1</v>
      </c>
      <c r="T317" s="15">
        <v>16</v>
      </c>
      <c r="U317" s="19">
        <v>92</v>
      </c>
      <c r="V317" s="14" t="s">
        <v>31</v>
      </c>
      <c r="W317" s="14"/>
      <c r="X317" s="14">
        <f>IF(V317="Yes",1,0)</f>
        <v>0</v>
      </c>
      <c r="Y317" s="14">
        <f>IF(H317="Active",0,1)</f>
        <v>0</v>
      </c>
    </row>
    <row r="318" spans="1:25" ht="18" customHeight="1" x14ac:dyDescent="0.35">
      <c r="A318" s="8" t="s">
        <v>1825</v>
      </c>
      <c r="B318" s="8" t="s">
        <v>393</v>
      </c>
      <c r="C318" s="8" t="s">
        <v>34</v>
      </c>
      <c r="D318" s="9">
        <v>50</v>
      </c>
      <c r="E318" s="8" t="s">
        <v>86</v>
      </c>
      <c r="F318" s="8" t="s">
        <v>53</v>
      </c>
      <c r="G318" s="10">
        <v>45914</v>
      </c>
      <c r="H318" s="8" t="s">
        <v>26</v>
      </c>
      <c r="I318" s="8" t="s">
        <v>2267</v>
      </c>
      <c r="J318" s="8" t="s">
        <v>2268</v>
      </c>
      <c r="K318" s="8" t="s">
        <v>37</v>
      </c>
      <c r="L318" s="8" t="s">
        <v>116</v>
      </c>
      <c r="M318" s="8" t="s">
        <v>30</v>
      </c>
      <c r="N318" s="11">
        <v>221823</v>
      </c>
      <c r="O318" s="11">
        <v>47535</v>
      </c>
      <c r="P318" s="12">
        <v>99.9</v>
      </c>
      <c r="Q318" s="9">
        <v>8</v>
      </c>
      <c r="R318" s="13">
        <v>6</v>
      </c>
      <c r="S318" s="13">
        <v>3</v>
      </c>
      <c r="T318" s="9">
        <v>4</v>
      </c>
      <c r="U318" s="13">
        <v>97</v>
      </c>
      <c r="V318" s="8" t="s">
        <v>31</v>
      </c>
      <c r="W318" s="8"/>
      <c r="X318" s="22">
        <f>IF(V318="Yes",1,0)</f>
        <v>0</v>
      </c>
      <c r="Y318" s="22">
        <f>IF(H318="Active",0,1)</f>
        <v>0</v>
      </c>
    </row>
    <row r="319" spans="1:25" ht="18" customHeight="1" x14ac:dyDescent="0.35">
      <c r="A319" s="8" t="s">
        <v>312</v>
      </c>
      <c r="B319" s="8" t="s">
        <v>118</v>
      </c>
      <c r="C319" s="8" t="s">
        <v>34</v>
      </c>
      <c r="D319" s="9">
        <v>26</v>
      </c>
      <c r="E319" s="8" t="s">
        <v>2304</v>
      </c>
      <c r="F319" s="8" t="s">
        <v>90</v>
      </c>
      <c r="G319" s="10">
        <v>45912</v>
      </c>
      <c r="H319" s="8" t="s">
        <v>26</v>
      </c>
      <c r="I319" s="8" t="s">
        <v>2267</v>
      </c>
      <c r="J319" s="8" t="s">
        <v>2268</v>
      </c>
      <c r="K319" s="8" t="s">
        <v>28</v>
      </c>
      <c r="L319" s="8" t="s">
        <v>68</v>
      </c>
      <c r="M319" s="8" t="s">
        <v>64</v>
      </c>
      <c r="N319" s="11">
        <v>78502</v>
      </c>
      <c r="O319" s="11">
        <v>47594</v>
      </c>
      <c r="P319" s="12">
        <v>81.2</v>
      </c>
      <c r="Q319" s="9">
        <v>8</v>
      </c>
      <c r="R319" s="13">
        <v>7</v>
      </c>
      <c r="S319" s="13">
        <v>4</v>
      </c>
      <c r="T319" s="9">
        <v>4</v>
      </c>
      <c r="U319" s="13">
        <v>93</v>
      </c>
      <c r="V319" s="8" t="s">
        <v>31</v>
      </c>
      <c r="W319" s="8"/>
      <c r="X319" s="22">
        <f>IF(V319="Yes",1,0)</f>
        <v>0</v>
      </c>
      <c r="Y319" s="22">
        <f>IF(H319="Active",0,1)</f>
        <v>0</v>
      </c>
    </row>
    <row r="320" spans="1:25" ht="18" customHeight="1" x14ac:dyDescent="0.35">
      <c r="A320" s="14" t="s">
        <v>804</v>
      </c>
      <c r="B320" s="14" t="s">
        <v>144</v>
      </c>
      <c r="C320" s="14" t="s">
        <v>34</v>
      </c>
      <c r="D320" s="15">
        <v>47</v>
      </c>
      <c r="E320" s="14" t="s">
        <v>2304</v>
      </c>
      <c r="F320" s="14" t="s">
        <v>72</v>
      </c>
      <c r="G320" s="16">
        <v>45912</v>
      </c>
      <c r="H320" s="14" t="s">
        <v>26</v>
      </c>
      <c r="I320" s="14" t="s">
        <v>2267</v>
      </c>
      <c r="J320" s="14" t="s">
        <v>2268</v>
      </c>
      <c r="K320" s="14" t="s">
        <v>2271</v>
      </c>
      <c r="L320" s="14" t="s">
        <v>38</v>
      </c>
      <c r="M320" s="14" t="s">
        <v>60</v>
      </c>
      <c r="N320" s="17">
        <v>46390</v>
      </c>
      <c r="O320" s="17">
        <v>29900</v>
      </c>
      <c r="P320" s="18">
        <v>86.6</v>
      </c>
      <c r="Q320" s="15">
        <v>6</v>
      </c>
      <c r="R320" s="19">
        <v>10</v>
      </c>
      <c r="S320" s="19">
        <v>5</v>
      </c>
      <c r="T320" s="15">
        <v>19</v>
      </c>
      <c r="U320" s="19">
        <v>71</v>
      </c>
      <c r="V320" s="14" t="s">
        <v>31</v>
      </c>
      <c r="W320" s="14"/>
      <c r="X320" s="14">
        <f>IF(V320="Yes",1,0)</f>
        <v>0</v>
      </c>
      <c r="Y320" s="14">
        <f>IF(H320="Active",0,1)</f>
        <v>0</v>
      </c>
    </row>
    <row r="321" spans="1:25" ht="18" customHeight="1" x14ac:dyDescent="0.35">
      <c r="A321" s="8" t="s">
        <v>820</v>
      </c>
      <c r="B321" s="8" t="s">
        <v>327</v>
      </c>
      <c r="C321" s="8" t="s">
        <v>25</v>
      </c>
      <c r="D321" s="9">
        <v>59</v>
      </c>
      <c r="E321" s="8" t="s">
        <v>63</v>
      </c>
      <c r="F321" s="8" t="s">
        <v>79</v>
      </c>
      <c r="G321" s="10">
        <v>45912</v>
      </c>
      <c r="H321" s="8" t="s">
        <v>26</v>
      </c>
      <c r="I321" s="8" t="s">
        <v>27</v>
      </c>
      <c r="J321" s="8" t="s">
        <v>80</v>
      </c>
      <c r="K321" s="8" t="s">
        <v>73</v>
      </c>
      <c r="L321" s="8" t="s">
        <v>44</v>
      </c>
      <c r="M321" s="8" t="s">
        <v>39</v>
      </c>
      <c r="N321" s="11">
        <v>146562</v>
      </c>
      <c r="O321" s="11">
        <v>25795</v>
      </c>
      <c r="P321" s="12">
        <v>88.3</v>
      </c>
      <c r="Q321" s="9">
        <v>4</v>
      </c>
      <c r="R321" s="13">
        <v>16</v>
      </c>
      <c r="S321" s="13">
        <v>1</v>
      </c>
      <c r="T321" s="9">
        <v>39</v>
      </c>
      <c r="U321" s="13">
        <v>86</v>
      </c>
      <c r="V321" s="8" t="s">
        <v>31</v>
      </c>
      <c r="W321" s="8"/>
      <c r="X321" s="22">
        <f>IF(V321="Yes",1,0)</f>
        <v>0</v>
      </c>
      <c r="Y321" s="22">
        <f>IF(H321="Active",0,1)</f>
        <v>0</v>
      </c>
    </row>
    <row r="322" spans="1:25" ht="18" customHeight="1" x14ac:dyDescent="0.35">
      <c r="A322" s="14" t="s">
        <v>326</v>
      </c>
      <c r="B322" s="14" t="s">
        <v>327</v>
      </c>
      <c r="C322" s="14" t="s">
        <v>25</v>
      </c>
      <c r="D322" s="15">
        <v>48</v>
      </c>
      <c r="E322" s="14" t="s">
        <v>109</v>
      </c>
      <c r="F322" s="14" t="s">
        <v>12</v>
      </c>
      <c r="G322" s="16">
        <v>45911</v>
      </c>
      <c r="H322" s="14" t="s">
        <v>26</v>
      </c>
      <c r="I322" s="14" t="s">
        <v>2267</v>
      </c>
      <c r="J322" s="14" t="s">
        <v>80</v>
      </c>
      <c r="K322" s="14" t="s">
        <v>37</v>
      </c>
      <c r="L322" s="14" t="s">
        <v>49</v>
      </c>
      <c r="M322" s="14" t="s">
        <v>60</v>
      </c>
      <c r="N322" s="17">
        <v>79802</v>
      </c>
      <c r="O322" s="17">
        <v>23866</v>
      </c>
      <c r="P322" s="18">
        <v>83.5</v>
      </c>
      <c r="Q322" s="15">
        <v>0</v>
      </c>
      <c r="R322" s="19">
        <v>27</v>
      </c>
      <c r="S322" s="19">
        <v>5</v>
      </c>
      <c r="T322" s="15">
        <v>38</v>
      </c>
      <c r="U322" s="19">
        <v>70</v>
      </c>
      <c r="V322" s="14" t="s">
        <v>31</v>
      </c>
      <c r="W322" s="14"/>
      <c r="X322" s="14">
        <f>IF(V322="Yes",1,0)</f>
        <v>0</v>
      </c>
      <c r="Y322" s="14">
        <f>IF(H322="Active",0,1)</f>
        <v>0</v>
      </c>
    </row>
    <row r="323" spans="1:25" ht="18" customHeight="1" x14ac:dyDescent="0.35">
      <c r="A323" s="8" t="s">
        <v>894</v>
      </c>
      <c r="B323" s="8" t="s">
        <v>587</v>
      </c>
      <c r="C323" s="8" t="s">
        <v>34</v>
      </c>
      <c r="D323" s="9">
        <v>27</v>
      </c>
      <c r="E323" s="8" t="s">
        <v>2304</v>
      </c>
      <c r="F323" s="8" t="s">
        <v>72</v>
      </c>
      <c r="G323" s="10">
        <v>45911</v>
      </c>
      <c r="H323" s="8" t="s">
        <v>26</v>
      </c>
      <c r="I323" s="8" t="s">
        <v>2267</v>
      </c>
      <c r="J323" s="8" t="s">
        <v>48</v>
      </c>
      <c r="K323" s="8" t="s">
        <v>28</v>
      </c>
      <c r="L323" s="8" t="s">
        <v>29</v>
      </c>
      <c r="M323" s="8" t="s">
        <v>64</v>
      </c>
      <c r="N323" s="11">
        <v>131895</v>
      </c>
      <c r="O323" s="11">
        <v>6168</v>
      </c>
      <c r="P323" s="12">
        <v>87</v>
      </c>
      <c r="Q323" s="9">
        <v>10</v>
      </c>
      <c r="R323" s="13">
        <v>8</v>
      </c>
      <c r="S323" s="13">
        <v>2</v>
      </c>
      <c r="T323" s="9">
        <v>29</v>
      </c>
      <c r="U323" s="13">
        <v>88</v>
      </c>
      <c r="V323" s="8" t="s">
        <v>31</v>
      </c>
      <c r="W323" s="8"/>
      <c r="X323" s="22">
        <f>IF(V323="Yes",1,0)</f>
        <v>0</v>
      </c>
      <c r="Y323" s="22">
        <f>IF(H323="Active",0,1)</f>
        <v>0</v>
      </c>
    </row>
    <row r="324" spans="1:25" ht="18" customHeight="1" x14ac:dyDescent="0.35">
      <c r="A324" s="14" t="s">
        <v>1748</v>
      </c>
      <c r="B324" s="14" t="s">
        <v>203</v>
      </c>
      <c r="C324" s="14" t="s">
        <v>34</v>
      </c>
      <c r="D324" s="15">
        <v>21</v>
      </c>
      <c r="E324" s="14" t="s">
        <v>63</v>
      </c>
      <c r="F324" s="14" t="s">
        <v>90</v>
      </c>
      <c r="G324" s="16">
        <v>45911</v>
      </c>
      <c r="H324" s="14" t="s">
        <v>26</v>
      </c>
      <c r="I324" s="14" t="s">
        <v>2267</v>
      </c>
      <c r="J324" s="14" t="s">
        <v>48</v>
      </c>
      <c r="K324" s="14" t="s">
        <v>73</v>
      </c>
      <c r="L324" s="14" t="s">
        <v>44</v>
      </c>
      <c r="M324" s="14" t="s">
        <v>60</v>
      </c>
      <c r="N324" s="17">
        <v>49364</v>
      </c>
      <c r="O324" s="17">
        <v>13462</v>
      </c>
      <c r="P324" s="18">
        <v>97.8</v>
      </c>
      <c r="Q324" s="15">
        <v>0</v>
      </c>
      <c r="R324" s="19">
        <v>28</v>
      </c>
      <c r="S324" s="19">
        <v>1</v>
      </c>
      <c r="T324" s="15">
        <v>27</v>
      </c>
      <c r="U324" s="19">
        <v>82</v>
      </c>
      <c r="V324" s="14" t="s">
        <v>69</v>
      </c>
      <c r="W324" s="14"/>
      <c r="X324" s="14">
        <f>IF(V324="Yes",1,0)</f>
        <v>1</v>
      </c>
      <c r="Y324" s="14">
        <f>IF(H324="Active",0,1)</f>
        <v>0</v>
      </c>
    </row>
    <row r="325" spans="1:25" ht="18" customHeight="1" x14ac:dyDescent="0.35">
      <c r="A325" s="14" t="s">
        <v>2164</v>
      </c>
      <c r="B325" s="14" t="s">
        <v>454</v>
      </c>
      <c r="C325" s="14" t="s">
        <v>25</v>
      </c>
      <c r="D325" s="15">
        <v>32</v>
      </c>
      <c r="E325" s="14" t="s">
        <v>42</v>
      </c>
      <c r="F325" s="14" t="s">
        <v>76</v>
      </c>
      <c r="G325" s="16">
        <v>45911</v>
      </c>
      <c r="H325" s="14" t="s">
        <v>26</v>
      </c>
      <c r="I325" s="14" t="s">
        <v>2267</v>
      </c>
      <c r="J325" s="14" t="s">
        <v>2270</v>
      </c>
      <c r="K325" s="14" t="s">
        <v>73</v>
      </c>
      <c r="L325" s="14" t="s">
        <v>68</v>
      </c>
      <c r="M325" s="14" t="s">
        <v>30</v>
      </c>
      <c r="N325" s="17">
        <v>205078</v>
      </c>
      <c r="O325" s="17">
        <v>10287</v>
      </c>
      <c r="P325" s="18">
        <v>97.6</v>
      </c>
      <c r="Q325" s="15">
        <v>1</v>
      </c>
      <c r="R325" s="19">
        <v>4</v>
      </c>
      <c r="S325" s="19">
        <v>5</v>
      </c>
      <c r="T325" s="15">
        <v>28</v>
      </c>
      <c r="U325" s="19">
        <v>94</v>
      </c>
      <c r="V325" s="14" t="s">
        <v>69</v>
      </c>
      <c r="W325" s="14"/>
      <c r="X325" s="14">
        <f>IF(V325="Yes",1,0)</f>
        <v>1</v>
      </c>
      <c r="Y325" s="14">
        <f>IF(H325="Active",0,1)</f>
        <v>0</v>
      </c>
    </row>
    <row r="326" spans="1:25" ht="18" customHeight="1" x14ac:dyDescent="0.35">
      <c r="A326" s="14" t="s">
        <v>969</v>
      </c>
      <c r="B326" s="14" t="s">
        <v>261</v>
      </c>
      <c r="C326" s="14" t="s">
        <v>25</v>
      </c>
      <c r="D326" s="15">
        <v>42</v>
      </c>
      <c r="E326" s="14" t="s">
        <v>52</v>
      </c>
      <c r="F326" s="14" t="s">
        <v>43</v>
      </c>
      <c r="G326" s="16">
        <v>45910</v>
      </c>
      <c r="H326" s="14" t="s">
        <v>26</v>
      </c>
      <c r="I326" s="14" t="s">
        <v>2267</v>
      </c>
      <c r="J326" s="14" t="s">
        <v>2269</v>
      </c>
      <c r="K326" s="14" t="s">
        <v>37</v>
      </c>
      <c r="L326" s="14" t="s">
        <v>87</v>
      </c>
      <c r="M326" s="14" t="s">
        <v>39</v>
      </c>
      <c r="N326" s="17">
        <v>107511</v>
      </c>
      <c r="O326" s="17">
        <v>16638</v>
      </c>
      <c r="P326" s="18">
        <v>80.5</v>
      </c>
      <c r="Q326" s="15">
        <v>9</v>
      </c>
      <c r="R326" s="19">
        <v>0</v>
      </c>
      <c r="S326" s="19">
        <v>5</v>
      </c>
      <c r="T326" s="15">
        <v>16</v>
      </c>
      <c r="U326" s="19">
        <v>78</v>
      </c>
      <c r="V326" s="14" t="s">
        <v>69</v>
      </c>
      <c r="W326" s="14"/>
      <c r="X326" s="14">
        <f>IF(V326="Yes",1,0)</f>
        <v>1</v>
      </c>
      <c r="Y326" s="14">
        <f>IF(H326="Active",0,1)</f>
        <v>0</v>
      </c>
    </row>
    <row r="327" spans="1:25" ht="18" customHeight="1" x14ac:dyDescent="0.35">
      <c r="A327" s="8" t="s">
        <v>1329</v>
      </c>
      <c r="B327" s="8" t="s">
        <v>339</v>
      </c>
      <c r="C327" s="8" t="s">
        <v>34</v>
      </c>
      <c r="D327" s="9">
        <v>52</v>
      </c>
      <c r="E327" s="8" t="s">
        <v>2304</v>
      </c>
      <c r="F327" s="8" t="s">
        <v>72</v>
      </c>
      <c r="G327" s="10">
        <v>45910</v>
      </c>
      <c r="H327" s="8" t="s">
        <v>26</v>
      </c>
      <c r="I327" s="8" t="s">
        <v>27</v>
      </c>
      <c r="J327" s="8" t="s">
        <v>2269</v>
      </c>
      <c r="K327" s="8" t="s">
        <v>2271</v>
      </c>
      <c r="L327" s="8" t="s">
        <v>116</v>
      </c>
      <c r="M327" s="8" t="s">
        <v>30</v>
      </c>
      <c r="N327" s="11">
        <v>128025</v>
      </c>
      <c r="O327" s="11">
        <v>34945</v>
      </c>
      <c r="P327" s="12">
        <v>93.6</v>
      </c>
      <c r="Q327" s="9">
        <v>7</v>
      </c>
      <c r="R327" s="13">
        <v>1</v>
      </c>
      <c r="S327" s="13">
        <v>3</v>
      </c>
      <c r="T327" s="9">
        <v>33</v>
      </c>
      <c r="U327" s="13">
        <v>93</v>
      </c>
      <c r="V327" s="8" t="s">
        <v>69</v>
      </c>
      <c r="W327" s="8"/>
      <c r="X327" s="22">
        <f>IF(V327="Yes",1,0)</f>
        <v>1</v>
      </c>
      <c r="Y327" s="22">
        <f>IF(H327="Active",0,1)</f>
        <v>0</v>
      </c>
    </row>
    <row r="328" spans="1:25" ht="18" customHeight="1" x14ac:dyDescent="0.35">
      <c r="A328" s="8" t="s">
        <v>1427</v>
      </c>
      <c r="B328" s="8" t="s">
        <v>344</v>
      </c>
      <c r="C328" s="8" t="s">
        <v>25</v>
      </c>
      <c r="D328" s="9">
        <v>29</v>
      </c>
      <c r="E328" s="8" t="s">
        <v>63</v>
      </c>
      <c r="F328" s="8" t="s">
        <v>76</v>
      </c>
      <c r="G328" s="10">
        <v>45909</v>
      </c>
      <c r="H328" s="8" t="s">
        <v>26</v>
      </c>
      <c r="I328" s="8" t="s">
        <v>2267</v>
      </c>
      <c r="J328" s="8" t="s">
        <v>2268</v>
      </c>
      <c r="K328" s="8" t="s">
        <v>55</v>
      </c>
      <c r="L328" s="8" t="s">
        <v>38</v>
      </c>
      <c r="M328" s="8" t="s">
        <v>45</v>
      </c>
      <c r="N328" s="11">
        <v>66792</v>
      </c>
      <c r="O328" s="11">
        <v>47036</v>
      </c>
      <c r="P328" s="12">
        <v>89.1</v>
      </c>
      <c r="Q328" s="9">
        <v>6</v>
      </c>
      <c r="R328" s="13">
        <v>19</v>
      </c>
      <c r="S328" s="13">
        <v>2</v>
      </c>
      <c r="T328" s="9">
        <v>8</v>
      </c>
      <c r="U328" s="13">
        <v>91</v>
      </c>
      <c r="V328" s="8" t="s">
        <v>31</v>
      </c>
      <c r="W328" s="8"/>
      <c r="X328" s="22">
        <f>IF(V328="Yes",1,0)</f>
        <v>0</v>
      </c>
      <c r="Y328" s="22">
        <f>IF(H328="Active",0,1)</f>
        <v>0</v>
      </c>
    </row>
    <row r="329" spans="1:25" ht="18" customHeight="1" x14ac:dyDescent="0.35">
      <c r="A329" s="8" t="s">
        <v>2015</v>
      </c>
      <c r="B329" s="8" t="s">
        <v>138</v>
      </c>
      <c r="C329" s="8" t="s">
        <v>34</v>
      </c>
      <c r="D329" s="9">
        <v>29</v>
      </c>
      <c r="E329" s="8" t="s">
        <v>63</v>
      </c>
      <c r="F329" s="8" t="s">
        <v>35</v>
      </c>
      <c r="G329" s="10">
        <v>45909</v>
      </c>
      <c r="H329" s="8" t="s">
        <v>26</v>
      </c>
      <c r="I329" s="8" t="s">
        <v>36</v>
      </c>
      <c r="J329" s="8" t="s">
        <v>48</v>
      </c>
      <c r="K329" s="8" t="s">
        <v>2271</v>
      </c>
      <c r="L329" s="8" t="s">
        <v>44</v>
      </c>
      <c r="M329" s="8" t="s">
        <v>30</v>
      </c>
      <c r="N329" s="11">
        <v>249768</v>
      </c>
      <c r="O329" s="11">
        <v>6993</v>
      </c>
      <c r="P329" s="12">
        <v>82.6</v>
      </c>
      <c r="Q329" s="9">
        <v>10</v>
      </c>
      <c r="R329" s="13">
        <v>2</v>
      </c>
      <c r="S329" s="13">
        <v>2</v>
      </c>
      <c r="T329" s="9">
        <v>27</v>
      </c>
      <c r="U329" s="13">
        <v>96</v>
      </c>
      <c r="V329" s="8" t="s">
        <v>31</v>
      </c>
      <c r="W329" s="8"/>
      <c r="X329" s="22">
        <f>IF(V329="Yes",1,0)</f>
        <v>0</v>
      </c>
      <c r="Y329" s="22">
        <f>IF(H329="Active",0,1)</f>
        <v>0</v>
      </c>
    </row>
    <row r="330" spans="1:25" ht="18" customHeight="1" x14ac:dyDescent="0.35">
      <c r="A330" s="8" t="s">
        <v>216</v>
      </c>
      <c r="B330" s="8" t="s">
        <v>136</v>
      </c>
      <c r="C330" s="8" t="s">
        <v>34</v>
      </c>
      <c r="D330" s="9">
        <v>44</v>
      </c>
      <c r="E330" s="8" t="s">
        <v>2304</v>
      </c>
      <c r="F330" s="8" t="s">
        <v>12</v>
      </c>
      <c r="G330" s="10">
        <v>45908</v>
      </c>
      <c r="H330" s="8" t="s">
        <v>54</v>
      </c>
      <c r="I330" s="8" t="s">
        <v>2267</v>
      </c>
      <c r="J330" s="8" t="s">
        <v>2269</v>
      </c>
      <c r="K330" s="8" t="s">
        <v>73</v>
      </c>
      <c r="L330" s="8" t="s">
        <v>68</v>
      </c>
      <c r="M330" s="8" t="s">
        <v>60</v>
      </c>
      <c r="N330" s="11">
        <v>63594</v>
      </c>
      <c r="O330" s="11">
        <v>11307</v>
      </c>
      <c r="P330" s="12">
        <v>93.1</v>
      </c>
      <c r="Q330" s="9">
        <v>7</v>
      </c>
      <c r="R330" s="13">
        <v>0</v>
      </c>
      <c r="S330" s="13">
        <v>1</v>
      </c>
      <c r="T330" s="9">
        <v>22</v>
      </c>
      <c r="U330" s="13">
        <v>70</v>
      </c>
      <c r="V330" s="8" t="s">
        <v>31</v>
      </c>
      <c r="W330" s="8" t="s">
        <v>205</v>
      </c>
      <c r="X330" s="22">
        <f>IF(V330="Yes",1,0)</f>
        <v>0</v>
      </c>
      <c r="Y330" s="22">
        <f>IF(H330="Active",0,1)</f>
        <v>1</v>
      </c>
    </row>
    <row r="331" spans="1:25" ht="18" customHeight="1" x14ac:dyDescent="0.35">
      <c r="A331" s="14" t="s">
        <v>1896</v>
      </c>
      <c r="B331" s="14" t="s">
        <v>559</v>
      </c>
      <c r="C331" s="14" t="s">
        <v>34</v>
      </c>
      <c r="D331" s="15">
        <v>22</v>
      </c>
      <c r="E331" s="14" t="s">
        <v>63</v>
      </c>
      <c r="F331" s="14" t="s">
        <v>12</v>
      </c>
      <c r="G331" s="16">
        <v>45908</v>
      </c>
      <c r="H331" s="14" t="s">
        <v>26</v>
      </c>
      <c r="I331" s="14" t="s">
        <v>36</v>
      </c>
      <c r="J331" s="14" t="s">
        <v>2270</v>
      </c>
      <c r="K331" s="14" t="s">
        <v>55</v>
      </c>
      <c r="L331" s="14" t="s">
        <v>56</v>
      </c>
      <c r="M331" s="14" t="s">
        <v>30</v>
      </c>
      <c r="N331" s="17">
        <v>41219</v>
      </c>
      <c r="O331" s="17">
        <v>32200</v>
      </c>
      <c r="P331" s="18">
        <v>89.4</v>
      </c>
      <c r="Q331" s="15">
        <v>5</v>
      </c>
      <c r="R331" s="19">
        <v>28</v>
      </c>
      <c r="S331" s="19">
        <v>5</v>
      </c>
      <c r="T331" s="15">
        <v>1</v>
      </c>
      <c r="U331" s="19">
        <v>95</v>
      </c>
      <c r="V331" s="14" t="s">
        <v>31</v>
      </c>
      <c r="W331" s="14"/>
      <c r="X331" s="14">
        <f>IF(V331="Yes",1,0)</f>
        <v>0</v>
      </c>
      <c r="Y331" s="14">
        <f>IF(H331="Active",0,1)</f>
        <v>0</v>
      </c>
    </row>
    <row r="332" spans="1:25" ht="18" customHeight="1" x14ac:dyDescent="0.35">
      <c r="A332" s="8" t="s">
        <v>1160</v>
      </c>
      <c r="B332" s="8" t="s">
        <v>424</v>
      </c>
      <c r="C332" s="8" t="s">
        <v>25</v>
      </c>
      <c r="D332" s="9">
        <v>28</v>
      </c>
      <c r="E332" s="8" t="s">
        <v>67</v>
      </c>
      <c r="F332" s="8" t="s">
        <v>76</v>
      </c>
      <c r="G332" s="10">
        <v>45907</v>
      </c>
      <c r="H332" s="8" t="s">
        <v>54</v>
      </c>
      <c r="I332" s="8" t="s">
        <v>2267</v>
      </c>
      <c r="J332" s="8" t="s">
        <v>2268</v>
      </c>
      <c r="K332" s="8" t="s">
        <v>2271</v>
      </c>
      <c r="L332" s="8" t="s">
        <v>87</v>
      </c>
      <c r="M332" s="8" t="s">
        <v>60</v>
      </c>
      <c r="N332" s="11">
        <v>82369</v>
      </c>
      <c r="O332" s="11">
        <v>5362</v>
      </c>
      <c r="P332" s="12">
        <v>84.5</v>
      </c>
      <c r="Q332" s="9">
        <v>9</v>
      </c>
      <c r="R332" s="13">
        <v>23</v>
      </c>
      <c r="S332" s="13">
        <v>3</v>
      </c>
      <c r="T332" s="9">
        <v>22</v>
      </c>
      <c r="U332" s="13">
        <v>61</v>
      </c>
      <c r="V332" s="8" t="s">
        <v>31</v>
      </c>
      <c r="W332" s="8" t="s">
        <v>123</v>
      </c>
      <c r="X332" s="22">
        <f>IF(V332="Yes",1,0)</f>
        <v>0</v>
      </c>
      <c r="Y332" s="22">
        <f>IF(H332="Active",0,1)</f>
        <v>1</v>
      </c>
    </row>
    <row r="333" spans="1:25" ht="18" customHeight="1" x14ac:dyDescent="0.35">
      <c r="A333" s="14" t="s">
        <v>271</v>
      </c>
      <c r="B333" s="14" t="s">
        <v>186</v>
      </c>
      <c r="C333" s="14" t="s">
        <v>25</v>
      </c>
      <c r="D333" s="15">
        <v>27</v>
      </c>
      <c r="E333" s="14" t="s">
        <v>109</v>
      </c>
      <c r="F333" s="14" t="s">
        <v>35</v>
      </c>
      <c r="G333" s="16">
        <v>45906</v>
      </c>
      <c r="H333" s="14" t="s">
        <v>26</v>
      </c>
      <c r="I333" s="14" t="s">
        <v>36</v>
      </c>
      <c r="J333" s="14" t="s">
        <v>80</v>
      </c>
      <c r="K333" s="14" t="s">
        <v>28</v>
      </c>
      <c r="L333" s="14" t="s">
        <v>44</v>
      </c>
      <c r="M333" s="14" t="s">
        <v>30</v>
      </c>
      <c r="N333" s="17">
        <v>133744</v>
      </c>
      <c r="O333" s="17">
        <v>49409</v>
      </c>
      <c r="P333" s="18">
        <v>93.6</v>
      </c>
      <c r="Q333" s="15">
        <v>2</v>
      </c>
      <c r="R333" s="19">
        <v>9</v>
      </c>
      <c r="S333" s="19">
        <v>4</v>
      </c>
      <c r="T333" s="15">
        <v>40</v>
      </c>
      <c r="U333" s="19">
        <v>90</v>
      </c>
      <c r="V333" s="14" t="s">
        <v>31</v>
      </c>
      <c r="W333" s="14"/>
      <c r="X333" s="14">
        <f>IF(V333="Yes",1,0)</f>
        <v>0</v>
      </c>
      <c r="Y333" s="14">
        <f>IF(H333="Active",0,1)</f>
        <v>0</v>
      </c>
    </row>
    <row r="334" spans="1:25" ht="18" customHeight="1" x14ac:dyDescent="0.35">
      <c r="A334" s="14" t="s">
        <v>525</v>
      </c>
      <c r="B334" s="14" t="s">
        <v>526</v>
      </c>
      <c r="C334" s="14" t="s">
        <v>25</v>
      </c>
      <c r="D334" s="15">
        <v>21</v>
      </c>
      <c r="E334" s="14" t="s">
        <v>93</v>
      </c>
      <c r="F334" s="14" t="s">
        <v>72</v>
      </c>
      <c r="G334" s="16">
        <v>45906</v>
      </c>
      <c r="H334" s="14" t="s">
        <v>26</v>
      </c>
      <c r="I334" s="14" t="s">
        <v>36</v>
      </c>
      <c r="J334" s="14" t="s">
        <v>80</v>
      </c>
      <c r="K334" s="14" t="s">
        <v>55</v>
      </c>
      <c r="L334" s="14" t="s">
        <v>56</v>
      </c>
      <c r="M334" s="14" t="s">
        <v>39</v>
      </c>
      <c r="N334" s="17">
        <v>188745</v>
      </c>
      <c r="O334" s="17">
        <v>16944</v>
      </c>
      <c r="P334" s="18">
        <v>86.5</v>
      </c>
      <c r="Q334" s="15">
        <v>10</v>
      </c>
      <c r="R334" s="19">
        <v>29</v>
      </c>
      <c r="S334" s="19">
        <v>4</v>
      </c>
      <c r="T334" s="15">
        <v>11</v>
      </c>
      <c r="U334" s="19">
        <v>63</v>
      </c>
      <c r="V334" s="14" t="s">
        <v>31</v>
      </c>
      <c r="W334" s="14"/>
      <c r="X334" s="14">
        <f>IF(V334="Yes",1,0)</f>
        <v>0</v>
      </c>
      <c r="Y334" s="14">
        <f>IF(H334="Active",0,1)</f>
        <v>0</v>
      </c>
    </row>
    <row r="335" spans="1:25" ht="18" customHeight="1" x14ac:dyDescent="0.35">
      <c r="A335" s="8" t="s">
        <v>962</v>
      </c>
      <c r="B335" s="8" t="s">
        <v>222</v>
      </c>
      <c r="C335" s="8" t="s">
        <v>34</v>
      </c>
      <c r="D335" s="9">
        <v>28</v>
      </c>
      <c r="E335" s="8" t="s">
        <v>52</v>
      </c>
      <c r="F335" s="8" t="s">
        <v>53</v>
      </c>
      <c r="G335" s="10">
        <v>45906</v>
      </c>
      <c r="H335" s="8" t="s">
        <v>26</v>
      </c>
      <c r="I335" s="8" t="s">
        <v>2267</v>
      </c>
      <c r="J335" s="8" t="s">
        <v>2269</v>
      </c>
      <c r="K335" s="8" t="s">
        <v>2271</v>
      </c>
      <c r="L335" s="8" t="s">
        <v>116</v>
      </c>
      <c r="M335" s="8" t="s">
        <v>30</v>
      </c>
      <c r="N335" s="11">
        <v>98700</v>
      </c>
      <c r="O335" s="11">
        <v>5705</v>
      </c>
      <c r="P335" s="12">
        <v>89.7</v>
      </c>
      <c r="Q335" s="9">
        <v>3</v>
      </c>
      <c r="R335" s="13">
        <v>13</v>
      </c>
      <c r="S335" s="13">
        <v>1</v>
      </c>
      <c r="T335" s="9">
        <v>3</v>
      </c>
      <c r="U335" s="13">
        <v>78</v>
      </c>
      <c r="V335" s="8" t="s">
        <v>69</v>
      </c>
      <c r="W335" s="8"/>
      <c r="X335" s="22">
        <f>IF(V335="Yes",1,0)</f>
        <v>1</v>
      </c>
      <c r="Y335" s="22">
        <f>IF(H335="Active",0,1)</f>
        <v>0</v>
      </c>
    </row>
    <row r="336" spans="1:25" ht="18" customHeight="1" x14ac:dyDescent="0.35">
      <c r="A336" s="8" t="s">
        <v>1220</v>
      </c>
      <c r="B336" s="8" t="s">
        <v>344</v>
      </c>
      <c r="C336" s="8" t="s">
        <v>34</v>
      </c>
      <c r="D336" s="9">
        <v>36</v>
      </c>
      <c r="E336" s="8" t="s">
        <v>2303</v>
      </c>
      <c r="F336" s="8" t="s">
        <v>79</v>
      </c>
      <c r="G336" s="10">
        <v>45906</v>
      </c>
      <c r="H336" s="8" t="s">
        <v>26</v>
      </c>
      <c r="I336" s="8" t="s">
        <v>36</v>
      </c>
      <c r="J336" s="8" t="s">
        <v>2269</v>
      </c>
      <c r="K336" s="8" t="s">
        <v>37</v>
      </c>
      <c r="L336" s="8" t="s">
        <v>38</v>
      </c>
      <c r="M336" s="8" t="s">
        <v>60</v>
      </c>
      <c r="N336" s="11">
        <v>236344</v>
      </c>
      <c r="O336" s="11">
        <v>34751</v>
      </c>
      <c r="P336" s="12">
        <v>83</v>
      </c>
      <c r="Q336" s="9">
        <v>4</v>
      </c>
      <c r="R336" s="13">
        <v>16</v>
      </c>
      <c r="S336" s="13">
        <v>5</v>
      </c>
      <c r="T336" s="9">
        <v>0</v>
      </c>
      <c r="U336" s="13">
        <v>88</v>
      </c>
      <c r="V336" s="8" t="s">
        <v>69</v>
      </c>
      <c r="W336" s="8"/>
      <c r="X336" s="22">
        <f>IF(V336="Yes",1,0)</f>
        <v>1</v>
      </c>
      <c r="Y336" s="22">
        <f>IF(H336="Active",0,1)</f>
        <v>0</v>
      </c>
    </row>
    <row r="337" spans="1:25" ht="18" customHeight="1" x14ac:dyDescent="0.35">
      <c r="A337" s="14" t="s">
        <v>1636</v>
      </c>
      <c r="B337" s="14" t="s">
        <v>267</v>
      </c>
      <c r="C337" s="14" t="s">
        <v>34</v>
      </c>
      <c r="D337" s="15">
        <v>46</v>
      </c>
      <c r="E337" s="14" t="s">
        <v>67</v>
      </c>
      <c r="F337" s="14" t="s">
        <v>53</v>
      </c>
      <c r="G337" s="16">
        <v>45906</v>
      </c>
      <c r="H337" s="14" t="s">
        <v>26</v>
      </c>
      <c r="I337" s="14" t="s">
        <v>36</v>
      </c>
      <c r="J337" s="14" t="s">
        <v>80</v>
      </c>
      <c r="K337" s="14" t="s">
        <v>55</v>
      </c>
      <c r="L337" s="14" t="s">
        <v>68</v>
      </c>
      <c r="M337" s="14" t="s">
        <v>45</v>
      </c>
      <c r="N337" s="17">
        <v>191749</v>
      </c>
      <c r="O337" s="17">
        <v>35214</v>
      </c>
      <c r="P337" s="18">
        <v>99.7</v>
      </c>
      <c r="Q337" s="15">
        <v>5</v>
      </c>
      <c r="R337" s="19">
        <v>13</v>
      </c>
      <c r="S337" s="19">
        <v>5</v>
      </c>
      <c r="T337" s="15">
        <v>37</v>
      </c>
      <c r="U337" s="19">
        <v>70</v>
      </c>
      <c r="V337" s="14" t="s">
        <v>31</v>
      </c>
      <c r="W337" s="14"/>
      <c r="X337" s="14">
        <f>IF(V337="Yes",1,0)</f>
        <v>0</v>
      </c>
      <c r="Y337" s="14">
        <f>IF(H337="Active",0,1)</f>
        <v>0</v>
      </c>
    </row>
    <row r="338" spans="1:25" ht="18" customHeight="1" x14ac:dyDescent="0.35">
      <c r="A338" s="8" t="s">
        <v>1755</v>
      </c>
      <c r="B338" s="8" t="s">
        <v>559</v>
      </c>
      <c r="C338" s="8" t="s">
        <v>25</v>
      </c>
      <c r="D338" s="9">
        <v>46</v>
      </c>
      <c r="E338" s="8" t="s">
        <v>2303</v>
      </c>
      <c r="F338" s="8" t="s">
        <v>79</v>
      </c>
      <c r="G338" s="10">
        <v>45906</v>
      </c>
      <c r="H338" s="8" t="s">
        <v>26</v>
      </c>
      <c r="I338" s="8" t="s">
        <v>36</v>
      </c>
      <c r="J338" s="8" t="s">
        <v>2270</v>
      </c>
      <c r="K338" s="8" t="s">
        <v>2271</v>
      </c>
      <c r="L338" s="8" t="s">
        <v>87</v>
      </c>
      <c r="M338" s="8" t="s">
        <v>39</v>
      </c>
      <c r="N338" s="11">
        <v>35902</v>
      </c>
      <c r="O338" s="11">
        <v>36335</v>
      </c>
      <c r="P338" s="12">
        <v>96.4</v>
      </c>
      <c r="Q338" s="9">
        <v>10</v>
      </c>
      <c r="R338" s="13">
        <v>19</v>
      </c>
      <c r="S338" s="13">
        <v>2</v>
      </c>
      <c r="T338" s="9">
        <v>15</v>
      </c>
      <c r="U338" s="13">
        <v>78</v>
      </c>
      <c r="V338" s="8" t="s">
        <v>31</v>
      </c>
      <c r="W338" s="8"/>
      <c r="X338" s="22">
        <f>IF(V338="Yes",1,0)</f>
        <v>0</v>
      </c>
      <c r="Y338" s="22">
        <f>IF(H338="Active",0,1)</f>
        <v>0</v>
      </c>
    </row>
    <row r="339" spans="1:25" ht="18" customHeight="1" x14ac:dyDescent="0.35">
      <c r="A339" s="8" t="s">
        <v>602</v>
      </c>
      <c r="B339" s="8" t="s">
        <v>358</v>
      </c>
      <c r="C339" s="8" t="s">
        <v>34</v>
      </c>
      <c r="D339" s="9">
        <v>44</v>
      </c>
      <c r="E339" s="8" t="s">
        <v>86</v>
      </c>
      <c r="F339" s="8" t="s">
        <v>72</v>
      </c>
      <c r="G339" s="10">
        <v>45905</v>
      </c>
      <c r="H339" s="8" t="s">
        <v>26</v>
      </c>
      <c r="I339" s="8" t="s">
        <v>27</v>
      </c>
      <c r="J339" s="8" t="s">
        <v>48</v>
      </c>
      <c r="K339" s="8" t="s">
        <v>28</v>
      </c>
      <c r="L339" s="8" t="s">
        <v>49</v>
      </c>
      <c r="M339" s="8" t="s">
        <v>39</v>
      </c>
      <c r="N339" s="11">
        <v>91569</v>
      </c>
      <c r="O339" s="11">
        <v>42611</v>
      </c>
      <c r="P339" s="12">
        <v>88</v>
      </c>
      <c r="Q339" s="9">
        <v>5</v>
      </c>
      <c r="R339" s="13">
        <v>5</v>
      </c>
      <c r="S339" s="13">
        <v>4</v>
      </c>
      <c r="T339" s="9">
        <v>17</v>
      </c>
      <c r="U339" s="13">
        <v>82</v>
      </c>
      <c r="V339" s="8" t="s">
        <v>31</v>
      </c>
      <c r="W339" s="8"/>
      <c r="X339" s="22">
        <f>IF(V339="Yes",1,0)</f>
        <v>0</v>
      </c>
      <c r="Y339" s="22">
        <f>IF(H339="Active",0,1)</f>
        <v>0</v>
      </c>
    </row>
    <row r="340" spans="1:25" ht="18" customHeight="1" x14ac:dyDescent="0.35">
      <c r="A340" s="8" t="s">
        <v>812</v>
      </c>
      <c r="B340" s="8" t="s">
        <v>191</v>
      </c>
      <c r="C340" s="8" t="s">
        <v>34</v>
      </c>
      <c r="D340" s="9">
        <v>49</v>
      </c>
      <c r="E340" s="8" t="s">
        <v>52</v>
      </c>
      <c r="F340" s="8" t="s">
        <v>12</v>
      </c>
      <c r="G340" s="10">
        <v>45905</v>
      </c>
      <c r="H340" s="8" t="s">
        <v>54</v>
      </c>
      <c r="I340" s="8" t="s">
        <v>27</v>
      </c>
      <c r="J340" s="8" t="s">
        <v>2270</v>
      </c>
      <c r="K340" s="8" t="s">
        <v>37</v>
      </c>
      <c r="L340" s="8" t="s">
        <v>44</v>
      </c>
      <c r="M340" s="8" t="s">
        <v>45</v>
      </c>
      <c r="N340" s="11">
        <v>44134</v>
      </c>
      <c r="O340" s="11">
        <v>38171</v>
      </c>
      <c r="P340" s="12">
        <v>87.1</v>
      </c>
      <c r="Q340" s="9">
        <v>0</v>
      </c>
      <c r="R340" s="13">
        <v>4</v>
      </c>
      <c r="S340" s="13">
        <v>2</v>
      </c>
      <c r="T340" s="9">
        <v>7</v>
      </c>
      <c r="U340" s="13">
        <v>85</v>
      </c>
      <c r="V340" s="8" t="s">
        <v>31</v>
      </c>
      <c r="W340" s="8" t="s">
        <v>123</v>
      </c>
      <c r="X340" s="22">
        <f>IF(V340="Yes",1,0)</f>
        <v>0</v>
      </c>
      <c r="Y340" s="22">
        <f>IF(H340="Active",0,1)</f>
        <v>1</v>
      </c>
    </row>
    <row r="341" spans="1:25" ht="18" customHeight="1" x14ac:dyDescent="0.35">
      <c r="A341" s="14" t="s">
        <v>887</v>
      </c>
      <c r="B341" s="14" t="s">
        <v>267</v>
      </c>
      <c r="C341" s="14" t="s">
        <v>34</v>
      </c>
      <c r="D341" s="15">
        <v>55</v>
      </c>
      <c r="E341" s="14" t="s">
        <v>86</v>
      </c>
      <c r="F341" s="14" t="s">
        <v>12</v>
      </c>
      <c r="G341" s="16">
        <v>45905</v>
      </c>
      <c r="H341" s="14" t="s">
        <v>26</v>
      </c>
      <c r="I341" s="14" t="s">
        <v>27</v>
      </c>
      <c r="J341" s="14" t="s">
        <v>2268</v>
      </c>
      <c r="K341" s="14" t="s">
        <v>37</v>
      </c>
      <c r="L341" s="14" t="s">
        <v>116</v>
      </c>
      <c r="M341" s="14" t="s">
        <v>45</v>
      </c>
      <c r="N341" s="17">
        <v>98518</v>
      </c>
      <c r="O341" s="17">
        <v>24358</v>
      </c>
      <c r="P341" s="18">
        <v>88.2</v>
      </c>
      <c r="Q341" s="15">
        <v>6</v>
      </c>
      <c r="R341" s="19">
        <v>4</v>
      </c>
      <c r="S341" s="19">
        <v>1</v>
      </c>
      <c r="T341" s="15">
        <v>20</v>
      </c>
      <c r="U341" s="19">
        <v>72</v>
      </c>
      <c r="V341" s="14" t="s">
        <v>69</v>
      </c>
      <c r="W341" s="14"/>
      <c r="X341" s="14">
        <f>IF(V341="Yes",1,0)</f>
        <v>1</v>
      </c>
      <c r="Y341" s="14">
        <f>IF(H341="Active",0,1)</f>
        <v>0</v>
      </c>
    </row>
    <row r="342" spans="1:25" ht="18" customHeight="1" x14ac:dyDescent="0.35">
      <c r="A342" s="14" t="s">
        <v>1086</v>
      </c>
      <c r="B342" s="14" t="s">
        <v>261</v>
      </c>
      <c r="C342" s="14" t="s">
        <v>34</v>
      </c>
      <c r="D342" s="15">
        <v>32</v>
      </c>
      <c r="E342" s="14" t="s">
        <v>63</v>
      </c>
      <c r="F342" s="14" t="s">
        <v>90</v>
      </c>
      <c r="G342" s="16">
        <v>45905</v>
      </c>
      <c r="H342" s="14" t="s">
        <v>26</v>
      </c>
      <c r="I342" s="14" t="s">
        <v>36</v>
      </c>
      <c r="J342" s="14" t="s">
        <v>2268</v>
      </c>
      <c r="K342" s="14" t="s">
        <v>2271</v>
      </c>
      <c r="L342" s="14" t="s">
        <v>87</v>
      </c>
      <c r="M342" s="14" t="s">
        <v>30</v>
      </c>
      <c r="N342" s="17">
        <v>81041</v>
      </c>
      <c r="O342" s="17">
        <v>32349</v>
      </c>
      <c r="P342" s="18">
        <v>88.5</v>
      </c>
      <c r="Q342" s="15">
        <v>2</v>
      </c>
      <c r="R342" s="19">
        <v>20</v>
      </c>
      <c r="S342" s="19">
        <v>1</v>
      </c>
      <c r="T342" s="15">
        <v>1</v>
      </c>
      <c r="U342" s="19">
        <v>66</v>
      </c>
      <c r="V342" s="14" t="s">
        <v>31</v>
      </c>
      <c r="W342" s="14"/>
      <c r="X342" s="14">
        <f>IF(V342="Yes",1,0)</f>
        <v>0</v>
      </c>
      <c r="Y342" s="14">
        <f>IF(H342="Active",0,1)</f>
        <v>0</v>
      </c>
    </row>
    <row r="343" spans="1:25" ht="18" customHeight="1" x14ac:dyDescent="0.35">
      <c r="A343" s="14" t="s">
        <v>1460</v>
      </c>
      <c r="B343" s="14" t="s">
        <v>62</v>
      </c>
      <c r="C343" s="14" t="s">
        <v>34</v>
      </c>
      <c r="D343" s="15">
        <v>51</v>
      </c>
      <c r="E343" s="14" t="s">
        <v>67</v>
      </c>
      <c r="F343" s="14" t="s">
        <v>79</v>
      </c>
      <c r="G343" s="16">
        <v>45905</v>
      </c>
      <c r="H343" s="14" t="s">
        <v>54</v>
      </c>
      <c r="I343" s="14" t="s">
        <v>2267</v>
      </c>
      <c r="J343" s="14" t="s">
        <v>2268</v>
      </c>
      <c r="K343" s="14" t="s">
        <v>28</v>
      </c>
      <c r="L343" s="14" t="s">
        <v>29</v>
      </c>
      <c r="M343" s="14" t="s">
        <v>45</v>
      </c>
      <c r="N343" s="17">
        <v>140944</v>
      </c>
      <c r="O343" s="17">
        <v>6730</v>
      </c>
      <c r="P343" s="18">
        <v>86.6</v>
      </c>
      <c r="Q343" s="15">
        <v>10</v>
      </c>
      <c r="R343" s="19">
        <v>27</v>
      </c>
      <c r="S343" s="19">
        <v>5</v>
      </c>
      <c r="T343" s="15">
        <v>0</v>
      </c>
      <c r="U343" s="19">
        <v>91</v>
      </c>
      <c r="V343" s="14" t="s">
        <v>69</v>
      </c>
      <c r="W343" s="14" t="s">
        <v>83</v>
      </c>
      <c r="X343" s="14">
        <f>IF(V343="Yes",1,0)</f>
        <v>1</v>
      </c>
      <c r="Y343" s="14">
        <f>IF(H343="Active",0,1)</f>
        <v>1</v>
      </c>
    </row>
    <row r="344" spans="1:25" ht="18" customHeight="1" x14ac:dyDescent="0.35">
      <c r="A344" s="8" t="s">
        <v>1061</v>
      </c>
      <c r="B344" s="8" t="s">
        <v>179</v>
      </c>
      <c r="C344" s="8" t="s">
        <v>34</v>
      </c>
      <c r="D344" s="9">
        <v>56</v>
      </c>
      <c r="E344" s="8" t="s">
        <v>52</v>
      </c>
      <c r="F344" s="8" t="s">
        <v>43</v>
      </c>
      <c r="G344" s="10">
        <v>45903</v>
      </c>
      <c r="H344" s="8" t="s">
        <v>26</v>
      </c>
      <c r="I344" s="8" t="s">
        <v>27</v>
      </c>
      <c r="J344" s="8" t="s">
        <v>2270</v>
      </c>
      <c r="K344" s="8" t="s">
        <v>37</v>
      </c>
      <c r="L344" s="8" t="s">
        <v>38</v>
      </c>
      <c r="M344" s="8" t="s">
        <v>39</v>
      </c>
      <c r="N344" s="11">
        <v>228520</v>
      </c>
      <c r="O344" s="11">
        <v>5905</v>
      </c>
      <c r="P344" s="12">
        <v>86.3</v>
      </c>
      <c r="Q344" s="9">
        <v>0</v>
      </c>
      <c r="R344" s="13">
        <v>22</v>
      </c>
      <c r="S344" s="13">
        <v>4</v>
      </c>
      <c r="T344" s="9">
        <v>14</v>
      </c>
      <c r="U344" s="13">
        <v>73</v>
      </c>
      <c r="V344" s="8" t="s">
        <v>69</v>
      </c>
      <c r="W344" s="8"/>
      <c r="X344" s="22">
        <f>IF(V344="Yes",1,0)</f>
        <v>1</v>
      </c>
      <c r="Y344" s="22">
        <f>IF(H344="Active",0,1)</f>
        <v>0</v>
      </c>
    </row>
    <row r="345" spans="1:25" ht="18" customHeight="1" x14ac:dyDescent="0.35">
      <c r="A345" s="14" t="s">
        <v>1094</v>
      </c>
      <c r="B345" s="14" t="s">
        <v>102</v>
      </c>
      <c r="C345" s="14" t="s">
        <v>34</v>
      </c>
      <c r="D345" s="15">
        <v>56</v>
      </c>
      <c r="E345" s="14" t="s">
        <v>2303</v>
      </c>
      <c r="F345" s="14" t="s">
        <v>90</v>
      </c>
      <c r="G345" s="16">
        <v>45903</v>
      </c>
      <c r="H345" s="14" t="s">
        <v>54</v>
      </c>
      <c r="I345" s="14" t="s">
        <v>36</v>
      </c>
      <c r="J345" s="14" t="s">
        <v>2269</v>
      </c>
      <c r="K345" s="14" t="s">
        <v>37</v>
      </c>
      <c r="L345" s="14" t="s">
        <v>56</v>
      </c>
      <c r="M345" s="14" t="s">
        <v>45</v>
      </c>
      <c r="N345" s="17">
        <v>192305</v>
      </c>
      <c r="O345" s="17">
        <v>42413</v>
      </c>
      <c r="P345" s="18">
        <v>81.3</v>
      </c>
      <c r="Q345" s="15">
        <v>6</v>
      </c>
      <c r="R345" s="19">
        <v>10</v>
      </c>
      <c r="S345" s="19">
        <v>1</v>
      </c>
      <c r="T345" s="15">
        <v>18</v>
      </c>
      <c r="U345" s="19">
        <v>79</v>
      </c>
      <c r="V345" s="14" t="s">
        <v>31</v>
      </c>
      <c r="W345" s="14" t="s">
        <v>205</v>
      </c>
      <c r="X345" s="14">
        <f>IF(V345="Yes",1,0)</f>
        <v>0</v>
      </c>
      <c r="Y345" s="14">
        <f>IF(H345="Active",0,1)</f>
        <v>1</v>
      </c>
    </row>
    <row r="346" spans="1:25" ht="18" customHeight="1" x14ac:dyDescent="0.35">
      <c r="A346" s="8" t="s">
        <v>1987</v>
      </c>
      <c r="B346" s="8" t="s">
        <v>694</v>
      </c>
      <c r="C346" s="8" t="s">
        <v>25</v>
      </c>
      <c r="D346" s="9">
        <v>49</v>
      </c>
      <c r="E346" s="8" t="s">
        <v>63</v>
      </c>
      <c r="F346" s="8" t="s">
        <v>90</v>
      </c>
      <c r="G346" s="10">
        <v>45903</v>
      </c>
      <c r="H346" s="8" t="s">
        <v>26</v>
      </c>
      <c r="I346" s="8" t="s">
        <v>2267</v>
      </c>
      <c r="J346" s="8" t="s">
        <v>80</v>
      </c>
      <c r="K346" s="8" t="s">
        <v>28</v>
      </c>
      <c r="L346" s="8" t="s">
        <v>44</v>
      </c>
      <c r="M346" s="8" t="s">
        <v>39</v>
      </c>
      <c r="N346" s="11">
        <v>236411</v>
      </c>
      <c r="O346" s="11">
        <v>8470</v>
      </c>
      <c r="P346" s="12">
        <v>85.5</v>
      </c>
      <c r="Q346" s="9">
        <v>3</v>
      </c>
      <c r="R346" s="13">
        <v>17</v>
      </c>
      <c r="S346" s="13">
        <v>5</v>
      </c>
      <c r="T346" s="9">
        <v>33</v>
      </c>
      <c r="U346" s="13">
        <v>93</v>
      </c>
      <c r="V346" s="8" t="s">
        <v>31</v>
      </c>
      <c r="W346" s="8"/>
      <c r="X346" s="22">
        <f>IF(V346="Yes",1,0)</f>
        <v>0</v>
      </c>
      <c r="Y346" s="22">
        <f>IF(H346="Active",0,1)</f>
        <v>0</v>
      </c>
    </row>
    <row r="347" spans="1:25" ht="18" customHeight="1" x14ac:dyDescent="0.35">
      <c r="A347" s="14" t="s">
        <v>74</v>
      </c>
      <c r="B347" s="14" t="s">
        <v>75</v>
      </c>
      <c r="C347" s="14" t="s">
        <v>34</v>
      </c>
      <c r="D347" s="15">
        <v>28</v>
      </c>
      <c r="E347" s="14" t="s">
        <v>67</v>
      </c>
      <c r="F347" s="14" t="s">
        <v>76</v>
      </c>
      <c r="G347" s="16">
        <v>45902</v>
      </c>
      <c r="H347" s="14" t="s">
        <v>26</v>
      </c>
      <c r="I347" s="14" t="s">
        <v>27</v>
      </c>
      <c r="J347" s="14" t="s">
        <v>2270</v>
      </c>
      <c r="K347" s="14" t="s">
        <v>55</v>
      </c>
      <c r="L347" s="14" t="s">
        <v>38</v>
      </c>
      <c r="M347" s="14" t="s">
        <v>60</v>
      </c>
      <c r="N347" s="17">
        <v>154892</v>
      </c>
      <c r="O347" s="17">
        <v>48971</v>
      </c>
      <c r="P347" s="18">
        <v>96</v>
      </c>
      <c r="Q347" s="15">
        <v>8</v>
      </c>
      <c r="R347" s="19">
        <v>16</v>
      </c>
      <c r="S347" s="19">
        <v>2</v>
      </c>
      <c r="T347" s="15">
        <v>33</v>
      </c>
      <c r="U347" s="19">
        <v>66</v>
      </c>
      <c r="V347" s="14" t="s">
        <v>69</v>
      </c>
      <c r="W347" s="14"/>
      <c r="X347" s="14">
        <f>IF(V347="Yes",1,0)</f>
        <v>1</v>
      </c>
      <c r="Y347" s="14">
        <f>IF(H347="Active",0,1)</f>
        <v>0</v>
      </c>
    </row>
    <row r="348" spans="1:25" ht="18" customHeight="1" x14ac:dyDescent="0.35">
      <c r="A348" s="14" t="s">
        <v>1213</v>
      </c>
      <c r="B348" s="14" t="s">
        <v>318</v>
      </c>
      <c r="C348" s="14" t="s">
        <v>34</v>
      </c>
      <c r="D348" s="15">
        <v>26</v>
      </c>
      <c r="E348" s="14" t="s">
        <v>93</v>
      </c>
      <c r="F348" s="14" t="s">
        <v>43</v>
      </c>
      <c r="G348" s="16">
        <v>45902</v>
      </c>
      <c r="H348" s="14" t="s">
        <v>26</v>
      </c>
      <c r="I348" s="14" t="s">
        <v>27</v>
      </c>
      <c r="J348" s="14" t="s">
        <v>48</v>
      </c>
      <c r="K348" s="14" t="s">
        <v>28</v>
      </c>
      <c r="L348" s="14" t="s">
        <v>44</v>
      </c>
      <c r="M348" s="14" t="s">
        <v>30</v>
      </c>
      <c r="N348" s="17">
        <v>231865</v>
      </c>
      <c r="O348" s="17">
        <v>13372</v>
      </c>
      <c r="P348" s="18">
        <v>94.8</v>
      </c>
      <c r="Q348" s="15">
        <v>10</v>
      </c>
      <c r="R348" s="19">
        <v>8</v>
      </c>
      <c r="S348" s="19">
        <v>1</v>
      </c>
      <c r="T348" s="15">
        <v>40</v>
      </c>
      <c r="U348" s="19">
        <v>61</v>
      </c>
      <c r="V348" s="14" t="s">
        <v>31</v>
      </c>
      <c r="W348" s="14"/>
      <c r="X348" s="14">
        <f>IF(V348="Yes",1,0)</f>
        <v>0</v>
      </c>
      <c r="Y348" s="14">
        <f>IF(H348="Active",0,1)</f>
        <v>0</v>
      </c>
    </row>
    <row r="349" spans="1:25" ht="18" customHeight="1" x14ac:dyDescent="0.35">
      <c r="A349" s="8" t="s">
        <v>1375</v>
      </c>
      <c r="B349" s="8" t="s">
        <v>551</v>
      </c>
      <c r="C349" s="8" t="s">
        <v>34</v>
      </c>
      <c r="D349" s="9">
        <v>47</v>
      </c>
      <c r="E349" s="8" t="s">
        <v>63</v>
      </c>
      <c r="F349" s="8" t="s">
        <v>90</v>
      </c>
      <c r="G349" s="10">
        <v>45902</v>
      </c>
      <c r="H349" s="8" t="s">
        <v>26</v>
      </c>
      <c r="I349" s="8" t="s">
        <v>27</v>
      </c>
      <c r="J349" s="8" t="s">
        <v>2268</v>
      </c>
      <c r="K349" s="8" t="s">
        <v>37</v>
      </c>
      <c r="L349" s="8" t="s">
        <v>56</v>
      </c>
      <c r="M349" s="8" t="s">
        <v>30</v>
      </c>
      <c r="N349" s="11">
        <v>78481</v>
      </c>
      <c r="O349" s="11">
        <v>36450</v>
      </c>
      <c r="P349" s="12">
        <v>85.5</v>
      </c>
      <c r="Q349" s="9">
        <v>8</v>
      </c>
      <c r="R349" s="13">
        <v>28</v>
      </c>
      <c r="S349" s="13">
        <v>3</v>
      </c>
      <c r="T349" s="9">
        <v>25</v>
      </c>
      <c r="U349" s="13">
        <v>86</v>
      </c>
      <c r="V349" s="8" t="s">
        <v>31</v>
      </c>
      <c r="W349" s="8"/>
      <c r="X349" s="22">
        <f>IF(V349="Yes",1,0)</f>
        <v>0</v>
      </c>
      <c r="Y349" s="22">
        <f>IF(H349="Active",0,1)</f>
        <v>0</v>
      </c>
    </row>
    <row r="350" spans="1:25" ht="18" customHeight="1" x14ac:dyDescent="0.35">
      <c r="A350" s="8" t="s">
        <v>1733</v>
      </c>
      <c r="B350" s="8" t="s">
        <v>207</v>
      </c>
      <c r="C350" s="8" t="s">
        <v>34</v>
      </c>
      <c r="D350" s="9">
        <v>26</v>
      </c>
      <c r="E350" s="8" t="s">
        <v>67</v>
      </c>
      <c r="F350" s="8" t="s">
        <v>76</v>
      </c>
      <c r="G350" s="10">
        <v>45902</v>
      </c>
      <c r="H350" s="8" t="s">
        <v>54</v>
      </c>
      <c r="I350" s="8" t="s">
        <v>2267</v>
      </c>
      <c r="J350" s="8" t="s">
        <v>80</v>
      </c>
      <c r="K350" s="8" t="s">
        <v>55</v>
      </c>
      <c r="L350" s="8" t="s">
        <v>68</v>
      </c>
      <c r="M350" s="8" t="s">
        <v>64</v>
      </c>
      <c r="N350" s="11">
        <v>96031</v>
      </c>
      <c r="O350" s="11">
        <v>35375</v>
      </c>
      <c r="P350" s="12">
        <v>93.4</v>
      </c>
      <c r="Q350" s="9">
        <v>6</v>
      </c>
      <c r="R350" s="13">
        <v>3</v>
      </c>
      <c r="S350" s="13">
        <v>3</v>
      </c>
      <c r="T350" s="9">
        <v>27</v>
      </c>
      <c r="U350" s="13">
        <v>86</v>
      </c>
      <c r="V350" s="8" t="s">
        <v>31</v>
      </c>
      <c r="W350" s="8" t="s">
        <v>83</v>
      </c>
      <c r="X350" s="22">
        <f>IF(V350="Yes",1,0)</f>
        <v>0</v>
      </c>
      <c r="Y350" s="22">
        <f>IF(H350="Active",0,1)</f>
        <v>1</v>
      </c>
    </row>
    <row r="351" spans="1:25" ht="18" customHeight="1" x14ac:dyDescent="0.35">
      <c r="A351" s="8" t="s">
        <v>1509</v>
      </c>
      <c r="B351" s="8" t="s">
        <v>100</v>
      </c>
      <c r="C351" s="8" t="s">
        <v>25</v>
      </c>
      <c r="D351" s="9">
        <v>29</v>
      </c>
      <c r="E351" s="8" t="s">
        <v>2303</v>
      </c>
      <c r="F351" s="8" t="s">
        <v>43</v>
      </c>
      <c r="G351" s="10">
        <v>45901</v>
      </c>
      <c r="H351" s="8" t="s">
        <v>26</v>
      </c>
      <c r="I351" s="8" t="s">
        <v>27</v>
      </c>
      <c r="J351" s="8" t="s">
        <v>80</v>
      </c>
      <c r="K351" s="8" t="s">
        <v>55</v>
      </c>
      <c r="L351" s="8" t="s">
        <v>49</v>
      </c>
      <c r="M351" s="8" t="s">
        <v>30</v>
      </c>
      <c r="N351" s="11">
        <v>46183</v>
      </c>
      <c r="O351" s="11">
        <v>9981</v>
      </c>
      <c r="P351" s="12">
        <v>87.8</v>
      </c>
      <c r="Q351" s="9">
        <v>4</v>
      </c>
      <c r="R351" s="13">
        <v>27</v>
      </c>
      <c r="S351" s="13">
        <v>3</v>
      </c>
      <c r="T351" s="9">
        <v>31</v>
      </c>
      <c r="U351" s="13">
        <v>94</v>
      </c>
      <c r="V351" s="8" t="s">
        <v>69</v>
      </c>
      <c r="W351" s="8"/>
      <c r="X351" s="22">
        <f>IF(V351="Yes",1,0)</f>
        <v>1</v>
      </c>
      <c r="Y351" s="22">
        <f>IF(H351="Active",0,1)</f>
        <v>0</v>
      </c>
    </row>
    <row r="352" spans="1:25" ht="18" customHeight="1" x14ac:dyDescent="0.35">
      <c r="A352" s="14" t="s">
        <v>330</v>
      </c>
      <c r="B352" s="14" t="s">
        <v>59</v>
      </c>
      <c r="C352" s="14" t="s">
        <v>25</v>
      </c>
      <c r="D352" s="15">
        <v>25</v>
      </c>
      <c r="E352" s="14" t="s">
        <v>109</v>
      </c>
      <c r="F352" s="14" t="s">
        <v>90</v>
      </c>
      <c r="G352" s="16">
        <v>45900</v>
      </c>
      <c r="H352" s="14" t="s">
        <v>26</v>
      </c>
      <c r="I352" s="14" t="s">
        <v>36</v>
      </c>
      <c r="J352" s="14" t="s">
        <v>48</v>
      </c>
      <c r="K352" s="14" t="s">
        <v>28</v>
      </c>
      <c r="L352" s="14" t="s">
        <v>38</v>
      </c>
      <c r="M352" s="14" t="s">
        <v>60</v>
      </c>
      <c r="N352" s="17">
        <v>172940</v>
      </c>
      <c r="O352" s="17">
        <v>32908</v>
      </c>
      <c r="P352" s="18">
        <v>85.7</v>
      </c>
      <c r="Q352" s="15">
        <v>2</v>
      </c>
      <c r="R352" s="19">
        <v>18</v>
      </c>
      <c r="S352" s="19">
        <v>4</v>
      </c>
      <c r="T352" s="15">
        <v>6</v>
      </c>
      <c r="U352" s="19">
        <v>60</v>
      </c>
      <c r="V352" s="14" t="s">
        <v>31</v>
      </c>
      <c r="W352" s="14"/>
      <c r="X352" s="14">
        <f>IF(V352="Yes",1,0)</f>
        <v>0</v>
      </c>
      <c r="Y352" s="14">
        <f>IF(H352="Active",0,1)</f>
        <v>0</v>
      </c>
    </row>
    <row r="353" spans="1:25" ht="18" customHeight="1" x14ac:dyDescent="0.35">
      <c r="A353" s="8" t="s">
        <v>368</v>
      </c>
      <c r="B353" s="8" t="s">
        <v>171</v>
      </c>
      <c r="C353" s="8" t="s">
        <v>34</v>
      </c>
      <c r="D353" s="9">
        <v>29</v>
      </c>
      <c r="E353" s="8" t="s">
        <v>52</v>
      </c>
      <c r="F353" s="8" t="s">
        <v>90</v>
      </c>
      <c r="G353" s="10">
        <v>45900</v>
      </c>
      <c r="H353" s="8" t="s">
        <v>26</v>
      </c>
      <c r="I353" s="8" t="s">
        <v>27</v>
      </c>
      <c r="J353" s="8" t="s">
        <v>2269</v>
      </c>
      <c r="K353" s="8" t="s">
        <v>73</v>
      </c>
      <c r="L353" s="8" t="s">
        <v>68</v>
      </c>
      <c r="M353" s="8" t="s">
        <v>45</v>
      </c>
      <c r="N353" s="11">
        <v>170526</v>
      </c>
      <c r="O353" s="11">
        <v>23645</v>
      </c>
      <c r="P353" s="12">
        <v>82.2</v>
      </c>
      <c r="Q353" s="9">
        <v>10</v>
      </c>
      <c r="R353" s="13">
        <v>25</v>
      </c>
      <c r="S353" s="13">
        <v>3</v>
      </c>
      <c r="T353" s="9">
        <v>40</v>
      </c>
      <c r="U353" s="13">
        <v>97</v>
      </c>
      <c r="V353" s="8" t="s">
        <v>31</v>
      </c>
      <c r="W353" s="8"/>
      <c r="X353" s="22">
        <f>IF(V353="Yes",1,0)</f>
        <v>0</v>
      </c>
      <c r="Y353" s="22">
        <f>IF(H353="Active",0,1)</f>
        <v>0</v>
      </c>
    </row>
    <row r="354" spans="1:25" ht="18" customHeight="1" x14ac:dyDescent="0.35">
      <c r="A354" s="8" t="s">
        <v>745</v>
      </c>
      <c r="B354" s="8" t="s">
        <v>274</v>
      </c>
      <c r="C354" s="8" t="s">
        <v>34</v>
      </c>
      <c r="D354" s="9">
        <v>33</v>
      </c>
      <c r="E354" s="8" t="s">
        <v>109</v>
      </c>
      <c r="F354" s="8" t="s">
        <v>43</v>
      </c>
      <c r="G354" s="10">
        <v>45900</v>
      </c>
      <c r="H354" s="8" t="s">
        <v>26</v>
      </c>
      <c r="I354" s="8" t="s">
        <v>27</v>
      </c>
      <c r="J354" s="8" t="s">
        <v>2270</v>
      </c>
      <c r="K354" s="8" t="s">
        <v>37</v>
      </c>
      <c r="L354" s="8" t="s">
        <v>87</v>
      </c>
      <c r="M354" s="8" t="s">
        <v>39</v>
      </c>
      <c r="N354" s="11">
        <v>59665</v>
      </c>
      <c r="O354" s="11">
        <v>14813</v>
      </c>
      <c r="P354" s="12">
        <v>86.3</v>
      </c>
      <c r="Q354" s="9">
        <v>0</v>
      </c>
      <c r="R354" s="13">
        <v>11</v>
      </c>
      <c r="S354" s="13">
        <v>4</v>
      </c>
      <c r="T354" s="9">
        <v>38</v>
      </c>
      <c r="U354" s="13">
        <v>91</v>
      </c>
      <c r="V354" s="8" t="s">
        <v>31</v>
      </c>
      <c r="W354" s="8"/>
      <c r="X354" s="22">
        <f>IF(V354="Yes",1,0)</f>
        <v>0</v>
      </c>
      <c r="Y354" s="22">
        <f>IF(H354="Active",0,1)</f>
        <v>0</v>
      </c>
    </row>
    <row r="355" spans="1:25" ht="18" customHeight="1" x14ac:dyDescent="0.35">
      <c r="A355" s="14" t="s">
        <v>273</v>
      </c>
      <c r="B355" s="14" t="s">
        <v>274</v>
      </c>
      <c r="C355" s="14" t="s">
        <v>25</v>
      </c>
      <c r="D355" s="15">
        <v>57</v>
      </c>
      <c r="E355" s="14" t="s">
        <v>109</v>
      </c>
      <c r="F355" s="14" t="s">
        <v>35</v>
      </c>
      <c r="G355" s="16">
        <v>45899</v>
      </c>
      <c r="H355" s="14" t="s">
        <v>26</v>
      </c>
      <c r="I355" s="14" t="s">
        <v>36</v>
      </c>
      <c r="J355" s="14" t="s">
        <v>2268</v>
      </c>
      <c r="K355" s="14" t="s">
        <v>2271</v>
      </c>
      <c r="L355" s="14" t="s">
        <v>44</v>
      </c>
      <c r="M355" s="14" t="s">
        <v>39</v>
      </c>
      <c r="N355" s="17">
        <v>150828</v>
      </c>
      <c r="O355" s="17">
        <v>28614</v>
      </c>
      <c r="P355" s="18">
        <v>80</v>
      </c>
      <c r="Q355" s="15">
        <v>1</v>
      </c>
      <c r="R355" s="19">
        <v>2</v>
      </c>
      <c r="S355" s="19">
        <v>4</v>
      </c>
      <c r="T355" s="15">
        <v>33</v>
      </c>
      <c r="U355" s="19">
        <v>73</v>
      </c>
      <c r="V355" s="14" t="s">
        <v>69</v>
      </c>
      <c r="W355" s="14"/>
      <c r="X355" s="14">
        <f>IF(V355="Yes",1,0)</f>
        <v>1</v>
      </c>
      <c r="Y355" s="14">
        <f>IF(H355="Active",0,1)</f>
        <v>0</v>
      </c>
    </row>
    <row r="356" spans="1:25" ht="18" customHeight="1" x14ac:dyDescent="0.35">
      <c r="A356" s="14" t="s">
        <v>495</v>
      </c>
      <c r="B356" s="14" t="s">
        <v>267</v>
      </c>
      <c r="C356" s="14" t="s">
        <v>34</v>
      </c>
      <c r="D356" s="15">
        <v>37</v>
      </c>
      <c r="E356" s="14" t="s">
        <v>2304</v>
      </c>
      <c r="F356" s="14" t="s">
        <v>35</v>
      </c>
      <c r="G356" s="16">
        <v>45899</v>
      </c>
      <c r="H356" s="14" t="s">
        <v>26</v>
      </c>
      <c r="I356" s="14" t="s">
        <v>2267</v>
      </c>
      <c r="J356" s="14" t="s">
        <v>48</v>
      </c>
      <c r="K356" s="14" t="s">
        <v>73</v>
      </c>
      <c r="L356" s="14" t="s">
        <v>38</v>
      </c>
      <c r="M356" s="14" t="s">
        <v>39</v>
      </c>
      <c r="N356" s="17">
        <v>113803</v>
      </c>
      <c r="O356" s="17">
        <v>18458</v>
      </c>
      <c r="P356" s="18">
        <v>92.5</v>
      </c>
      <c r="Q356" s="15">
        <v>1</v>
      </c>
      <c r="R356" s="19">
        <v>23</v>
      </c>
      <c r="S356" s="19">
        <v>3</v>
      </c>
      <c r="T356" s="15">
        <v>9</v>
      </c>
      <c r="U356" s="19">
        <v>68</v>
      </c>
      <c r="V356" s="14" t="s">
        <v>31</v>
      </c>
      <c r="W356" s="14"/>
      <c r="X356" s="14">
        <f>IF(V356="Yes",1,0)</f>
        <v>0</v>
      </c>
      <c r="Y356" s="14">
        <f>IF(H356="Active",0,1)</f>
        <v>0</v>
      </c>
    </row>
    <row r="357" spans="1:25" ht="18" customHeight="1" x14ac:dyDescent="0.35">
      <c r="A357" s="8" t="s">
        <v>677</v>
      </c>
      <c r="B357" s="8" t="s">
        <v>162</v>
      </c>
      <c r="C357" s="8" t="s">
        <v>25</v>
      </c>
      <c r="D357" s="9">
        <v>55</v>
      </c>
      <c r="E357" s="8" t="s">
        <v>2304</v>
      </c>
      <c r="F357" s="8" t="s">
        <v>35</v>
      </c>
      <c r="G357" s="10">
        <v>45899</v>
      </c>
      <c r="H357" s="8" t="s">
        <v>26</v>
      </c>
      <c r="I357" s="8" t="s">
        <v>27</v>
      </c>
      <c r="J357" s="8" t="s">
        <v>48</v>
      </c>
      <c r="K357" s="8" t="s">
        <v>37</v>
      </c>
      <c r="L357" s="8" t="s">
        <v>68</v>
      </c>
      <c r="M357" s="8" t="s">
        <v>64</v>
      </c>
      <c r="N357" s="11">
        <v>166771</v>
      </c>
      <c r="O357" s="11">
        <v>18723</v>
      </c>
      <c r="P357" s="12">
        <v>95.9</v>
      </c>
      <c r="Q357" s="9">
        <v>0</v>
      </c>
      <c r="R357" s="13">
        <v>12</v>
      </c>
      <c r="S357" s="13">
        <v>1</v>
      </c>
      <c r="T357" s="9">
        <v>8</v>
      </c>
      <c r="U357" s="13">
        <v>98</v>
      </c>
      <c r="V357" s="8" t="s">
        <v>31</v>
      </c>
      <c r="W357" s="8"/>
      <c r="X357" s="22">
        <f>IF(V357="Yes",1,0)</f>
        <v>0</v>
      </c>
      <c r="Y357" s="22">
        <f>IF(H357="Active",0,1)</f>
        <v>0</v>
      </c>
    </row>
    <row r="358" spans="1:25" ht="18" customHeight="1" x14ac:dyDescent="0.35">
      <c r="A358" s="8" t="s">
        <v>855</v>
      </c>
      <c r="B358" s="8" t="s">
        <v>526</v>
      </c>
      <c r="C358" s="8" t="s">
        <v>25</v>
      </c>
      <c r="D358" s="9">
        <v>44</v>
      </c>
      <c r="E358" s="8" t="s">
        <v>2304</v>
      </c>
      <c r="F358" s="8" t="s">
        <v>90</v>
      </c>
      <c r="G358" s="10">
        <v>45899</v>
      </c>
      <c r="H358" s="8" t="s">
        <v>26</v>
      </c>
      <c r="I358" s="8" t="s">
        <v>36</v>
      </c>
      <c r="J358" s="8" t="s">
        <v>80</v>
      </c>
      <c r="K358" s="8" t="s">
        <v>2271</v>
      </c>
      <c r="L358" s="8" t="s">
        <v>29</v>
      </c>
      <c r="M358" s="8" t="s">
        <v>45</v>
      </c>
      <c r="N358" s="11">
        <v>156427</v>
      </c>
      <c r="O358" s="11">
        <v>12027</v>
      </c>
      <c r="P358" s="12">
        <v>83.5</v>
      </c>
      <c r="Q358" s="9">
        <v>0</v>
      </c>
      <c r="R358" s="13">
        <v>30</v>
      </c>
      <c r="S358" s="13">
        <v>4</v>
      </c>
      <c r="T358" s="9">
        <v>37</v>
      </c>
      <c r="U358" s="13">
        <v>100</v>
      </c>
      <c r="V358" s="8" t="s">
        <v>31</v>
      </c>
      <c r="W358" s="8"/>
      <c r="X358" s="22">
        <f>IF(V358="Yes",1,0)</f>
        <v>0</v>
      </c>
      <c r="Y358" s="22">
        <f>IF(H358="Active",0,1)</f>
        <v>0</v>
      </c>
    </row>
    <row r="359" spans="1:25" ht="18" customHeight="1" x14ac:dyDescent="0.35">
      <c r="A359" s="8" t="s">
        <v>934</v>
      </c>
      <c r="B359" s="8" t="s">
        <v>98</v>
      </c>
      <c r="C359" s="8" t="s">
        <v>34</v>
      </c>
      <c r="D359" s="9">
        <v>28</v>
      </c>
      <c r="E359" s="8" t="s">
        <v>52</v>
      </c>
      <c r="F359" s="8" t="s">
        <v>90</v>
      </c>
      <c r="G359" s="10">
        <v>45899</v>
      </c>
      <c r="H359" s="8" t="s">
        <v>26</v>
      </c>
      <c r="I359" s="8" t="s">
        <v>36</v>
      </c>
      <c r="J359" s="8" t="s">
        <v>2270</v>
      </c>
      <c r="K359" s="8" t="s">
        <v>73</v>
      </c>
      <c r="L359" s="8" t="s">
        <v>56</v>
      </c>
      <c r="M359" s="8" t="s">
        <v>30</v>
      </c>
      <c r="N359" s="11">
        <v>176606</v>
      </c>
      <c r="O359" s="11">
        <v>38478</v>
      </c>
      <c r="P359" s="12">
        <v>87.8</v>
      </c>
      <c r="Q359" s="9">
        <v>3</v>
      </c>
      <c r="R359" s="13">
        <v>13</v>
      </c>
      <c r="S359" s="13">
        <v>2</v>
      </c>
      <c r="T359" s="9">
        <v>22</v>
      </c>
      <c r="U359" s="13">
        <v>79</v>
      </c>
      <c r="V359" s="8" t="s">
        <v>31</v>
      </c>
      <c r="W359" s="8"/>
      <c r="X359" s="22">
        <f>IF(V359="Yes",1,0)</f>
        <v>0</v>
      </c>
      <c r="Y359" s="22">
        <f>IF(H359="Active",0,1)</f>
        <v>0</v>
      </c>
    </row>
    <row r="360" spans="1:25" ht="18" customHeight="1" x14ac:dyDescent="0.35">
      <c r="A360" s="14" t="s">
        <v>1272</v>
      </c>
      <c r="B360" s="14" t="s">
        <v>75</v>
      </c>
      <c r="C360" s="14" t="s">
        <v>25</v>
      </c>
      <c r="D360" s="15">
        <v>25</v>
      </c>
      <c r="E360" s="14" t="s">
        <v>63</v>
      </c>
      <c r="F360" s="14" t="s">
        <v>76</v>
      </c>
      <c r="G360" s="16">
        <v>45899</v>
      </c>
      <c r="H360" s="14" t="s">
        <v>26</v>
      </c>
      <c r="I360" s="14" t="s">
        <v>36</v>
      </c>
      <c r="J360" s="14" t="s">
        <v>2269</v>
      </c>
      <c r="K360" s="14" t="s">
        <v>28</v>
      </c>
      <c r="L360" s="14" t="s">
        <v>49</v>
      </c>
      <c r="M360" s="14" t="s">
        <v>64</v>
      </c>
      <c r="N360" s="17">
        <v>168744</v>
      </c>
      <c r="O360" s="17">
        <v>44620</v>
      </c>
      <c r="P360" s="18">
        <v>92.2</v>
      </c>
      <c r="Q360" s="15">
        <v>6</v>
      </c>
      <c r="R360" s="19">
        <v>7</v>
      </c>
      <c r="S360" s="19">
        <v>2</v>
      </c>
      <c r="T360" s="15">
        <v>1</v>
      </c>
      <c r="U360" s="19">
        <v>68</v>
      </c>
      <c r="V360" s="14" t="s">
        <v>31</v>
      </c>
      <c r="W360" s="14"/>
      <c r="X360" s="14">
        <f>IF(V360="Yes",1,0)</f>
        <v>0</v>
      </c>
      <c r="Y360" s="14">
        <f>IF(H360="Active",0,1)</f>
        <v>0</v>
      </c>
    </row>
    <row r="361" spans="1:25" ht="18" customHeight="1" x14ac:dyDescent="0.35">
      <c r="A361" s="14" t="s">
        <v>1718</v>
      </c>
      <c r="B361" s="14" t="s">
        <v>78</v>
      </c>
      <c r="C361" s="14" t="s">
        <v>34</v>
      </c>
      <c r="D361" s="15">
        <v>43</v>
      </c>
      <c r="E361" s="14" t="s">
        <v>109</v>
      </c>
      <c r="F361" s="14" t="s">
        <v>43</v>
      </c>
      <c r="G361" s="16">
        <v>45899</v>
      </c>
      <c r="H361" s="14" t="s">
        <v>26</v>
      </c>
      <c r="I361" s="14" t="s">
        <v>36</v>
      </c>
      <c r="J361" s="14" t="s">
        <v>2270</v>
      </c>
      <c r="K361" s="14" t="s">
        <v>37</v>
      </c>
      <c r="L361" s="14" t="s">
        <v>44</v>
      </c>
      <c r="M361" s="14" t="s">
        <v>39</v>
      </c>
      <c r="N361" s="17">
        <v>81966</v>
      </c>
      <c r="O361" s="17">
        <v>11986</v>
      </c>
      <c r="P361" s="18">
        <v>88.5</v>
      </c>
      <c r="Q361" s="15">
        <v>7</v>
      </c>
      <c r="R361" s="19">
        <v>7</v>
      </c>
      <c r="S361" s="19">
        <v>5</v>
      </c>
      <c r="T361" s="15">
        <v>8</v>
      </c>
      <c r="U361" s="19">
        <v>81</v>
      </c>
      <c r="V361" s="14" t="s">
        <v>31</v>
      </c>
      <c r="W361" s="14"/>
      <c r="X361" s="14">
        <f>IF(V361="Yes",1,0)</f>
        <v>0</v>
      </c>
      <c r="Y361" s="14">
        <f>IF(H361="Active",0,1)</f>
        <v>0</v>
      </c>
    </row>
    <row r="362" spans="1:25" ht="18" customHeight="1" x14ac:dyDescent="0.35">
      <c r="A362" s="8" t="s">
        <v>865</v>
      </c>
      <c r="B362" s="8" t="s">
        <v>329</v>
      </c>
      <c r="C362" s="8" t="s">
        <v>25</v>
      </c>
      <c r="D362" s="9">
        <v>31</v>
      </c>
      <c r="E362" s="8" t="s">
        <v>109</v>
      </c>
      <c r="F362" s="8" t="s">
        <v>35</v>
      </c>
      <c r="G362" s="10">
        <v>45898</v>
      </c>
      <c r="H362" s="8" t="s">
        <v>26</v>
      </c>
      <c r="I362" s="8" t="s">
        <v>27</v>
      </c>
      <c r="J362" s="8" t="s">
        <v>48</v>
      </c>
      <c r="K362" s="8" t="s">
        <v>37</v>
      </c>
      <c r="L362" s="8" t="s">
        <v>44</v>
      </c>
      <c r="M362" s="8" t="s">
        <v>45</v>
      </c>
      <c r="N362" s="11">
        <v>76599</v>
      </c>
      <c r="O362" s="11">
        <v>16591</v>
      </c>
      <c r="P362" s="12">
        <v>94.9</v>
      </c>
      <c r="Q362" s="9">
        <v>2</v>
      </c>
      <c r="R362" s="13">
        <v>18</v>
      </c>
      <c r="S362" s="13">
        <v>2</v>
      </c>
      <c r="T362" s="9">
        <v>15</v>
      </c>
      <c r="U362" s="13">
        <v>92</v>
      </c>
      <c r="V362" s="8" t="s">
        <v>31</v>
      </c>
      <c r="W362" s="8"/>
      <c r="X362" s="22">
        <f>IF(V362="Yes",1,0)</f>
        <v>0</v>
      </c>
      <c r="Y362" s="22">
        <f>IF(H362="Active",0,1)</f>
        <v>0</v>
      </c>
    </row>
    <row r="363" spans="1:25" ht="18" customHeight="1" x14ac:dyDescent="0.35">
      <c r="A363" s="14" t="s">
        <v>1324</v>
      </c>
      <c r="B363" s="14" t="s">
        <v>153</v>
      </c>
      <c r="C363" s="14" t="s">
        <v>25</v>
      </c>
      <c r="D363" s="15">
        <v>32</v>
      </c>
      <c r="E363" s="14" t="s">
        <v>86</v>
      </c>
      <c r="F363" s="14" t="s">
        <v>79</v>
      </c>
      <c r="G363" s="16">
        <v>45898</v>
      </c>
      <c r="H363" s="14" t="s">
        <v>26</v>
      </c>
      <c r="I363" s="14" t="s">
        <v>2267</v>
      </c>
      <c r="J363" s="14" t="s">
        <v>2269</v>
      </c>
      <c r="K363" s="14" t="s">
        <v>2271</v>
      </c>
      <c r="L363" s="14" t="s">
        <v>56</v>
      </c>
      <c r="M363" s="14" t="s">
        <v>39</v>
      </c>
      <c r="N363" s="17">
        <v>156636</v>
      </c>
      <c r="O363" s="17">
        <v>30453</v>
      </c>
      <c r="P363" s="18">
        <v>92.7</v>
      </c>
      <c r="Q363" s="15">
        <v>10</v>
      </c>
      <c r="R363" s="19">
        <v>9</v>
      </c>
      <c r="S363" s="19">
        <v>4</v>
      </c>
      <c r="T363" s="15">
        <v>34</v>
      </c>
      <c r="U363" s="19">
        <v>89</v>
      </c>
      <c r="V363" s="14" t="s">
        <v>31</v>
      </c>
      <c r="W363" s="14"/>
      <c r="X363" s="14">
        <f>IF(V363="Yes",1,0)</f>
        <v>0</v>
      </c>
      <c r="Y363" s="14">
        <f>IF(H363="Active",0,1)</f>
        <v>0</v>
      </c>
    </row>
    <row r="364" spans="1:25" ht="18" customHeight="1" x14ac:dyDescent="0.35">
      <c r="A364" s="14" t="s">
        <v>1580</v>
      </c>
      <c r="B364" s="14" t="s">
        <v>274</v>
      </c>
      <c r="C364" s="14" t="s">
        <v>25</v>
      </c>
      <c r="D364" s="15">
        <v>25</v>
      </c>
      <c r="E364" s="14" t="s">
        <v>52</v>
      </c>
      <c r="F364" s="14" t="s">
        <v>72</v>
      </c>
      <c r="G364" s="16">
        <v>45898</v>
      </c>
      <c r="H364" s="14" t="s">
        <v>26</v>
      </c>
      <c r="I364" s="14" t="s">
        <v>36</v>
      </c>
      <c r="J364" s="14" t="s">
        <v>80</v>
      </c>
      <c r="K364" s="14" t="s">
        <v>28</v>
      </c>
      <c r="L364" s="14" t="s">
        <v>116</v>
      </c>
      <c r="M364" s="14" t="s">
        <v>60</v>
      </c>
      <c r="N364" s="17">
        <v>137008</v>
      </c>
      <c r="O364" s="17">
        <v>49697</v>
      </c>
      <c r="P364" s="18">
        <v>82</v>
      </c>
      <c r="Q364" s="15">
        <v>2</v>
      </c>
      <c r="R364" s="19">
        <v>15</v>
      </c>
      <c r="S364" s="19">
        <v>2</v>
      </c>
      <c r="T364" s="15">
        <v>24</v>
      </c>
      <c r="U364" s="19">
        <v>78</v>
      </c>
      <c r="V364" s="14" t="s">
        <v>31</v>
      </c>
      <c r="W364" s="14"/>
      <c r="X364" s="14">
        <f>IF(V364="Yes",1,0)</f>
        <v>0</v>
      </c>
      <c r="Y364" s="14">
        <f>IF(H364="Active",0,1)</f>
        <v>0</v>
      </c>
    </row>
    <row r="365" spans="1:25" ht="18" customHeight="1" x14ac:dyDescent="0.35">
      <c r="A365" s="8" t="s">
        <v>1609</v>
      </c>
      <c r="B365" s="8" t="s">
        <v>175</v>
      </c>
      <c r="C365" s="8" t="s">
        <v>34</v>
      </c>
      <c r="D365" s="9">
        <v>45</v>
      </c>
      <c r="E365" s="8" t="s">
        <v>93</v>
      </c>
      <c r="F365" s="8" t="s">
        <v>79</v>
      </c>
      <c r="G365" s="10">
        <v>45898</v>
      </c>
      <c r="H365" s="8" t="s">
        <v>54</v>
      </c>
      <c r="I365" s="8" t="s">
        <v>27</v>
      </c>
      <c r="J365" s="8" t="s">
        <v>2268</v>
      </c>
      <c r="K365" s="8" t="s">
        <v>55</v>
      </c>
      <c r="L365" s="8" t="s">
        <v>116</v>
      </c>
      <c r="M365" s="8" t="s">
        <v>64</v>
      </c>
      <c r="N365" s="11">
        <v>244478</v>
      </c>
      <c r="O365" s="11">
        <v>30494</v>
      </c>
      <c r="P365" s="12">
        <v>98.1</v>
      </c>
      <c r="Q365" s="9">
        <v>1</v>
      </c>
      <c r="R365" s="13">
        <v>25</v>
      </c>
      <c r="S365" s="13">
        <v>1</v>
      </c>
      <c r="T365" s="9">
        <v>18</v>
      </c>
      <c r="U365" s="13">
        <v>74</v>
      </c>
      <c r="V365" s="8" t="s">
        <v>31</v>
      </c>
      <c r="W365" s="8" t="s">
        <v>83</v>
      </c>
      <c r="X365" s="22">
        <f>IF(V365="Yes",1,0)</f>
        <v>0</v>
      </c>
      <c r="Y365" s="22">
        <f>IF(H365="Active",0,1)</f>
        <v>1</v>
      </c>
    </row>
    <row r="366" spans="1:25" ht="18" customHeight="1" x14ac:dyDescent="0.35">
      <c r="A366" s="14" t="s">
        <v>1476</v>
      </c>
      <c r="B366" s="14" t="s">
        <v>131</v>
      </c>
      <c r="C366" s="14" t="s">
        <v>34</v>
      </c>
      <c r="D366" s="15">
        <v>60</v>
      </c>
      <c r="E366" s="14" t="s">
        <v>52</v>
      </c>
      <c r="F366" s="14" t="s">
        <v>72</v>
      </c>
      <c r="G366" s="16">
        <v>45897</v>
      </c>
      <c r="H366" s="14" t="s">
        <v>26</v>
      </c>
      <c r="I366" s="14" t="s">
        <v>2267</v>
      </c>
      <c r="J366" s="14" t="s">
        <v>2268</v>
      </c>
      <c r="K366" s="14" t="s">
        <v>28</v>
      </c>
      <c r="L366" s="14" t="s">
        <v>38</v>
      </c>
      <c r="M366" s="14" t="s">
        <v>39</v>
      </c>
      <c r="N366" s="17">
        <v>177427</v>
      </c>
      <c r="O366" s="17">
        <v>5494</v>
      </c>
      <c r="P366" s="18">
        <v>97</v>
      </c>
      <c r="Q366" s="15">
        <v>3</v>
      </c>
      <c r="R366" s="19">
        <v>2</v>
      </c>
      <c r="S366" s="19">
        <v>2</v>
      </c>
      <c r="T366" s="15">
        <v>8</v>
      </c>
      <c r="U366" s="19">
        <v>94</v>
      </c>
      <c r="V366" s="14" t="s">
        <v>69</v>
      </c>
      <c r="W366" s="14"/>
      <c r="X366" s="14">
        <f>IF(V366="Yes",1,0)</f>
        <v>1</v>
      </c>
      <c r="Y366" s="14">
        <f>IF(H366="Active",0,1)</f>
        <v>0</v>
      </c>
    </row>
    <row r="367" spans="1:25" ht="18" customHeight="1" x14ac:dyDescent="0.35">
      <c r="A367" s="14" t="s">
        <v>1696</v>
      </c>
      <c r="B367" s="14" t="s">
        <v>646</v>
      </c>
      <c r="C367" s="14" t="s">
        <v>25</v>
      </c>
      <c r="D367" s="15">
        <v>22</v>
      </c>
      <c r="E367" s="14" t="s">
        <v>42</v>
      </c>
      <c r="F367" s="14" t="s">
        <v>79</v>
      </c>
      <c r="G367" s="16">
        <v>45897</v>
      </c>
      <c r="H367" s="14" t="s">
        <v>26</v>
      </c>
      <c r="I367" s="14" t="s">
        <v>2267</v>
      </c>
      <c r="J367" s="14" t="s">
        <v>2270</v>
      </c>
      <c r="K367" s="14" t="s">
        <v>37</v>
      </c>
      <c r="L367" s="14" t="s">
        <v>38</v>
      </c>
      <c r="M367" s="14" t="s">
        <v>45</v>
      </c>
      <c r="N367" s="17">
        <v>42171</v>
      </c>
      <c r="O367" s="17">
        <v>39537</v>
      </c>
      <c r="P367" s="18">
        <v>99.8</v>
      </c>
      <c r="Q367" s="15">
        <v>7</v>
      </c>
      <c r="R367" s="19">
        <v>29</v>
      </c>
      <c r="S367" s="19">
        <v>2</v>
      </c>
      <c r="T367" s="15">
        <v>33</v>
      </c>
      <c r="U367" s="19">
        <v>97</v>
      </c>
      <c r="V367" s="14" t="s">
        <v>31</v>
      </c>
      <c r="W367" s="14"/>
      <c r="X367" s="14">
        <f>IF(V367="Yes",1,0)</f>
        <v>0</v>
      </c>
      <c r="Y367" s="14">
        <f>IF(H367="Active",0,1)</f>
        <v>0</v>
      </c>
    </row>
    <row r="368" spans="1:25" ht="18" customHeight="1" x14ac:dyDescent="0.35">
      <c r="A368" s="8" t="s">
        <v>1925</v>
      </c>
      <c r="B368" s="8" t="s">
        <v>102</v>
      </c>
      <c r="C368" s="8" t="s">
        <v>34</v>
      </c>
      <c r="D368" s="9">
        <v>58</v>
      </c>
      <c r="E368" s="8" t="s">
        <v>86</v>
      </c>
      <c r="F368" s="8" t="s">
        <v>72</v>
      </c>
      <c r="G368" s="10">
        <v>45897</v>
      </c>
      <c r="H368" s="8" t="s">
        <v>26</v>
      </c>
      <c r="I368" s="8" t="s">
        <v>2267</v>
      </c>
      <c r="J368" s="8" t="s">
        <v>2269</v>
      </c>
      <c r="K368" s="8" t="s">
        <v>2271</v>
      </c>
      <c r="L368" s="8" t="s">
        <v>44</v>
      </c>
      <c r="M368" s="8" t="s">
        <v>30</v>
      </c>
      <c r="N368" s="11">
        <v>159996</v>
      </c>
      <c r="O368" s="11">
        <v>31359</v>
      </c>
      <c r="P368" s="12">
        <v>86.1</v>
      </c>
      <c r="Q368" s="9">
        <v>4</v>
      </c>
      <c r="R368" s="13">
        <v>5</v>
      </c>
      <c r="S368" s="13">
        <v>4</v>
      </c>
      <c r="T368" s="9">
        <v>9</v>
      </c>
      <c r="U368" s="13">
        <v>100</v>
      </c>
      <c r="V368" s="8" t="s">
        <v>31</v>
      </c>
      <c r="W368" s="8"/>
      <c r="X368" s="22">
        <f>IF(V368="Yes",1,0)</f>
        <v>0</v>
      </c>
      <c r="Y368" s="22">
        <f>IF(H368="Active",0,1)</f>
        <v>0</v>
      </c>
    </row>
    <row r="369" spans="1:25" ht="18" customHeight="1" x14ac:dyDescent="0.35">
      <c r="A369" s="8" t="s">
        <v>130</v>
      </c>
      <c r="B369" s="8" t="s">
        <v>131</v>
      </c>
      <c r="C369" s="8" t="s">
        <v>34</v>
      </c>
      <c r="D369" s="9">
        <v>60</v>
      </c>
      <c r="E369" s="8" t="s">
        <v>42</v>
      </c>
      <c r="F369" s="8" t="s">
        <v>35</v>
      </c>
      <c r="G369" s="10">
        <v>45896</v>
      </c>
      <c r="H369" s="8" t="s">
        <v>26</v>
      </c>
      <c r="I369" s="8" t="s">
        <v>36</v>
      </c>
      <c r="J369" s="8" t="s">
        <v>2269</v>
      </c>
      <c r="K369" s="8" t="s">
        <v>2271</v>
      </c>
      <c r="L369" s="8" t="s">
        <v>38</v>
      </c>
      <c r="M369" s="8" t="s">
        <v>30</v>
      </c>
      <c r="N369" s="11">
        <v>173873</v>
      </c>
      <c r="O369" s="11">
        <v>21603</v>
      </c>
      <c r="P369" s="12">
        <v>95.1</v>
      </c>
      <c r="Q369" s="9">
        <v>7</v>
      </c>
      <c r="R369" s="13">
        <v>21</v>
      </c>
      <c r="S369" s="13">
        <v>2</v>
      </c>
      <c r="T369" s="9">
        <v>3</v>
      </c>
      <c r="U369" s="13">
        <v>82</v>
      </c>
      <c r="V369" s="8" t="s">
        <v>69</v>
      </c>
      <c r="W369" s="8"/>
      <c r="X369" s="22">
        <f>IF(V369="Yes",1,0)</f>
        <v>1</v>
      </c>
      <c r="Y369" s="22">
        <f>IF(H369="Active",0,1)</f>
        <v>0</v>
      </c>
    </row>
    <row r="370" spans="1:25" ht="18" customHeight="1" x14ac:dyDescent="0.35">
      <c r="A370" s="14" t="s">
        <v>996</v>
      </c>
      <c r="B370" s="14" t="s">
        <v>146</v>
      </c>
      <c r="C370" s="14" t="s">
        <v>25</v>
      </c>
      <c r="D370" s="15">
        <v>52</v>
      </c>
      <c r="E370" s="14" t="s">
        <v>42</v>
      </c>
      <c r="F370" s="14" t="s">
        <v>53</v>
      </c>
      <c r="G370" s="16">
        <v>45896</v>
      </c>
      <c r="H370" s="14" t="s">
        <v>26</v>
      </c>
      <c r="I370" s="14" t="s">
        <v>36</v>
      </c>
      <c r="J370" s="14" t="s">
        <v>2270</v>
      </c>
      <c r="K370" s="14" t="s">
        <v>2271</v>
      </c>
      <c r="L370" s="14" t="s">
        <v>38</v>
      </c>
      <c r="M370" s="14" t="s">
        <v>45</v>
      </c>
      <c r="N370" s="17">
        <v>179537</v>
      </c>
      <c r="O370" s="17">
        <v>10486</v>
      </c>
      <c r="P370" s="18">
        <v>91</v>
      </c>
      <c r="Q370" s="15">
        <v>5</v>
      </c>
      <c r="R370" s="19">
        <v>7</v>
      </c>
      <c r="S370" s="19">
        <v>5</v>
      </c>
      <c r="T370" s="15">
        <v>38</v>
      </c>
      <c r="U370" s="19">
        <v>82</v>
      </c>
      <c r="V370" s="14" t="s">
        <v>69</v>
      </c>
      <c r="W370" s="14"/>
      <c r="X370" s="14">
        <f>IF(V370="Yes",1,0)</f>
        <v>1</v>
      </c>
      <c r="Y370" s="14">
        <f>IF(H370="Active",0,1)</f>
        <v>0</v>
      </c>
    </row>
    <row r="371" spans="1:25" ht="18" customHeight="1" x14ac:dyDescent="0.35">
      <c r="A371" s="14" t="s">
        <v>1680</v>
      </c>
      <c r="B371" s="14" t="s">
        <v>201</v>
      </c>
      <c r="C371" s="14" t="s">
        <v>25</v>
      </c>
      <c r="D371" s="15">
        <v>23</v>
      </c>
      <c r="E371" s="14" t="s">
        <v>2304</v>
      </c>
      <c r="F371" s="14" t="s">
        <v>43</v>
      </c>
      <c r="G371" s="16">
        <v>45896</v>
      </c>
      <c r="H371" s="14" t="s">
        <v>54</v>
      </c>
      <c r="I371" s="14" t="s">
        <v>27</v>
      </c>
      <c r="J371" s="14" t="s">
        <v>2268</v>
      </c>
      <c r="K371" s="14" t="s">
        <v>55</v>
      </c>
      <c r="L371" s="14" t="s">
        <v>56</v>
      </c>
      <c r="M371" s="14" t="s">
        <v>64</v>
      </c>
      <c r="N371" s="17">
        <v>79891</v>
      </c>
      <c r="O371" s="17">
        <v>5401</v>
      </c>
      <c r="P371" s="18">
        <v>96.6</v>
      </c>
      <c r="Q371" s="15">
        <v>6</v>
      </c>
      <c r="R371" s="19">
        <v>14</v>
      </c>
      <c r="S371" s="19">
        <v>2</v>
      </c>
      <c r="T371" s="15">
        <v>27</v>
      </c>
      <c r="U371" s="19">
        <v>93</v>
      </c>
      <c r="V371" s="14" t="s">
        <v>31</v>
      </c>
      <c r="W371" s="14" t="s">
        <v>123</v>
      </c>
      <c r="X371" s="14">
        <f>IF(V371="Yes",1,0)</f>
        <v>0</v>
      </c>
      <c r="Y371" s="14">
        <f>IF(H371="Active",0,1)</f>
        <v>1</v>
      </c>
    </row>
    <row r="372" spans="1:25" ht="18" customHeight="1" x14ac:dyDescent="0.35">
      <c r="A372" s="14" t="s">
        <v>2086</v>
      </c>
      <c r="B372" s="14" t="s">
        <v>181</v>
      </c>
      <c r="C372" s="14" t="s">
        <v>25</v>
      </c>
      <c r="D372" s="15">
        <v>51</v>
      </c>
      <c r="E372" s="14" t="s">
        <v>67</v>
      </c>
      <c r="F372" s="14" t="s">
        <v>53</v>
      </c>
      <c r="G372" s="16">
        <v>45896</v>
      </c>
      <c r="H372" s="14" t="s">
        <v>26</v>
      </c>
      <c r="I372" s="14" t="s">
        <v>36</v>
      </c>
      <c r="J372" s="14" t="s">
        <v>2269</v>
      </c>
      <c r="K372" s="14" t="s">
        <v>37</v>
      </c>
      <c r="L372" s="14" t="s">
        <v>56</v>
      </c>
      <c r="M372" s="14" t="s">
        <v>39</v>
      </c>
      <c r="N372" s="17">
        <v>222234</v>
      </c>
      <c r="O372" s="17">
        <v>44268</v>
      </c>
      <c r="P372" s="18">
        <v>95.9</v>
      </c>
      <c r="Q372" s="15">
        <v>0</v>
      </c>
      <c r="R372" s="19">
        <v>14</v>
      </c>
      <c r="S372" s="19">
        <v>1</v>
      </c>
      <c r="T372" s="15">
        <v>15</v>
      </c>
      <c r="U372" s="19">
        <v>67</v>
      </c>
      <c r="V372" s="14" t="s">
        <v>69</v>
      </c>
      <c r="W372" s="14"/>
      <c r="X372" s="14">
        <f>IF(V372="Yes",1,0)</f>
        <v>1</v>
      </c>
      <c r="Y372" s="14">
        <f>IF(H372="Active",0,1)</f>
        <v>0</v>
      </c>
    </row>
    <row r="373" spans="1:25" ht="18" customHeight="1" x14ac:dyDescent="0.35">
      <c r="A373" s="14" t="s">
        <v>310</v>
      </c>
      <c r="B373" s="14" t="s">
        <v>311</v>
      </c>
      <c r="C373" s="14" t="s">
        <v>25</v>
      </c>
      <c r="D373" s="15">
        <v>43</v>
      </c>
      <c r="E373" s="14" t="s">
        <v>52</v>
      </c>
      <c r="F373" s="14" t="s">
        <v>43</v>
      </c>
      <c r="G373" s="16">
        <v>45895</v>
      </c>
      <c r="H373" s="14" t="s">
        <v>26</v>
      </c>
      <c r="I373" s="14" t="s">
        <v>36</v>
      </c>
      <c r="J373" s="14" t="s">
        <v>2268</v>
      </c>
      <c r="K373" s="14" t="s">
        <v>28</v>
      </c>
      <c r="L373" s="14" t="s">
        <v>116</v>
      </c>
      <c r="M373" s="14" t="s">
        <v>39</v>
      </c>
      <c r="N373" s="17">
        <v>211136</v>
      </c>
      <c r="O373" s="17">
        <v>25201</v>
      </c>
      <c r="P373" s="18">
        <v>84.7</v>
      </c>
      <c r="Q373" s="15">
        <v>6</v>
      </c>
      <c r="R373" s="19">
        <v>16</v>
      </c>
      <c r="S373" s="19">
        <v>5</v>
      </c>
      <c r="T373" s="15">
        <v>35</v>
      </c>
      <c r="U373" s="19">
        <v>61</v>
      </c>
      <c r="V373" s="14" t="s">
        <v>31</v>
      </c>
      <c r="W373" s="14"/>
      <c r="X373" s="14">
        <f>IF(V373="Yes",1,0)</f>
        <v>0</v>
      </c>
      <c r="Y373" s="14">
        <f>IF(H373="Active",0,1)</f>
        <v>0</v>
      </c>
    </row>
    <row r="374" spans="1:25" ht="18" customHeight="1" x14ac:dyDescent="0.35">
      <c r="A374" s="8" t="s">
        <v>469</v>
      </c>
      <c r="B374" s="8" t="s">
        <v>64</v>
      </c>
      <c r="C374" s="8" t="s">
        <v>25</v>
      </c>
      <c r="D374" s="9">
        <v>31</v>
      </c>
      <c r="E374" s="8" t="s">
        <v>93</v>
      </c>
      <c r="F374" s="8" t="s">
        <v>79</v>
      </c>
      <c r="G374" s="10">
        <v>45895</v>
      </c>
      <c r="H374" s="8" t="s">
        <v>26</v>
      </c>
      <c r="I374" s="8" t="s">
        <v>36</v>
      </c>
      <c r="J374" s="8" t="s">
        <v>80</v>
      </c>
      <c r="K374" s="8" t="s">
        <v>37</v>
      </c>
      <c r="L374" s="8" t="s">
        <v>68</v>
      </c>
      <c r="M374" s="8" t="s">
        <v>45</v>
      </c>
      <c r="N374" s="11">
        <v>223196</v>
      </c>
      <c r="O374" s="11">
        <v>31800</v>
      </c>
      <c r="P374" s="12">
        <v>85.3</v>
      </c>
      <c r="Q374" s="9">
        <v>2</v>
      </c>
      <c r="R374" s="13">
        <v>5</v>
      </c>
      <c r="S374" s="13">
        <v>2</v>
      </c>
      <c r="T374" s="9">
        <v>23</v>
      </c>
      <c r="U374" s="13">
        <v>86</v>
      </c>
      <c r="V374" s="8" t="s">
        <v>31</v>
      </c>
      <c r="W374" s="8"/>
      <c r="X374" s="22">
        <f>IF(V374="Yes",1,0)</f>
        <v>0</v>
      </c>
      <c r="Y374" s="22">
        <f>IF(H374="Active",0,1)</f>
        <v>0</v>
      </c>
    </row>
    <row r="375" spans="1:25" ht="18" customHeight="1" x14ac:dyDescent="0.35">
      <c r="A375" s="14" t="s">
        <v>1744</v>
      </c>
      <c r="B375" s="14" t="s">
        <v>136</v>
      </c>
      <c r="C375" s="14" t="s">
        <v>34</v>
      </c>
      <c r="D375" s="15">
        <v>22</v>
      </c>
      <c r="E375" s="14" t="s">
        <v>67</v>
      </c>
      <c r="F375" s="14" t="s">
        <v>76</v>
      </c>
      <c r="G375" s="16">
        <v>45895</v>
      </c>
      <c r="H375" s="14" t="s">
        <v>26</v>
      </c>
      <c r="I375" s="14" t="s">
        <v>2267</v>
      </c>
      <c r="J375" s="14" t="s">
        <v>80</v>
      </c>
      <c r="K375" s="14" t="s">
        <v>55</v>
      </c>
      <c r="L375" s="14" t="s">
        <v>38</v>
      </c>
      <c r="M375" s="14" t="s">
        <v>45</v>
      </c>
      <c r="N375" s="17">
        <v>244153</v>
      </c>
      <c r="O375" s="17">
        <v>17502</v>
      </c>
      <c r="P375" s="18">
        <v>83.9</v>
      </c>
      <c r="Q375" s="15">
        <v>4</v>
      </c>
      <c r="R375" s="19">
        <v>3</v>
      </c>
      <c r="S375" s="19">
        <v>1</v>
      </c>
      <c r="T375" s="15">
        <v>39</v>
      </c>
      <c r="U375" s="19">
        <v>82</v>
      </c>
      <c r="V375" s="14" t="s">
        <v>69</v>
      </c>
      <c r="W375" s="14"/>
      <c r="X375" s="14">
        <f>IF(V375="Yes",1,0)</f>
        <v>1</v>
      </c>
      <c r="Y375" s="14">
        <f>IF(H375="Active",0,1)</f>
        <v>0</v>
      </c>
    </row>
    <row r="376" spans="1:25" ht="18" customHeight="1" x14ac:dyDescent="0.35">
      <c r="A376" s="8" t="s">
        <v>773</v>
      </c>
      <c r="B376" s="8" t="s">
        <v>540</v>
      </c>
      <c r="C376" s="8" t="s">
        <v>25</v>
      </c>
      <c r="D376" s="9">
        <v>46</v>
      </c>
      <c r="E376" s="8" t="s">
        <v>93</v>
      </c>
      <c r="F376" s="8" t="s">
        <v>35</v>
      </c>
      <c r="G376" s="10">
        <v>45894</v>
      </c>
      <c r="H376" s="8" t="s">
        <v>26</v>
      </c>
      <c r="I376" s="8" t="s">
        <v>27</v>
      </c>
      <c r="J376" s="8" t="s">
        <v>48</v>
      </c>
      <c r="K376" s="8" t="s">
        <v>37</v>
      </c>
      <c r="L376" s="8" t="s">
        <v>49</v>
      </c>
      <c r="M376" s="8" t="s">
        <v>30</v>
      </c>
      <c r="N376" s="11">
        <v>68704</v>
      </c>
      <c r="O376" s="11">
        <v>28036</v>
      </c>
      <c r="P376" s="12">
        <v>96.5</v>
      </c>
      <c r="Q376" s="9">
        <v>1</v>
      </c>
      <c r="R376" s="13">
        <v>24</v>
      </c>
      <c r="S376" s="13">
        <v>4</v>
      </c>
      <c r="T376" s="9">
        <v>9</v>
      </c>
      <c r="U376" s="13">
        <v>95</v>
      </c>
      <c r="V376" s="8" t="s">
        <v>31</v>
      </c>
      <c r="W376" s="8"/>
      <c r="X376" s="22">
        <f>IF(V376="Yes",1,0)</f>
        <v>0</v>
      </c>
      <c r="Y376" s="22">
        <f>IF(H376="Active",0,1)</f>
        <v>0</v>
      </c>
    </row>
    <row r="377" spans="1:25" ht="18" customHeight="1" x14ac:dyDescent="0.35">
      <c r="A377" s="8" t="s">
        <v>960</v>
      </c>
      <c r="B377" s="8" t="s">
        <v>102</v>
      </c>
      <c r="C377" s="8" t="s">
        <v>25</v>
      </c>
      <c r="D377" s="9">
        <v>52</v>
      </c>
      <c r="E377" s="8" t="s">
        <v>2304</v>
      </c>
      <c r="F377" s="8" t="s">
        <v>90</v>
      </c>
      <c r="G377" s="10">
        <v>45894</v>
      </c>
      <c r="H377" s="8" t="s">
        <v>26</v>
      </c>
      <c r="I377" s="8" t="s">
        <v>27</v>
      </c>
      <c r="J377" s="8" t="s">
        <v>2270</v>
      </c>
      <c r="K377" s="8" t="s">
        <v>37</v>
      </c>
      <c r="L377" s="8" t="s">
        <v>29</v>
      </c>
      <c r="M377" s="8" t="s">
        <v>60</v>
      </c>
      <c r="N377" s="11">
        <v>132090</v>
      </c>
      <c r="O377" s="11">
        <v>44211</v>
      </c>
      <c r="P377" s="12">
        <v>93</v>
      </c>
      <c r="Q377" s="9">
        <v>5</v>
      </c>
      <c r="R377" s="13">
        <v>1</v>
      </c>
      <c r="S377" s="13">
        <v>3</v>
      </c>
      <c r="T377" s="9">
        <v>25</v>
      </c>
      <c r="U377" s="13">
        <v>68</v>
      </c>
      <c r="V377" s="8" t="s">
        <v>31</v>
      </c>
      <c r="W377" s="8"/>
      <c r="X377" s="22">
        <f>IF(V377="Yes",1,0)</f>
        <v>0</v>
      </c>
      <c r="Y377" s="22">
        <f>IF(H377="Active",0,1)</f>
        <v>0</v>
      </c>
    </row>
    <row r="378" spans="1:25" ht="18" customHeight="1" x14ac:dyDescent="0.35">
      <c r="A378" s="14" t="s">
        <v>1165</v>
      </c>
      <c r="B378" s="14" t="s">
        <v>160</v>
      </c>
      <c r="C378" s="14" t="s">
        <v>34</v>
      </c>
      <c r="D378" s="15">
        <v>55</v>
      </c>
      <c r="E378" s="14" t="s">
        <v>63</v>
      </c>
      <c r="F378" s="14" t="s">
        <v>79</v>
      </c>
      <c r="G378" s="16">
        <v>45894</v>
      </c>
      <c r="H378" s="14" t="s">
        <v>26</v>
      </c>
      <c r="I378" s="14" t="s">
        <v>2267</v>
      </c>
      <c r="J378" s="14" t="s">
        <v>2269</v>
      </c>
      <c r="K378" s="14" t="s">
        <v>55</v>
      </c>
      <c r="L378" s="14" t="s">
        <v>116</v>
      </c>
      <c r="M378" s="14" t="s">
        <v>45</v>
      </c>
      <c r="N378" s="17">
        <v>198289</v>
      </c>
      <c r="O378" s="17">
        <v>5153</v>
      </c>
      <c r="P378" s="18">
        <v>98.4</v>
      </c>
      <c r="Q378" s="15">
        <v>9</v>
      </c>
      <c r="R378" s="19">
        <v>16</v>
      </c>
      <c r="S378" s="19">
        <v>2</v>
      </c>
      <c r="T378" s="15">
        <v>4</v>
      </c>
      <c r="U378" s="19">
        <v>71</v>
      </c>
      <c r="V378" s="14" t="s">
        <v>31</v>
      </c>
      <c r="W378" s="14"/>
      <c r="X378" s="14">
        <f>IF(V378="Yes",1,0)</f>
        <v>0</v>
      </c>
      <c r="Y378" s="14">
        <f>IF(H378="Active",0,1)</f>
        <v>0</v>
      </c>
    </row>
    <row r="379" spans="1:25" ht="18" customHeight="1" x14ac:dyDescent="0.35">
      <c r="A379" s="8" t="s">
        <v>1673</v>
      </c>
      <c r="B379" s="8" t="s">
        <v>701</v>
      </c>
      <c r="C379" s="8" t="s">
        <v>34</v>
      </c>
      <c r="D379" s="9">
        <v>41</v>
      </c>
      <c r="E379" s="8" t="s">
        <v>63</v>
      </c>
      <c r="F379" s="8" t="s">
        <v>43</v>
      </c>
      <c r="G379" s="10">
        <v>45894</v>
      </c>
      <c r="H379" s="8" t="s">
        <v>26</v>
      </c>
      <c r="I379" s="8" t="s">
        <v>27</v>
      </c>
      <c r="J379" s="8" t="s">
        <v>2269</v>
      </c>
      <c r="K379" s="8" t="s">
        <v>2271</v>
      </c>
      <c r="L379" s="8" t="s">
        <v>49</v>
      </c>
      <c r="M379" s="8" t="s">
        <v>45</v>
      </c>
      <c r="N379" s="11">
        <v>138309</v>
      </c>
      <c r="O379" s="11">
        <v>12571</v>
      </c>
      <c r="P379" s="12">
        <v>91</v>
      </c>
      <c r="Q379" s="9">
        <v>1</v>
      </c>
      <c r="R379" s="13">
        <v>14</v>
      </c>
      <c r="S379" s="13">
        <v>3</v>
      </c>
      <c r="T379" s="9">
        <v>3</v>
      </c>
      <c r="U379" s="13">
        <v>85</v>
      </c>
      <c r="V379" s="8" t="s">
        <v>31</v>
      </c>
      <c r="W379" s="8"/>
      <c r="X379" s="22">
        <f>IF(V379="Yes",1,0)</f>
        <v>0</v>
      </c>
      <c r="Y379" s="22">
        <f>IF(H379="Active",0,1)</f>
        <v>0</v>
      </c>
    </row>
    <row r="380" spans="1:25" ht="18" customHeight="1" x14ac:dyDescent="0.35">
      <c r="A380" s="14" t="s">
        <v>819</v>
      </c>
      <c r="B380" s="14" t="s">
        <v>439</v>
      </c>
      <c r="C380" s="14" t="s">
        <v>34</v>
      </c>
      <c r="D380" s="15">
        <v>36</v>
      </c>
      <c r="E380" s="14" t="s">
        <v>2303</v>
      </c>
      <c r="F380" s="14" t="s">
        <v>12</v>
      </c>
      <c r="G380" s="16">
        <v>45893</v>
      </c>
      <c r="H380" s="14" t="s">
        <v>26</v>
      </c>
      <c r="I380" s="14" t="s">
        <v>27</v>
      </c>
      <c r="J380" s="14" t="s">
        <v>48</v>
      </c>
      <c r="K380" s="14" t="s">
        <v>28</v>
      </c>
      <c r="L380" s="14" t="s">
        <v>49</v>
      </c>
      <c r="M380" s="14" t="s">
        <v>64</v>
      </c>
      <c r="N380" s="17">
        <v>81216</v>
      </c>
      <c r="O380" s="17">
        <v>23817</v>
      </c>
      <c r="P380" s="18">
        <v>82.3</v>
      </c>
      <c r="Q380" s="15">
        <v>8</v>
      </c>
      <c r="R380" s="19">
        <v>14</v>
      </c>
      <c r="S380" s="19">
        <v>2</v>
      </c>
      <c r="T380" s="15">
        <v>14</v>
      </c>
      <c r="U380" s="19">
        <v>81</v>
      </c>
      <c r="V380" s="14" t="s">
        <v>31</v>
      </c>
      <c r="W380" s="14"/>
      <c r="X380" s="14">
        <f>IF(V380="Yes",1,0)</f>
        <v>0</v>
      </c>
      <c r="Y380" s="14">
        <f>IF(H380="Active",0,1)</f>
        <v>0</v>
      </c>
    </row>
    <row r="381" spans="1:25" ht="18" customHeight="1" x14ac:dyDescent="0.35">
      <c r="A381" s="14" t="s">
        <v>2194</v>
      </c>
      <c r="B381" s="14" t="s">
        <v>531</v>
      </c>
      <c r="C381" s="14" t="s">
        <v>34</v>
      </c>
      <c r="D381" s="15">
        <v>39</v>
      </c>
      <c r="E381" s="14" t="s">
        <v>86</v>
      </c>
      <c r="F381" s="14" t="s">
        <v>79</v>
      </c>
      <c r="G381" s="16">
        <v>45893</v>
      </c>
      <c r="H381" s="14" t="s">
        <v>26</v>
      </c>
      <c r="I381" s="14" t="s">
        <v>36</v>
      </c>
      <c r="J381" s="14" t="s">
        <v>2270</v>
      </c>
      <c r="K381" s="14" t="s">
        <v>2271</v>
      </c>
      <c r="L381" s="14" t="s">
        <v>29</v>
      </c>
      <c r="M381" s="14" t="s">
        <v>30</v>
      </c>
      <c r="N381" s="17">
        <v>185624</v>
      </c>
      <c r="O381" s="17">
        <v>13090</v>
      </c>
      <c r="P381" s="18">
        <v>81.400000000000006</v>
      </c>
      <c r="Q381" s="15">
        <v>6</v>
      </c>
      <c r="R381" s="19">
        <v>29</v>
      </c>
      <c r="S381" s="19">
        <v>4</v>
      </c>
      <c r="T381" s="15">
        <v>40</v>
      </c>
      <c r="U381" s="19">
        <v>66</v>
      </c>
      <c r="V381" s="14" t="s">
        <v>31</v>
      </c>
      <c r="W381" s="14"/>
      <c r="X381" s="14">
        <f>IF(V381="Yes",1,0)</f>
        <v>0</v>
      </c>
      <c r="Y381" s="14">
        <f>IF(H381="Active",0,1)</f>
        <v>0</v>
      </c>
    </row>
    <row r="382" spans="1:25" ht="18" customHeight="1" x14ac:dyDescent="0.35">
      <c r="A382" s="14" t="s">
        <v>2202</v>
      </c>
      <c r="B382" s="14" t="s">
        <v>591</v>
      </c>
      <c r="C382" s="14" t="s">
        <v>34</v>
      </c>
      <c r="D382" s="15">
        <v>33</v>
      </c>
      <c r="E382" s="14" t="s">
        <v>52</v>
      </c>
      <c r="F382" s="14" t="s">
        <v>90</v>
      </c>
      <c r="G382" s="16">
        <v>45893</v>
      </c>
      <c r="H382" s="14" t="s">
        <v>26</v>
      </c>
      <c r="I382" s="14" t="s">
        <v>36</v>
      </c>
      <c r="J382" s="14" t="s">
        <v>2268</v>
      </c>
      <c r="K382" s="14" t="s">
        <v>37</v>
      </c>
      <c r="L382" s="14" t="s">
        <v>38</v>
      </c>
      <c r="M382" s="14" t="s">
        <v>39</v>
      </c>
      <c r="N382" s="17">
        <v>168915</v>
      </c>
      <c r="O382" s="17">
        <v>28453</v>
      </c>
      <c r="P382" s="18">
        <v>80.599999999999994</v>
      </c>
      <c r="Q382" s="15">
        <v>5</v>
      </c>
      <c r="R382" s="19">
        <v>30</v>
      </c>
      <c r="S382" s="19">
        <v>1</v>
      </c>
      <c r="T382" s="15">
        <v>14</v>
      </c>
      <c r="U382" s="19">
        <v>84</v>
      </c>
      <c r="V382" s="14" t="s">
        <v>31</v>
      </c>
      <c r="W382" s="14"/>
      <c r="X382" s="14">
        <f>IF(V382="Yes",1,0)</f>
        <v>0</v>
      </c>
      <c r="Y382" s="14">
        <f>IF(H382="Active",0,1)</f>
        <v>0</v>
      </c>
    </row>
    <row r="383" spans="1:25" ht="18" customHeight="1" x14ac:dyDescent="0.35">
      <c r="A383" s="8" t="s">
        <v>1055</v>
      </c>
      <c r="B383" s="8" t="s">
        <v>267</v>
      </c>
      <c r="C383" s="8" t="s">
        <v>34</v>
      </c>
      <c r="D383" s="9">
        <v>56</v>
      </c>
      <c r="E383" s="8" t="s">
        <v>2304</v>
      </c>
      <c r="F383" s="8" t="s">
        <v>76</v>
      </c>
      <c r="G383" s="10">
        <v>45892</v>
      </c>
      <c r="H383" s="8" t="s">
        <v>26</v>
      </c>
      <c r="I383" s="8" t="s">
        <v>2267</v>
      </c>
      <c r="J383" s="8" t="s">
        <v>2270</v>
      </c>
      <c r="K383" s="8" t="s">
        <v>28</v>
      </c>
      <c r="L383" s="8" t="s">
        <v>49</v>
      </c>
      <c r="M383" s="8" t="s">
        <v>45</v>
      </c>
      <c r="N383" s="11">
        <v>36393</v>
      </c>
      <c r="O383" s="11">
        <v>28648</v>
      </c>
      <c r="P383" s="12">
        <v>83.5</v>
      </c>
      <c r="Q383" s="9">
        <v>2</v>
      </c>
      <c r="R383" s="13">
        <v>12</v>
      </c>
      <c r="S383" s="13">
        <v>1</v>
      </c>
      <c r="T383" s="9">
        <v>24</v>
      </c>
      <c r="U383" s="13">
        <v>73</v>
      </c>
      <c r="V383" s="8" t="s">
        <v>31</v>
      </c>
      <c r="W383" s="8"/>
      <c r="X383" s="22">
        <f>IF(V383="Yes",1,0)</f>
        <v>0</v>
      </c>
      <c r="Y383" s="22">
        <f>IF(H383="Active",0,1)</f>
        <v>0</v>
      </c>
    </row>
    <row r="384" spans="1:25" ht="18" customHeight="1" x14ac:dyDescent="0.35">
      <c r="A384" s="14" t="s">
        <v>1826</v>
      </c>
      <c r="B384" s="14" t="s">
        <v>581</v>
      </c>
      <c r="C384" s="14" t="s">
        <v>25</v>
      </c>
      <c r="D384" s="15">
        <v>50</v>
      </c>
      <c r="E384" s="14" t="s">
        <v>63</v>
      </c>
      <c r="F384" s="14" t="s">
        <v>53</v>
      </c>
      <c r="G384" s="16">
        <v>45892</v>
      </c>
      <c r="H384" s="14" t="s">
        <v>26</v>
      </c>
      <c r="I384" s="14" t="s">
        <v>2267</v>
      </c>
      <c r="J384" s="14" t="s">
        <v>80</v>
      </c>
      <c r="K384" s="14" t="s">
        <v>55</v>
      </c>
      <c r="L384" s="14" t="s">
        <v>68</v>
      </c>
      <c r="M384" s="14" t="s">
        <v>64</v>
      </c>
      <c r="N384" s="17">
        <v>146848</v>
      </c>
      <c r="O384" s="17">
        <v>17004</v>
      </c>
      <c r="P384" s="18">
        <v>92.1</v>
      </c>
      <c r="Q384" s="15">
        <v>4</v>
      </c>
      <c r="R384" s="19">
        <v>3</v>
      </c>
      <c r="S384" s="19">
        <v>2</v>
      </c>
      <c r="T384" s="15">
        <v>30</v>
      </c>
      <c r="U384" s="19">
        <v>95</v>
      </c>
      <c r="V384" s="14" t="s">
        <v>31</v>
      </c>
      <c r="W384" s="14"/>
      <c r="X384" s="14">
        <f>IF(V384="Yes",1,0)</f>
        <v>0</v>
      </c>
      <c r="Y384" s="14">
        <f>IF(H384="Active",0,1)</f>
        <v>0</v>
      </c>
    </row>
    <row r="385" spans="1:25" ht="18" customHeight="1" x14ac:dyDescent="0.35">
      <c r="A385" s="8" t="s">
        <v>1861</v>
      </c>
      <c r="B385" s="8" t="s">
        <v>218</v>
      </c>
      <c r="C385" s="8" t="s">
        <v>34</v>
      </c>
      <c r="D385" s="9">
        <v>53</v>
      </c>
      <c r="E385" s="8" t="s">
        <v>67</v>
      </c>
      <c r="F385" s="8" t="s">
        <v>12</v>
      </c>
      <c r="G385" s="10">
        <v>45892</v>
      </c>
      <c r="H385" s="8" t="s">
        <v>26</v>
      </c>
      <c r="I385" s="8" t="s">
        <v>2267</v>
      </c>
      <c r="J385" s="8" t="s">
        <v>2270</v>
      </c>
      <c r="K385" s="8" t="s">
        <v>28</v>
      </c>
      <c r="L385" s="8" t="s">
        <v>87</v>
      </c>
      <c r="M385" s="8" t="s">
        <v>30</v>
      </c>
      <c r="N385" s="11">
        <v>201338</v>
      </c>
      <c r="O385" s="11">
        <v>21082</v>
      </c>
      <c r="P385" s="12">
        <v>98.6</v>
      </c>
      <c r="Q385" s="9">
        <v>7</v>
      </c>
      <c r="R385" s="13">
        <v>24</v>
      </c>
      <c r="S385" s="13">
        <v>3</v>
      </c>
      <c r="T385" s="9">
        <v>39</v>
      </c>
      <c r="U385" s="13">
        <v>93</v>
      </c>
      <c r="V385" s="8" t="s">
        <v>31</v>
      </c>
      <c r="W385" s="8"/>
      <c r="X385" s="22">
        <f>IF(V385="Yes",1,0)</f>
        <v>0</v>
      </c>
      <c r="Y385" s="22">
        <f>IF(H385="Active",0,1)</f>
        <v>0</v>
      </c>
    </row>
    <row r="386" spans="1:25" ht="18" customHeight="1" x14ac:dyDescent="0.35">
      <c r="A386" s="14" t="s">
        <v>2156</v>
      </c>
      <c r="B386" s="14" t="s">
        <v>237</v>
      </c>
      <c r="C386" s="14" t="s">
        <v>34</v>
      </c>
      <c r="D386" s="15">
        <v>46</v>
      </c>
      <c r="E386" s="14" t="s">
        <v>109</v>
      </c>
      <c r="F386" s="14" t="s">
        <v>72</v>
      </c>
      <c r="G386" s="16">
        <v>45891</v>
      </c>
      <c r="H386" s="14" t="s">
        <v>26</v>
      </c>
      <c r="I386" s="14" t="s">
        <v>27</v>
      </c>
      <c r="J386" s="14" t="s">
        <v>2269</v>
      </c>
      <c r="K386" s="14" t="s">
        <v>73</v>
      </c>
      <c r="L386" s="14" t="s">
        <v>29</v>
      </c>
      <c r="M386" s="14" t="s">
        <v>45</v>
      </c>
      <c r="N386" s="17">
        <v>200902</v>
      </c>
      <c r="O386" s="17">
        <v>27763</v>
      </c>
      <c r="P386" s="18">
        <v>89.3</v>
      </c>
      <c r="Q386" s="15">
        <v>8</v>
      </c>
      <c r="R386" s="19">
        <v>26</v>
      </c>
      <c r="S386" s="19">
        <v>4</v>
      </c>
      <c r="T386" s="15">
        <v>2</v>
      </c>
      <c r="U386" s="19">
        <v>84</v>
      </c>
      <c r="V386" s="14" t="s">
        <v>31</v>
      </c>
      <c r="W386" s="14"/>
      <c r="X386" s="14">
        <f>IF(V386="Yes",1,0)</f>
        <v>0</v>
      </c>
      <c r="Y386" s="14">
        <f>IF(H386="Active",0,1)</f>
        <v>0</v>
      </c>
    </row>
    <row r="387" spans="1:25" ht="18" customHeight="1" x14ac:dyDescent="0.35">
      <c r="A387" s="14" t="s">
        <v>528</v>
      </c>
      <c r="B387" s="14" t="s">
        <v>302</v>
      </c>
      <c r="C387" s="14" t="s">
        <v>25</v>
      </c>
      <c r="D387" s="15">
        <v>26</v>
      </c>
      <c r="E387" s="14" t="s">
        <v>109</v>
      </c>
      <c r="F387" s="14" t="s">
        <v>90</v>
      </c>
      <c r="G387" s="16">
        <v>45890</v>
      </c>
      <c r="H387" s="14" t="s">
        <v>26</v>
      </c>
      <c r="I387" s="14" t="s">
        <v>27</v>
      </c>
      <c r="J387" s="14" t="s">
        <v>2270</v>
      </c>
      <c r="K387" s="14" t="s">
        <v>73</v>
      </c>
      <c r="L387" s="14" t="s">
        <v>116</v>
      </c>
      <c r="M387" s="14" t="s">
        <v>45</v>
      </c>
      <c r="N387" s="17">
        <v>37779</v>
      </c>
      <c r="O387" s="17">
        <v>6889</v>
      </c>
      <c r="P387" s="18">
        <v>93.3</v>
      </c>
      <c r="Q387" s="15">
        <v>0</v>
      </c>
      <c r="R387" s="19">
        <v>7</v>
      </c>
      <c r="S387" s="19">
        <v>3</v>
      </c>
      <c r="T387" s="15">
        <v>12</v>
      </c>
      <c r="U387" s="19">
        <v>86</v>
      </c>
      <c r="V387" s="14" t="s">
        <v>31</v>
      </c>
      <c r="W387" s="14"/>
      <c r="X387" s="14">
        <f>IF(V387="Yes",1,0)</f>
        <v>0</v>
      </c>
      <c r="Y387" s="14">
        <f>IF(H387="Active",0,1)</f>
        <v>0</v>
      </c>
    </row>
    <row r="388" spans="1:25" ht="18" customHeight="1" x14ac:dyDescent="0.35">
      <c r="A388" s="14" t="s">
        <v>1788</v>
      </c>
      <c r="B388" s="14" t="s">
        <v>160</v>
      </c>
      <c r="C388" s="14" t="s">
        <v>34</v>
      </c>
      <c r="D388" s="15">
        <v>28</v>
      </c>
      <c r="E388" s="14" t="s">
        <v>86</v>
      </c>
      <c r="F388" s="14" t="s">
        <v>76</v>
      </c>
      <c r="G388" s="16">
        <v>45890</v>
      </c>
      <c r="H388" s="14" t="s">
        <v>26</v>
      </c>
      <c r="I388" s="14" t="s">
        <v>36</v>
      </c>
      <c r="J388" s="14" t="s">
        <v>2269</v>
      </c>
      <c r="K388" s="14" t="s">
        <v>37</v>
      </c>
      <c r="L388" s="14" t="s">
        <v>56</v>
      </c>
      <c r="M388" s="14" t="s">
        <v>30</v>
      </c>
      <c r="N388" s="17">
        <v>60634</v>
      </c>
      <c r="O388" s="17">
        <v>31379</v>
      </c>
      <c r="P388" s="18">
        <v>94.2</v>
      </c>
      <c r="Q388" s="15">
        <v>5</v>
      </c>
      <c r="R388" s="19">
        <v>12</v>
      </c>
      <c r="S388" s="19">
        <v>1</v>
      </c>
      <c r="T388" s="15">
        <v>16</v>
      </c>
      <c r="U388" s="19">
        <v>99</v>
      </c>
      <c r="V388" s="14" t="s">
        <v>31</v>
      </c>
      <c r="W388" s="14"/>
      <c r="X388" s="14">
        <f>IF(V388="Yes",1,0)</f>
        <v>0</v>
      </c>
      <c r="Y388" s="14">
        <f>IF(H388="Active",0,1)</f>
        <v>0</v>
      </c>
    </row>
    <row r="389" spans="1:25" ht="18" customHeight="1" x14ac:dyDescent="0.35">
      <c r="A389" s="14" t="s">
        <v>1840</v>
      </c>
      <c r="B389" s="14" t="s">
        <v>157</v>
      </c>
      <c r="C389" s="14" t="s">
        <v>25</v>
      </c>
      <c r="D389" s="15">
        <v>23</v>
      </c>
      <c r="E389" s="14" t="s">
        <v>63</v>
      </c>
      <c r="F389" s="14" t="s">
        <v>53</v>
      </c>
      <c r="G389" s="16">
        <v>45890</v>
      </c>
      <c r="H389" s="14" t="s">
        <v>26</v>
      </c>
      <c r="I389" s="14" t="s">
        <v>36</v>
      </c>
      <c r="J389" s="14" t="s">
        <v>48</v>
      </c>
      <c r="K389" s="14" t="s">
        <v>73</v>
      </c>
      <c r="L389" s="14" t="s">
        <v>56</v>
      </c>
      <c r="M389" s="14" t="s">
        <v>64</v>
      </c>
      <c r="N389" s="17">
        <v>120802</v>
      </c>
      <c r="O389" s="17">
        <v>35357</v>
      </c>
      <c r="P389" s="18">
        <v>89.4</v>
      </c>
      <c r="Q389" s="15">
        <v>4</v>
      </c>
      <c r="R389" s="19">
        <v>13</v>
      </c>
      <c r="S389" s="19">
        <v>1</v>
      </c>
      <c r="T389" s="15">
        <v>10</v>
      </c>
      <c r="U389" s="19">
        <v>91</v>
      </c>
      <c r="V389" s="14" t="s">
        <v>31</v>
      </c>
      <c r="W389" s="14"/>
      <c r="X389" s="14">
        <f>IF(V389="Yes",1,0)</f>
        <v>0</v>
      </c>
      <c r="Y389" s="14">
        <f>IF(H389="Active",0,1)</f>
        <v>0</v>
      </c>
    </row>
    <row r="390" spans="1:25" ht="18" customHeight="1" x14ac:dyDescent="0.35">
      <c r="A390" s="8" t="s">
        <v>775</v>
      </c>
      <c r="B390" s="8" t="s">
        <v>516</v>
      </c>
      <c r="C390" s="8" t="s">
        <v>34</v>
      </c>
      <c r="D390" s="9">
        <v>43</v>
      </c>
      <c r="E390" s="8" t="s">
        <v>86</v>
      </c>
      <c r="F390" s="8" t="s">
        <v>79</v>
      </c>
      <c r="G390" s="10">
        <v>45889</v>
      </c>
      <c r="H390" s="8" t="s">
        <v>26</v>
      </c>
      <c r="I390" s="8" t="s">
        <v>2267</v>
      </c>
      <c r="J390" s="8" t="s">
        <v>2270</v>
      </c>
      <c r="K390" s="8" t="s">
        <v>2271</v>
      </c>
      <c r="L390" s="8" t="s">
        <v>29</v>
      </c>
      <c r="M390" s="8" t="s">
        <v>30</v>
      </c>
      <c r="N390" s="11">
        <v>89776</v>
      </c>
      <c r="O390" s="11">
        <v>49166</v>
      </c>
      <c r="P390" s="12">
        <v>97.1</v>
      </c>
      <c r="Q390" s="9">
        <v>2</v>
      </c>
      <c r="R390" s="13">
        <v>18</v>
      </c>
      <c r="S390" s="13">
        <v>3</v>
      </c>
      <c r="T390" s="9">
        <v>17</v>
      </c>
      <c r="U390" s="13">
        <v>93</v>
      </c>
      <c r="V390" s="8" t="s">
        <v>31</v>
      </c>
      <c r="W390" s="8"/>
      <c r="X390" s="22">
        <f>IF(V390="Yes",1,0)</f>
        <v>0</v>
      </c>
      <c r="Y390" s="22">
        <f>IF(H390="Active",0,1)</f>
        <v>0</v>
      </c>
    </row>
    <row r="391" spans="1:25" ht="18" customHeight="1" x14ac:dyDescent="0.35">
      <c r="A391" s="14" t="s">
        <v>1806</v>
      </c>
      <c r="B391" s="14" t="s">
        <v>379</v>
      </c>
      <c r="C391" s="14" t="s">
        <v>34</v>
      </c>
      <c r="D391" s="15">
        <v>30</v>
      </c>
      <c r="E391" s="14" t="s">
        <v>109</v>
      </c>
      <c r="F391" s="14" t="s">
        <v>12</v>
      </c>
      <c r="G391" s="16">
        <v>45889</v>
      </c>
      <c r="H391" s="14" t="s">
        <v>26</v>
      </c>
      <c r="I391" s="14" t="s">
        <v>2267</v>
      </c>
      <c r="J391" s="14" t="s">
        <v>2268</v>
      </c>
      <c r="K391" s="14" t="s">
        <v>2271</v>
      </c>
      <c r="L391" s="14" t="s">
        <v>56</v>
      </c>
      <c r="M391" s="14" t="s">
        <v>30</v>
      </c>
      <c r="N391" s="17">
        <v>66134</v>
      </c>
      <c r="O391" s="17">
        <v>38798</v>
      </c>
      <c r="P391" s="18">
        <v>82</v>
      </c>
      <c r="Q391" s="15">
        <v>3</v>
      </c>
      <c r="R391" s="19">
        <v>18</v>
      </c>
      <c r="S391" s="19">
        <v>2</v>
      </c>
      <c r="T391" s="15">
        <v>25</v>
      </c>
      <c r="U391" s="19">
        <v>70</v>
      </c>
      <c r="V391" s="14" t="s">
        <v>69</v>
      </c>
      <c r="W391" s="14"/>
      <c r="X391" s="14">
        <f>IF(V391="Yes",1,0)</f>
        <v>1</v>
      </c>
      <c r="Y391" s="14">
        <f>IF(H391="Active",0,1)</f>
        <v>0</v>
      </c>
    </row>
    <row r="392" spans="1:25" ht="18" customHeight="1" x14ac:dyDescent="0.35">
      <c r="A392" s="8" t="s">
        <v>2171</v>
      </c>
      <c r="B392" s="8" t="s">
        <v>443</v>
      </c>
      <c r="C392" s="8" t="s">
        <v>25</v>
      </c>
      <c r="D392" s="9">
        <v>41</v>
      </c>
      <c r="E392" s="8" t="s">
        <v>93</v>
      </c>
      <c r="F392" s="8" t="s">
        <v>43</v>
      </c>
      <c r="G392" s="10">
        <v>45888</v>
      </c>
      <c r="H392" s="8" t="s">
        <v>26</v>
      </c>
      <c r="I392" s="8" t="s">
        <v>2267</v>
      </c>
      <c r="J392" s="8" t="s">
        <v>80</v>
      </c>
      <c r="K392" s="8" t="s">
        <v>55</v>
      </c>
      <c r="L392" s="8" t="s">
        <v>68</v>
      </c>
      <c r="M392" s="8" t="s">
        <v>45</v>
      </c>
      <c r="N392" s="11">
        <v>134909</v>
      </c>
      <c r="O392" s="11">
        <v>8653</v>
      </c>
      <c r="P392" s="12">
        <v>93.1</v>
      </c>
      <c r="Q392" s="9">
        <v>4</v>
      </c>
      <c r="R392" s="13">
        <v>8</v>
      </c>
      <c r="S392" s="13">
        <v>4</v>
      </c>
      <c r="T392" s="9">
        <v>23</v>
      </c>
      <c r="U392" s="13">
        <v>82</v>
      </c>
      <c r="V392" s="8" t="s">
        <v>31</v>
      </c>
      <c r="W392" s="8"/>
      <c r="X392" s="22">
        <f>IF(V392="Yes",1,0)</f>
        <v>0</v>
      </c>
      <c r="Y392" s="22">
        <f>IF(H392="Active",0,1)</f>
        <v>0</v>
      </c>
    </row>
    <row r="393" spans="1:25" ht="18" customHeight="1" x14ac:dyDescent="0.35">
      <c r="A393" s="8" t="s">
        <v>501</v>
      </c>
      <c r="B393" s="8" t="s">
        <v>285</v>
      </c>
      <c r="C393" s="8" t="s">
        <v>34</v>
      </c>
      <c r="D393" s="9">
        <v>22</v>
      </c>
      <c r="E393" s="8" t="s">
        <v>52</v>
      </c>
      <c r="F393" s="8" t="s">
        <v>90</v>
      </c>
      <c r="G393" s="10">
        <v>45887</v>
      </c>
      <c r="H393" s="8" t="s">
        <v>26</v>
      </c>
      <c r="I393" s="8" t="s">
        <v>36</v>
      </c>
      <c r="J393" s="8" t="s">
        <v>2269</v>
      </c>
      <c r="K393" s="8" t="s">
        <v>2271</v>
      </c>
      <c r="L393" s="8" t="s">
        <v>29</v>
      </c>
      <c r="M393" s="8" t="s">
        <v>60</v>
      </c>
      <c r="N393" s="11">
        <v>203663</v>
      </c>
      <c r="O393" s="11">
        <v>32746</v>
      </c>
      <c r="P393" s="12">
        <v>96.1</v>
      </c>
      <c r="Q393" s="9">
        <v>8</v>
      </c>
      <c r="R393" s="13">
        <v>16</v>
      </c>
      <c r="S393" s="13">
        <v>3</v>
      </c>
      <c r="T393" s="9">
        <v>2</v>
      </c>
      <c r="U393" s="13">
        <v>75</v>
      </c>
      <c r="V393" s="8" t="s">
        <v>31</v>
      </c>
      <c r="W393" s="8"/>
      <c r="X393" s="22">
        <f>IF(V393="Yes",1,0)</f>
        <v>0</v>
      </c>
      <c r="Y393" s="22">
        <f>IF(H393="Active",0,1)</f>
        <v>0</v>
      </c>
    </row>
    <row r="394" spans="1:25" ht="18" customHeight="1" x14ac:dyDescent="0.35">
      <c r="A394" s="8" t="s">
        <v>1939</v>
      </c>
      <c r="B394" s="8" t="s">
        <v>240</v>
      </c>
      <c r="C394" s="8" t="s">
        <v>34</v>
      </c>
      <c r="D394" s="9">
        <v>47</v>
      </c>
      <c r="E394" s="8" t="s">
        <v>63</v>
      </c>
      <c r="F394" s="8" t="s">
        <v>90</v>
      </c>
      <c r="G394" s="10">
        <v>45887</v>
      </c>
      <c r="H394" s="8" t="s">
        <v>26</v>
      </c>
      <c r="I394" s="8" t="s">
        <v>36</v>
      </c>
      <c r="J394" s="8" t="s">
        <v>2270</v>
      </c>
      <c r="K394" s="8" t="s">
        <v>2271</v>
      </c>
      <c r="L394" s="8" t="s">
        <v>56</v>
      </c>
      <c r="M394" s="8" t="s">
        <v>39</v>
      </c>
      <c r="N394" s="11">
        <v>191044</v>
      </c>
      <c r="O394" s="11">
        <v>27357</v>
      </c>
      <c r="P394" s="12">
        <v>90.1</v>
      </c>
      <c r="Q394" s="9">
        <v>4</v>
      </c>
      <c r="R394" s="13">
        <v>27</v>
      </c>
      <c r="S394" s="13">
        <v>5</v>
      </c>
      <c r="T394" s="9">
        <v>2</v>
      </c>
      <c r="U394" s="13">
        <v>77</v>
      </c>
      <c r="V394" s="8" t="s">
        <v>31</v>
      </c>
      <c r="W394" s="8"/>
      <c r="X394" s="22">
        <f>IF(V394="Yes",1,0)</f>
        <v>0</v>
      </c>
      <c r="Y394" s="22">
        <f>IF(H394="Active",0,1)</f>
        <v>0</v>
      </c>
    </row>
    <row r="395" spans="1:25" ht="18" customHeight="1" x14ac:dyDescent="0.35">
      <c r="A395" s="8" t="s">
        <v>2201</v>
      </c>
      <c r="B395" s="8" t="s">
        <v>267</v>
      </c>
      <c r="C395" s="8" t="s">
        <v>25</v>
      </c>
      <c r="D395" s="9">
        <v>54</v>
      </c>
      <c r="E395" s="8" t="s">
        <v>2304</v>
      </c>
      <c r="F395" s="8" t="s">
        <v>43</v>
      </c>
      <c r="G395" s="10">
        <v>45887</v>
      </c>
      <c r="H395" s="8" t="s">
        <v>26</v>
      </c>
      <c r="I395" s="8" t="s">
        <v>2267</v>
      </c>
      <c r="J395" s="8" t="s">
        <v>2270</v>
      </c>
      <c r="K395" s="8" t="s">
        <v>28</v>
      </c>
      <c r="L395" s="8" t="s">
        <v>49</v>
      </c>
      <c r="M395" s="8" t="s">
        <v>64</v>
      </c>
      <c r="N395" s="11">
        <v>54118</v>
      </c>
      <c r="O395" s="11">
        <v>43519</v>
      </c>
      <c r="P395" s="12">
        <v>90.8</v>
      </c>
      <c r="Q395" s="9">
        <v>3</v>
      </c>
      <c r="R395" s="13">
        <v>14</v>
      </c>
      <c r="S395" s="13">
        <v>4</v>
      </c>
      <c r="T395" s="9">
        <v>33</v>
      </c>
      <c r="U395" s="13">
        <v>95</v>
      </c>
      <c r="V395" s="8" t="s">
        <v>69</v>
      </c>
      <c r="W395" s="8"/>
      <c r="X395" s="22">
        <f>IF(V395="Yes",1,0)</f>
        <v>1</v>
      </c>
      <c r="Y395" s="22">
        <f>IF(H395="Active",0,1)</f>
        <v>0</v>
      </c>
    </row>
    <row r="396" spans="1:25" ht="18" customHeight="1" x14ac:dyDescent="0.35">
      <c r="A396" s="8" t="s">
        <v>251</v>
      </c>
      <c r="B396" s="8" t="s">
        <v>252</v>
      </c>
      <c r="C396" s="8" t="s">
        <v>25</v>
      </c>
      <c r="D396" s="9">
        <v>60</v>
      </c>
      <c r="E396" s="8" t="s">
        <v>109</v>
      </c>
      <c r="F396" s="8" t="s">
        <v>43</v>
      </c>
      <c r="G396" s="10">
        <v>45886</v>
      </c>
      <c r="H396" s="8" t="s">
        <v>26</v>
      </c>
      <c r="I396" s="8" t="s">
        <v>36</v>
      </c>
      <c r="J396" s="8" t="s">
        <v>2269</v>
      </c>
      <c r="K396" s="8" t="s">
        <v>55</v>
      </c>
      <c r="L396" s="8" t="s">
        <v>38</v>
      </c>
      <c r="M396" s="8" t="s">
        <v>30</v>
      </c>
      <c r="N396" s="11">
        <v>77265</v>
      </c>
      <c r="O396" s="11">
        <v>43544</v>
      </c>
      <c r="P396" s="12">
        <v>94.7</v>
      </c>
      <c r="Q396" s="9">
        <v>2</v>
      </c>
      <c r="R396" s="13">
        <v>4</v>
      </c>
      <c r="S396" s="13">
        <v>5</v>
      </c>
      <c r="T396" s="9">
        <v>36</v>
      </c>
      <c r="U396" s="13">
        <v>86</v>
      </c>
      <c r="V396" s="8" t="s">
        <v>31</v>
      </c>
      <c r="W396" s="8"/>
      <c r="X396" s="22">
        <f>IF(V396="Yes",1,0)</f>
        <v>0</v>
      </c>
      <c r="Y396" s="22">
        <f>IF(H396="Active",0,1)</f>
        <v>0</v>
      </c>
    </row>
    <row r="397" spans="1:25" ht="18" customHeight="1" x14ac:dyDescent="0.35">
      <c r="A397" s="14" t="s">
        <v>346</v>
      </c>
      <c r="B397" s="14" t="s">
        <v>347</v>
      </c>
      <c r="C397" s="14" t="s">
        <v>25</v>
      </c>
      <c r="D397" s="15">
        <v>56</v>
      </c>
      <c r="E397" s="14" t="s">
        <v>2303</v>
      </c>
      <c r="F397" s="14" t="s">
        <v>79</v>
      </c>
      <c r="G397" s="16">
        <v>45886</v>
      </c>
      <c r="H397" s="14" t="s">
        <v>26</v>
      </c>
      <c r="I397" s="14" t="s">
        <v>27</v>
      </c>
      <c r="J397" s="14" t="s">
        <v>80</v>
      </c>
      <c r="K397" s="14" t="s">
        <v>73</v>
      </c>
      <c r="L397" s="14" t="s">
        <v>29</v>
      </c>
      <c r="M397" s="14" t="s">
        <v>39</v>
      </c>
      <c r="N397" s="17">
        <v>191916</v>
      </c>
      <c r="O397" s="17">
        <v>8974</v>
      </c>
      <c r="P397" s="18">
        <v>94.9</v>
      </c>
      <c r="Q397" s="15">
        <v>9</v>
      </c>
      <c r="R397" s="19">
        <v>26</v>
      </c>
      <c r="S397" s="19">
        <v>4</v>
      </c>
      <c r="T397" s="15">
        <v>35</v>
      </c>
      <c r="U397" s="19">
        <v>83</v>
      </c>
      <c r="V397" s="14" t="s">
        <v>31</v>
      </c>
      <c r="W397" s="14"/>
      <c r="X397" s="14">
        <f>IF(V397="Yes",1,0)</f>
        <v>0</v>
      </c>
      <c r="Y397" s="14">
        <f>IF(H397="Active",0,1)</f>
        <v>0</v>
      </c>
    </row>
    <row r="398" spans="1:25" ht="18" customHeight="1" x14ac:dyDescent="0.35">
      <c r="A398" s="8" t="s">
        <v>512</v>
      </c>
      <c r="B398" s="8" t="s">
        <v>179</v>
      </c>
      <c r="C398" s="8" t="s">
        <v>25</v>
      </c>
      <c r="D398" s="9">
        <v>45</v>
      </c>
      <c r="E398" s="8" t="s">
        <v>42</v>
      </c>
      <c r="F398" s="8" t="s">
        <v>72</v>
      </c>
      <c r="G398" s="10">
        <v>45886</v>
      </c>
      <c r="H398" s="8" t="s">
        <v>26</v>
      </c>
      <c r="I398" s="8" t="s">
        <v>36</v>
      </c>
      <c r="J398" s="8" t="s">
        <v>48</v>
      </c>
      <c r="K398" s="8" t="s">
        <v>55</v>
      </c>
      <c r="L398" s="8" t="s">
        <v>38</v>
      </c>
      <c r="M398" s="8" t="s">
        <v>39</v>
      </c>
      <c r="N398" s="11">
        <v>77015</v>
      </c>
      <c r="O398" s="11">
        <v>8572</v>
      </c>
      <c r="P398" s="12">
        <v>97.3</v>
      </c>
      <c r="Q398" s="9">
        <v>2</v>
      </c>
      <c r="R398" s="13">
        <v>27</v>
      </c>
      <c r="S398" s="13">
        <v>3</v>
      </c>
      <c r="T398" s="9">
        <v>4</v>
      </c>
      <c r="U398" s="13">
        <v>68</v>
      </c>
      <c r="V398" s="8" t="s">
        <v>31</v>
      </c>
      <c r="W398" s="8"/>
      <c r="X398" s="22">
        <f>IF(V398="Yes",1,0)</f>
        <v>0</v>
      </c>
      <c r="Y398" s="22">
        <f>IF(H398="Active",0,1)</f>
        <v>0</v>
      </c>
    </row>
    <row r="399" spans="1:25" ht="18" customHeight="1" x14ac:dyDescent="0.35">
      <c r="A399" s="14" t="s">
        <v>2150</v>
      </c>
      <c r="B399" s="14" t="s">
        <v>193</v>
      </c>
      <c r="C399" s="14" t="s">
        <v>34</v>
      </c>
      <c r="D399" s="15">
        <v>55</v>
      </c>
      <c r="E399" s="14" t="s">
        <v>86</v>
      </c>
      <c r="F399" s="14" t="s">
        <v>12</v>
      </c>
      <c r="G399" s="16">
        <v>45885</v>
      </c>
      <c r="H399" s="14" t="s">
        <v>26</v>
      </c>
      <c r="I399" s="14" t="s">
        <v>27</v>
      </c>
      <c r="J399" s="14" t="s">
        <v>2269</v>
      </c>
      <c r="K399" s="14" t="s">
        <v>55</v>
      </c>
      <c r="L399" s="14" t="s">
        <v>44</v>
      </c>
      <c r="M399" s="14" t="s">
        <v>39</v>
      </c>
      <c r="N399" s="17">
        <v>64732</v>
      </c>
      <c r="O399" s="17">
        <v>20618</v>
      </c>
      <c r="P399" s="18">
        <v>87.6</v>
      </c>
      <c r="Q399" s="15">
        <v>1</v>
      </c>
      <c r="R399" s="19">
        <v>1</v>
      </c>
      <c r="S399" s="19">
        <v>2</v>
      </c>
      <c r="T399" s="15">
        <v>11</v>
      </c>
      <c r="U399" s="19">
        <v>99</v>
      </c>
      <c r="V399" s="14" t="s">
        <v>31</v>
      </c>
      <c r="W399" s="14"/>
      <c r="X399" s="14">
        <f>IF(V399="Yes",1,0)</f>
        <v>0</v>
      </c>
      <c r="Y399" s="14">
        <f>IF(H399="Active",0,1)</f>
        <v>0</v>
      </c>
    </row>
    <row r="400" spans="1:25" ht="18" customHeight="1" x14ac:dyDescent="0.35">
      <c r="A400" s="8" t="s">
        <v>743</v>
      </c>
      <c r="B400" s="8" t="s">
        <v>173</v>
      </c>
      <c r="C400" s="8" t="s">
        <v>25</v>
      </c>
      <c r="D400" s="9">
        <v>34</v>
      </c>
      <c r="E400" s="8" t="s">
        <v>2304</v>
      </c>
      <c r="F400" s="8" t="s">
        <v>12</v>
      </c>
      <c r="G400" s="10">
        <v>45884</v>
      </c>
      <c r="H400" s="8" t="s">
        <v>26</v>
      </c>
      <c r="I400" s="8" t="s">
        <v>27</v>
      </c>
      <c r="J400" s="8" t="s">
        <v>2268</v>
      </c>
      <c r="K400" s="8" t="s">
        <v>2271</v>
      </c>
      <c r="L400" s="8" t="s">
        <v>38</v>
      </c>
      <c r="M400" s="8" t="s">
        <v>39</v>
      </c>
      <c r="N400" s="11">
        <v>130653</v>
      </c>
      <c r="O400" s="11">
        <v>46973</v>
      </c>
      <c r="P400" s="12">
        <v>84.6</v>
      </c>
      <c r="Q400" s="9">
        <v>2</v>
      </c>
      <c r="R400" s="13">
        <v>16</v>
      </c>
      <c r="S400" s="13">
        <v>1</v>
      </c>
      <c r="T400" s="9">
        <v>25</v>
      </c>
      <c r="U400" s="13">
        <v>66</v>
      </c>
      <c r="V400" s="8" t="s">
        <v>69</v>
      </c>
      <c r="W400" s="8"/>
      <c r="X400" s="22">
        <f>IF(V400="Yes",1,0)</f>
        <v>1</v>
      </c>
      <c r="Y400" s="22">
        <f>IF(H400="Active",0,1)</f>
        <v>0</v>
      </c>
    </row>
    <row r="401" spans="1:25" ht="18" customHeight="1" x14ac:dyDescent="0.35">
      <c r="A401" s="8" t="s">
        <v>1467</v>
      </c>
      <c r="B401" s="8" t="s">
        <v>64</v>
      </c>
      <c r="C401" s="8" t="s">
        <v>25</v>
      </c>
      <c r="D401" s="9">
        <v>59</v>
      </c>
      <c r="E401" s="8" t="s">
        <v>42</v>
      </c>
      <c r="F401" s="8" t="s">
        <v>90</v>
      </c>
      <c r="G401" s="10">
        <v>45884</v>
      </c>
      <c r="H401" s="8" t="s">
        <v>26</v>
      </c>
      <c r="I401" s="8" t="s">
        <v>27</v>
      </c>
      <c r="J401" s="8" t="s">
        <v>2268</v>
      </c>
      <c r="K401" s="8" t="s">
        <v>55</v>
      </c>
      <c r="L401" s="8" t="s">
        <v>44</v>
      </c>
      <c r="M401" s="8" t="s">
        <v>60</v>
      </c>
      <c r="N401" s="11">
        <v>116036</v>
      </c>
      <c r="O401" s="11">
        <v>30467</v>
      </c>
      <c r="P401" s="12">
        <v>82.9</v>
      </c>
      <c r="Q401" s="9">
        <v>2</v>
      </c>
      <c r="R401" s="13">
        <v>14</v>
      </c>
      <c r="S401" s="13">
        <v>5</v>
      </c>
      <c r="T401" s="9">
        <v>11</v>
      </c>
      <c r="U401" s="13">
        <v>84</v>
      </c>
      <c r="V401" s="8" t="s">
        <v>31</v>
      </c>
      <c r="W401" s="8"/>
      <c r="X401" s="22">
        <f>IF(V401="Yes",1,0)</f>
        <v>0</v>
      </c>
      <c r="Y401" s="22">
        <f>IF(H401="Active",0,1)</f>
        <v>0</v>
      </c>
    </row>
    <row r="402" spans="1:25" ht="18" customHeight="1" x14ac:dyDescent="0.35">
      <c r="A402" s="8" t="s">
        <v>2069</v>
      </c>
      <c r="B402" s="8" t="s">
        <v>293</v>
      </c>
      <c r="C402" s="8" t="s">
        <v>25</v>
      </c>
      <c r="D402" s="9">
        <v>33</v>
      </c>
      <c r="E402" s="8" t="s">
        <v>52</v>
      </c>
      <c r="F402" s="8" t="s">
        <v>76</v>
      </c>
      <c r="G402" s="10">
        <v>45884</v>
      </c>
      <c r="H402" s="8" t="s">
        <v>26</v>
      </c>
      <c r="I402" s="8" t="s">
        <v>2267</v>
      </c>
      <c r="J402" s="8" t="s">
        <v>48</v>
      </c>
      <c r="K402" s="8" t="s">
        <v>28</v>
      </c>
      <c r="L402" s="8" t="s">
        <v>87</v>
      </c>
      <c r="M402" s="8" t="s">
        <v>30</v>
      </c>
      <c r="N402" s="11">
        <v>140161</v>
      </c>
      <c r="O402" s="11">
        <v>12285</v>
      </c>
      <c r="P402" s="12">
        <v>89.8</v>
      </c>
      <c r="Q402" s="9">
        <v>6</v>
      </c>
      <c r="R402" s="13">
        <v>18</v>
      </c>
      <c r="S402" s="13">
        <v>1</v>
      </c>
      <c r="T402" s="9">
        <v>7</v>
      </c>
      <c r="U402" s="13">
        <v>97</v>
      </c>
      <c r="V402" s="8" t="s">
        <v>31</v>
      </c>
      <c r="W402" s="8"/>
      <c r="X402" s="22">
        <f>IF(V402="Yes",1,0)</f>
        <v>0</v>
      </c>
      <c r="Y402" s="22">
        <f>IF(H402="Active",0,1)</f>
        <v>0</v>
      </c>
    </row>
    <row r="403" spans="1:25" ht="18" customHeight="1" x14ac:dyDescent="0.35">
      <c r="A403" s="8" t="s">
        <v>2231</v>
      </c>
      <c r="B403" s="8" t="s">
        <v>789</v>
      </c>
      <c r="C403" s="8" t="s">
        <v>34</v>
      </c>
      <c r="D403" s="9">
        <v>58</v>
      </c>
      <c r="E403" s="8" t="s">
        <v>93</v>
      </c>
      <c r="F403" s="8" t="s">
        <v>79</v>
      </c>
      <c r="G403" s="10">
        <v>45884</v>
      </c>
      <c r="H403" s="8" t="s">
        <v>26</v>
      </c>
      <c r="I403" s="8" t="s">
        <v>2267</v>
      </c>
      <c r="J403" s="8" t="s">
        <v>80</v>
      </c>
      <c r="K403" s="8" t="s">
        <v>37</v>
      </c>
      <c r="L403" s="8" t="s">
        <v>49</v>
      </c>
      <c r="M403" s="8" t="s">
        <v>64</v>
      </c>
      <c r="N403" s="11">
        <v>232574</v>
      </c>
      <c r="O403" s="11">
        <v>23035</v>
      </c>
      <c r="P403" s="12">
        <v>86</v>
      </c>
      <c r="Q403" s="9">
        <v>7</v>
      </c>
      <c r="R403" s="13">
        <v>6</v>
      </c>
      <c r="S403" s="13">
        <v>2</v>
      </c>
      <c r="T403" s="9">
        <v>8</v>
      </c>
      <c r="U403" s="13">
        <v>99</v>
      </c>
      <c r="V403" s="8" t="s">
        <v>31</v>
      </c>
      <c r="W403" s="8"/>
      <c r="X403" s="22">
        <f>IF(V403="Yes",1,0)</f>
        <v>0</v>
      </c>
      <c r="Y403" s="22">
        <f>IF(H403="Active",0,1)</f>
        <v>0</v>
      </c>
    </row>
    <row r="404" spans="1:25" ht="18" customHeight="1" x14ac:dyDescent="0.35">
      <c r="A404" s="14" t="s">
        <v>168</v>
      </c>
      <c r="B404" s="14" t="s">
        <v>169</v>
      </c>
      <c r="C404" s="14" t="s">
        <v>25</v>
      </c>
      <c r="D404" s="15">
        <v>50</v>
      </c>
      <c r="E404" s="14" t="s">
        <v>42</v>
      </c>
      <c r="F404" s="14" t="s">
        <v>12</v>
      </c>
      <c r="G404" s="16">
        <v>45883</v>
      </c>
      <c r="H404" s="14" t="s">
        <v>26</v>
      </c>
      <c r="I404" s="14" t="s">
        <v>2267</v>
      </c>
      <c r="J404" s="14" t="s">
        <v>2268</v>
      </c>
      <c r="K404" s="14" t="s">
        <v>28</v>
      </c>
      <c r="L404" s="14" t="s">
        <v>116</v>
      </c>
      <c r="M404" s="14" t="s">
        <v>45</v>
      </c>
      <c r="N404" s="17">
        <v>35247</v>
      </c>
      <c r="O404" s="17">
        <v>47995</v>
      </c>
      <c r="P404" s="18">
        <v>82.8</v>
      </c>
      <c r="Q404" s="15">
        <v>9</v>
      </c>
      <c r="R404" s="19">
        <v>2</v>
      </c>
      <c r="S404" s="19">
        <v>3</v>
      </c>
      <c r="T404" s="15">
        <v>25</v>
      </c>
      <c r="U404" s="19">
        <v>65</v>
      </c>
      <c r="V404" s="14" t="s">
        <v>31</v>
      </c>
      <c r="W404" s="14"/>
      <c r="X404" s="14">
        <f>IF(V404="Yes",1,0)</f>
        <v>0</v>
      </c>
      <c r="Y404" s="14">
        <f>IF(H404="Active",0,1)</f>
        <v>0</v>
      </c>
    </row>
    <row r="405" spans="1:25" ht="18" customHeight="1" x14ac:dyDescent="0.35">
      <c r="A405" s="14" t="s">
        <v>1620</v>
      </c>
      <c r="B405" s="14" t="s">
        <v>111</v>
      </c>
      <c r="C405" s="14" t="s">
        <v>34</v>
      </c>
      <c r="D405" s="15">
        <v>26</v>
      </c>
      <c r="E405" s="14" t="s">
        <v>93</v>
      </c>
      <c r="F405" s="14" t="s">
        <v>72</v>
      </c>
      <c r="G405" s="16">
        <v>45882</v>
      </c>
      <c r="H405" s="14" t="s">
        <v>26</v>
      </c>
      <c r="I405" s="14" t="s">
        <v>36</v>
      </c>
      <c r="J405" s="14" t="s">
        <v>2268</v>
      </c>
      <c r="K405" s="14" t="s">
        <v>28</v>
      </c>
      <c r="L405" s="14" t="s">
        <v>29</v>
      </c>
      <c r="M405" s="14" t="s">
        <v>64</v>
      </c>
      <c r="N405" s="17">
        <v>56463</v>
      </c>
      <c r="O405" s="17">
        <v>15042</v>
      </c>
      <c r="P405" s="18">
        <v>90</v>
      </c>
      <c r="Q405" s="15">
        <v>5</v>
      </c>
      <c r="R405" s="19">
        <v>15</v>
      </c>
      <c r="S405" s="19">
        <v>4</v>
      </c>
      <c r="T405" s="15">
        <v>4</v>
      </c>
      <c r="U405" s="19">
        <v>71</v>
      </c>
      <c r="V405" s="14" t="s">
        <v>31</v>
      </c>
      <c r="W405" s="14"/>
      <c r="X405" s="14">
        <f>IF(V405="Yes",1,0)</f>
        <v>0</v>
      </c>
      <c r="Y405" s="14">
        <f>IF(H405="Active",0,1)</f>
        <v>0</v>
      </c>
    </row>
    <row r="406" spans="1:25" ht="18" customHeight="1" x14ac:dyDescent="0.35">
      <c r="A406" s="8" t="s">
        <v>1847</v>
      </c>
      <c r="B406" s="8" t="s">
        <v>1235</v>
      </c>
      <c r="C406" s="8" t="s">
        <v>25</v>
      </c>
      <c r="D406" s="9">
        <v>53</v>
      </c>
      <c r="E406" s="8" t="s">
        <v>2303</v>
      </c>
      <c r="F406" s="8" t="s">
        <v>76</v>
      </c>
      <c r="G406" s="10">
        <v>45882</v>
      </c>
      <c r="H406" s="8" t="s">
        <v>26</v>
      </c>
      <c r="I406" s="8" t="s">
        <v>27</v>
      </c>
      <c r="J406" s="8" t="s">
        <v>2268</v>
      </c>
      <c r="K406" s="8" t="s">
        <v>73</v>
      </c>
      <c r="L406" s="8" t="s">
        <v>44</v>
      </c>
      <c r="M406" s="8" t="s">
        <v>60</v>
      </c>
      <c r="N406" s="11">
        <v>208387</v>
      </c>
      <c r="O406" s="11">
        <v>26625</v>
      </c>
      <c r="P406" s="12">
        <v>92.4</v>
      </c>
      <c r="Q406" s="9">
        <v>2</v>
      </c>
      <c r="R406" s="13">
        <v>16</v>
      </c>
      <c r="S406" s="13">
        <v>5</v>
      </c>
      <c r="T406" s="9">
        <v>21</v>
      </c>
      <c r="U406" s="13">
        <v>72</v>
      </c>
      <c r="V406" s="8" t="s">
        <v>31</v>
      </c>
      <c r="W406" s="8"/>
      <c r="X406" s="22">
        <f>IF(V406="Yes",1,0)</f>
        <v>0</v>
      </c>
      <c r="Y406" s="22">
        <f>IF(H406="Active",0,1)</f>
        <v>0</v>
      </c>
    </row>
    <row r="407" spans="1:25" ht="18" customHeight="1" x14ac:dyDescent="0.35">
      <c r="A407" s="14" t="s">
        <v>453</v>
      </c>
      <c r="B407" s="14" t="s">
        <v>454</v>
      </c>
      <c r="C407" s="14" t="s">
        <v>34</v>
      </c>
      <c r="D407" s="15">
        <v>56</v>
      </c>
      <c r="E407" s="14" t="s">
        <v>52</v>
      </c>
      <c r="F407" s="14" t="s">
        <v>76</v>
      </c>
      <c r="G407" s="16">
        <v>45881</v>
      </c>
      <c r="H407" s="14" t="s">
        <v>26</v>
      </c>
      <c r="I407" s="14" t="s">
        <v>36</v>
      </c>
      <c r="J407" s="14" t="s">
        <v>48</v>
      </c>
      <c r="K407" s="14" t="s">
        <v>2271</v>
      </c>
      <c r="L407" s="14" t="s">
        <v>44</v>
      </c>
      <c r="M407" s="14" t="s">
        <v>45</v>
      </c>
      <c r="N407" s="17">
        <v>189691</v>
      </c>
      <c r="O407" s="17">
        <v>16127</v>
      </c>
      <c r="P407" s="18">
        <v>81.099999999999994</v>
      </c>
      <c r="Q407" s="15">
        <v>1</v>
      </c>
      <c r="R407" s="19">
        <v>12</v>
      </c>
      <c r="S407" s="19">
        <v>2</v>
      </c>
      <c r="T407" s="15">
        <v>14</v>
      </c>
      <c r="U407" s="19">
        <v>82</v>
      </c>
      <c r="V407" s="14" t="s">
        <v>31</v>
      </c>
      <c r="W407" s="14"/>
      <c r="X407" s="14">
        <f>IF(V407="Yes",1,0)</f>
        <v>0</v>
      </c>
      <c r="Y407" s="14">
        <f>IF(H407="Active",0,1)</f>
        <v>0</v>
      </c>
    </row>
    <row r="408" spans="1:25" ht="18" customHeight="1" x14ac:dyDescent="0.35">
      <c r="A408" s="14" t="s">
        <v>772</v>
      </c>
      <c r="B408" s="14" t="s">
        <v>215</v>
      </c>
      <c r="C408" s="14" t="s">
        <v>25</v>
      </c>
      <c r="D408" s="15">
        <v>57</v>
      </c>
      <c r="E408" s="14" t="s">
        <v>93</v>
      </c>
      <c r="F408" s="14" t="s">
        <v>79</v>
      </c>
      <c r="G408" s="16">
        <v>45880</v>
      </c>
      <c r="H408" s="14" t="s">
        <v>26</v>
      </c>
      <c r="I408" s="14" t="s">
        <v>2267</v>
      </c>
      <c r="J408" s="14" t="s">
        <v>2268</v>
      </c>
      <c r="K408" s="14" t="s">
        <v>37</v>
      </c>
      <c r="L408" s="14" t="s">
        <v>44</v>
      </c>
      <c r="M408" s="14" t="s">
        <v>30</v>
      </c>
      <c r="N408" s="17">
        <v>101926</v>
      </c>
      <c r="O408" s="17">
        <v>17658</v>
      </c>
      <c r="P408" s="18">
        <v>84.6</v>
      </c>
      <c r="Q408" s="15">
        <v>1</v>
      </c>
      <c r="R408" s="19">
        <v>22</v>
      </c>
      <c r="S408" s="19">
        <v>3</v>
      </c>
      <c r="T408" s="15">
        <v>11</v>
      </c>
      <c r="U408" s="19">
        <v>70</v>
      </c>
      <c r="V408" s="14" t="s">
        <v>31</v>
      </c>
      <c r="W408" s="14"/>
      <c r="X408" s="14">
        <f>IF(V408="Yes",1,0)</f>
        <v>0</v>
      </c>
      <c r="Y408" s="14">
        <f>IF(H408="Active",0,1)</f>
        <v>0</v>
      </c>
    </row>
    <row r="409" spans="1:25" ht="18" customHeight="1" x14ac:dyDescent="0.35">
      <c r="A409" s="14" t="s">
        <v>1784</v>
      </c>
      <c r="B409" s="14" t="s">
        <v>537</v>
      </c>
      <c r="C409" s="14" t="s">
        <v>25</v>
      </c>
      <c r="D409" s="15">
        <v>27</v>
      </c>
      <c r="E409" s="14" t="s">
        <v>86</v>
      </c>
      <c r="F409" s="14" t="s">
        <v>76</v>
      </c>
      <c r="G409" s="16">
        <v>45880</v>
      </c>
      <c r="H409" s="14" t="s">
        <v>26</v>
      </c>
      <c r="I409" s="14" t="s">
        <v>36</v>
      </c>
      <c r="J409" s="14" t="s">
        <v>2270</v>
      </c>
      <c r="K409" s="14" t="s">
        <v>2271</v>
      </c>
      <c r="L409" s="14" t="s">
        <v>44</v>
      </c>
      <c r="M409" s="14" t="s">
        <v>30</v>
      </c>
      <c r="N409" s="17">
        <v>86353</v>
      </c>
      <c r="O409" s="17">
        <v>13098</v>
      </c>
      <c r="P409" s="18">
        <v>83.8</v>
      </c>
      <c r="Q409" s="15">
        <v>6</v>
      </c>
      <c r="R409" s="19">
        <v>12</v>
      </c>
      <c r="S409" s="19">
        <v>5</v>
      </c>
      <c r="T409" s="15">
        <v>4</v>
      </c>
      <c r="U409" s="19">
        <v>85</v>
      </c>
      <c r="V409" s="14" t="s">
        <v>31</v>
      </c>
      <c r="W409" s="14"/>
      <c r="X409" s="14">
        <f>IF(V409="Yes",1,0)</f>
        <v>0</v>
      </c>
      <c r="Y409" s="14">
        <f>IF(H409="Active",0,1)</f>
        <v>0</v>
      </c>
    </row>
    <row r="410" spans="1:25" ht="18" customHeight="1" x14ac:dyDescent="0.35">
      <c r="A410" s="14" t="s">
        <v>1444</v>
      </c>
      <c r="B410" s="14" t="s">
        <v>458</v>
      </c>
      <c r="C410" s="14" t="s">
        <v>25</v>
      </c>
      <c r="D410" s="15">
        <v>23</v>
      </c>
      <c r="E410" s="14" t="s">
        <v>52</v>
      </c>
      <c r="F410" s="14" t="s">
        <v>76</v>
      </c>
      <c r="G410" s="16">
        <v>45879</v>
      </c>
      <c r="H410" s="14" t="s">
        <v>26</v>
      </c>
      <c r="I410" s="14" t="s">
        <v>2267</v>
      </c>
      <c r="J410" s="14" t="s">
        <v>2268</v>
      </c>
      <c r="K410" s="14" t="s">
        <v>37</v>
      </c>
      <c r="L410" s="14" t="s">
        <v>116</v>
      </c>
      <c r="M410" s="14" t="s">
        <v>39</v>
      </c>
      <c r="N410" s="17">
        <v>39680</v>
      </c>
      <c r="O410" s="17">
        <v>39925</v>
      </c>
      <c r="P410" s="18">
        <v>90.3</v>
      </c>
      <c r="Q410" s="15">
        <v>3</v>
      </c>
      <c r="R410" s="19">
        <v>17</v>
      </c>
      <c r="S410" s="19">
        <v>3</v>
      </c>
      <c r="T410" s="15">
        <v>6</v>
      </c>
      <c r="U410" s="19">
        <v>84</v>
      </c>
      <c r="V410" s="14" t="s">
        <v>69</v>
      </c>
      <c r="W410" s="14"/>
      <c r="X410" s="14">
        <f>IF(V410="Yes",1,0)</f>
        <v>1</v>
      </c>
      <c r="Y410" s="14">
        <f>IF(H410="Active",0,1)</f>
        <v>0</v>
      </c>
    </row>
    <row r="411" spans="1:25" ht="18" customHeight="1" x14ac:dyDescent="0.35">
      <c r="A411" s="8" t="s">
        <v>1973</v>
      </c>
      <c r="B411" s="8" t="s">
        <v>341</v>
      </c>
      <c r="C411" s="8" t="s">
        <v>34</v>
      </c>
      <c r="D411" s="9">
        <v>25</v>
      </c>
      <c r="E411" s="8" t="s">
        <v>42</v>
      </c>
      <c r="F411" s="8" t="s">
        <v>90</v>
      </c>
      <c r="G411" s="10">
        <v>45879</v>
      </c>
      <c r="H411" s="8" t="s">
        <v>26</v>
      </c>
      <c r="I411" s="8" t="s">
        <v>2267</v>
      </c>
      <c r="J411" s="8" t="s">
        <v>48</v>
      </c>
      <c r="K411" s="8" t="s">
        <v>2271</v>
      </c>
      <c r="L411" s="8" t="s">
        <v>38</v>
      </c>
      <c r="M411" s="8" t="s">
        <v>45</v>
      </c>
      <c r="N411" s="11">
        <v>38706</v>
      </c>
      <c r="O411" s="11">
        <v>37305</v>
      </c>
      <c r="P411" s="12">
        <v>80.3</v>
      </c>
      <c r="Q411" s="9">
        <v>5</v>
      </c>
      <c r="R411" s="13">
        <v>30</v>
      </c>
      <c r="S411" s="13">
        <v>3</v>
      </c>
      <c r="T411" s="9">
        <v>32</v>
      </c>
      <c r="U411" s="13">
        <v>92</v>
      </c>
      <c r="V411" s="8" t="s">
        <v>31</v>
      </c>
      <c r="W411" s="8"/>
      <c r="X411" s="22">
        <f>IF(V411="Yes",1,0)</f>
        <v>0</v>
      </c>
      <c r="Y411" s="22">
        <f>IF(H411="Active",0,1)</f>
        <v>0</v>
      </c>
    </row>
    <row r="412" spans="1:25" ht="18" customHeight="1" x14ac:dyDescent="0.35">
      <c r="A412" s="14" t="s">
        <v>2226</v>
      </c>
      <c r="B412" s="14" t="s">
        <v>367</v>
      </c>
      <c r="C412" s="14" t="s">
        <v>25</v>
      </c>
      <c r="D412" s="15">
        <v>27</v>
      </c>
      <c r="E412" s="14" t="s">
        <v>2303</v>
      </c>
      <c r="F412" s="14" t="s">
        <v>43</v>
      </c>
      <c r="G412" s="16">
        <v>45879</v>
      </c>
      <c r="H412" s="14" t="s">
        <v>26</v>
      </c>
      <c r="I412" s="14" t="s">
        <v>27</v>
      </c>
      <c r="J412" s="14" t="s">
        <v>2268</v>
      </c>
      <c r="K412" s="14" t="s">
        <v>28</v>
      </c>
      <c r="L412" s="14" t="s">
        <v>68</v>
      </c>
      <c r="M412" s="14" t="s">
        <v>30</v>
      </c>
      <c r="N412" s="17">
        <v>213828</v>
      </c>
      <c r="O412" s="17">
        <v>13274</v>
      </c>
      <c r="P412" s="18">
        <v>98.9</v>
      </c>
      <c r="Q412" s="15">
        <v>0</v>
      </c>
      <c r="R412" s="19">
        <v>30</v>
      </c>
      <c r="S412" s="19">
        <v>2</v>
      </c>
      <c r="T412" s="15">
        <v>0</v>
      </c>
      <c r="U412" s="19">
        <v>87</v>
      </c>
      <c r="V412" s="14" t="s">
        <v>31</v>
      </c>
      <c r="W412" s="14"/>
      <c r="X412" s="14">
        <f>IF(V412="Yes",1,0)</f>
        <v>0</v>
      </c>
      <c r="Y412" s="14">
        <f>IF(H412="Active",0,1)</f>
        <v>0</v>
      </c>
    </row>
    <row r="413" spans="1:25" ht="18" customHeight="1" x14ac:dyDescent="0.35">
      <c r="A413" s="8" t="s">
        <v>334</v>
      </c>
      <c r="B413" s="8" t="s">
        <v>113</v>
      </c>
      <c r="C413" s="8" t="s">
        <v>34</v>
      </c>
      <c r="D413" s="9">
        <v>51</v>
      </c>
      <c r="E413" s="8" t="s">
        <v>52</v>
      </c>
      <c r="F413" s="8" t="s">
        <v>72</v>
      </c>
      <c r="G413" s="10">
        <v>45878</v>
      </c>
      <c r="H413" s="8" t="s">
        <v>26</v>
      </c>
      <c r="I413" s="8" t="s">
        <v>2267</v>
      </c>
      <c r="J413" s="8" t="s">
        <v>48</v>
      </c>
      <c r="K413" s="8" t="s">
        <v>37</v>
      </c>
      <c r="L413" s="8" t="s">
        <v>116</v>
      </c>
      <c r="M413" s="8" t="s">
        <v>39</v>
      </c>
      <c r="N413" s="11">
        <v>74321</v>
      </c>
      <c r="O413" s="11">
        <v>13642</v>
      </c>
      <c r="P413" s="12">
        <v>95.3</v>
      </c>
      <c r="Q413" s="9">
        <v>2</v>
      </c>
      <c r="R413" s="13">
        <v>28</v>
      </c>
      <c r="S413" s="13">
        <v>2</v>
      </c>
      <c r="T413" s="9">
        <v>3</v>
      </c>
      <c r="U413" s="13">
        <v>79</v>
      </c>
      <c r="V413" s="8" t="s">
        <v>31</v>
      </c>
      <c r="W413" s="8"/>
      <c r="X413" s="22">
        <f>IF(V413="Yes",1,0)</f>
        <v>0</v>
      </c>
      <c r="Y413" s="22">
        <f>IF(H413="Active",0,1)</f>
        <v>0</v>
      </c>
    </row>
    <row r="414" spans="1:25" ht="18" customHeight="1" x14ac:dyDescent="0.35">
      <c r="A414" s="8" t="s">
        <v>785</v>
      </c>
      <c r="B414" s="8" t="s">
        <v>718</v>
      </c>
      <c r="C414" s="8" t="s">
        <v>25</v>
      </c>
      <c r="D414" s="9">
        <v>43</v>
      </c>
      <c r="E414" s="8" t="s">
        <v>42</v>
      </c>
      <c r="F414" s="8" t="s">
        <v>53</v>
      </c>
      <c r="G414" s="10">
        <v>45878</v>
      </c>
      <c r="H414" s="8" t="s">
        <v>26</v>
      </c>
      <c r="I414" s="8" t="s">
        <v>27</v>
      </c>
      <c r="J414" s="8" t="s">
        <v>2270</v>
      </c>
      <c r="K414" s="8" t="s">
        <v>73</v>
      </c>
      <c r="L414" s="8" t="s">
        <v>29</v>
      </c>
      <c r="M414" s="8" t="s">
        <v>45</v>
      </c>
      <c r="N414" s="11">
        <v>228064</v>
      </c>
      <c r="O414" s="11">
        <v>6756</v>
      </c>
      <c r="P414" s="12">
        <v>92.7</v>
      </c>
      <c r="Q414" s="9">
        <v>4</v>
      </c>
      <c r="R414" s="13">
        <v>6</v>
      </c>
      <c r="S414" s="13">
        <v>5</v>
      </c>
      <c r="T414" s="9">
        <v>6</v>
      </c>
      <c r="U414" s="13">
        <v>89</v>
      </c>
      <c r="V414" s="8" t="s">
        <v>69</v>
      </c>
      <c r="W414" s="8"/>
      <c r="X414" s="22">
        <f>IF(V414="Yes",1,0)</f>
        <v>1</v>
      </c>
      <c r="Y414" s="22">
        <f>IF(H414="Active",0,1)</f>
        <v>0</v>
      </c>
    </row>
    <row r="415" spans="1:25" ht="18" customHeight="1" x14ac:dyDescent="0.35">
      <c r="A415" s="14" t="s">
        <v>1044</v>
      </c>
      <c r="B415" s="14" t="s">
        <v>33</v>
      </c>
      <c r="C415" s="14" t="s">
        <v>25</v>
      </c>
      <c r="D415" s="15">
        <v>52</v>
      </c>
      <c r="E415" s="14" t="s">
        <v>42</v>
      </c>
      <c r="F415" s="14" t="s">
        <v>43</v>
      </c>
      <c r="G415" s="16">
        <v>45878</v>
      </c>
      <c r="H415" s="14" t="s">
        <v>26</v>
      </c>
      <c r="I415" s="14" t="s">
        <v>2267</v>
      </c>
      <c r="J415" s="14" t="s">
        <v>80</v>
      </c>
      <c r="K415" s="14" t="s">
        <v>73</v>
      </c>
      <c r="L415" s="14" t="s">
        <v>68</v>
      </c>
      <c r="M415" s="14" t="s">
        <v>64</v>
      </c>
      <c r="N415" s="17">
        <v>37660</v>
      </c>
      <c r="O415" s="17">
        <v>21503</v>
      </c>
      <c r="P415" s="18">
        <v>86.1</v>
      </c>
      <c r="Q415" s="15">
        <v>5</v>
      </c>
      <c r="R415" s="19">
        <v>22</v>
      </c>
      <c r="S415" s="19">
        <v>5</v>
      </c>
      <c r="T415" s="15">
        <v>29</v>
      </c>
      <c r="U415" s="19">
        <v>74</v>
      </c>
      <c r="V415" s="14" t="s">
        <v>69</v>
      </c>
      <c r="W415" s="14"/>
      <c r="X415" s="14">
        <f>IF(V415="Yes",1,0)</f>
        <v>1</v>
      </c>
      <c r="Y415" s="14">
        <f>IF(H415="Active",0,1)</f>
        <v>0</v>
      </c>
    </row>
    <row r="416" spans="1:25" ht="18" customHeight="1" x14ac:dyDescent="0.35">
      <c r="A416" s="8" t="s">
        <v>1491</v>
      </c>
      <c r="B416" s="8" t="s">
        <v>291</v>
      </c>
      <c r="C416" s="8" t="s">
        <v>34</v>
      </c>
      <c r="D416" s="9">
        <v>33</v>
      </c>
      <c r="E416" s="8" t="s">
        <v>42</v>
      </c>
      <c r="F416" s="8" t="s">
        <v>12</v>
      </c>
      <c r="G416" s="10">
        <v>45877</v>
      </c>
      <c r="H416" s="8" t="s">
        <v>26</v>
      </c>
      <c r="I416" s="8" t="s">
        <v>27</v>
      </c>
      <c r="J416" s="8" t="s">
        <v>2268</v>
      </c>
      <c r="K416" s="8" t="s">
        <v>2271</v>
      </c>
      <c r="L416" s="8" t="s">
        <v>49</v>
      </c>
      <c r="M416" s="8" t="s">
        <v>64</v>
      </c>
      <c r="N416" s="11">
        <v>239793</v>
      </c>
      <c r="O416" s="11">
        <v>16740</v>
      </c>
      <c r="P416" s="12">
        <v>85.7</v>
      </c>
      <c r="Q416" s="9">
        <v>8</v>
      </c>
      <c r="R416" s="13">
        <v>27</v>
      </c>
      <c r="S416" s="13">
        <v>2</v>
      </c>
      <c r="T416" s="9">
        <v>21</v>
      </c>
      <c r="U416" s="13">
        <v>73</v>
      </c>
      <c r="V416" s="8" t="s">
        <v>31</v>
      </c>
      <c r="W416" s="8"/>
      <c r="X416" s="22">
        <f>IF(V416="Yes",1,0)</f>
        <v>0</v>
      </c>
      <c r="Y416" s="22">
        <f>IF(H416="Active",0,1)</f>
        <v>0</v>
      </c>
    </row>
    <row r="417" spans="1:25" ht="18" customHeight="1" x14ac:dyDescent="0.35">
      <c r="A417" s="8" t="s">
        <v>1871</v>
      </c>
      <c r="B417" s="8" t="s">
        <v>372</v>
      </c>
      <c r="C417" s="8" t="s">
        <v>25</v>
      </c>
      <c r="D417" s="9">
        <v>21</v>
      </c>
      <c r="E417" s="8" t="s">
        <v>109</v>
      </c>
      <c r="F417" s="8" t="s">
        <v>72</v>
      </c>
      <c r="G417" s="10">
        <v>45877</v>
      </c>
      <c r="H417" s="8" t="s">
        <v>26</v>
      </c>
      <c r="I417" s="8" t="s">
        <v>36</v>
      </c>
      <c r="J417" s="8" t="s">
        <v>2269</v>
      </c>
      <c r="K417" s="8" t="s">
        <v>55</v>
      </c>
      <c r="L417" s="8" t="s">
        <v>29</v>
      </c>
      <c r="M417" s="8" t="s">
        <v>60</v>
      </c>
      <c r="N417" s="11">
        <v>197803</v>
      </c>
      <c r="O417" s="11">
        <v>11903</v>
      </c>
      <c r="P417" s="12">
        <v>82.2</v>
      </c>
      <c r="Q417" s="9">
        <v>7</v>
      </c>
      <c r="R417" s="13">
        <v>14</v>
      </c>
      <c r="S417" s="13">
        <v>1</v>
      </c>
      <c r="T417" s="9">
        <v>19</v>
      </c>
      <c r="U417" s="13">
        <v>81</v>
      </c>
      <c r="V417" s="8" t="s">
        <v>31</v>
      </c>
      <c r="W417" s="8"/>
      <c r="X417" s="22">
        <f>IF(V417="Yes",1,0)</f>
        <v>0</v>
      </c>
      <c r="Y417" s="22">
        <f>IF(H417="Active",0,1)</f>
        <v>0</v>
      </c>
    </row>
    <row r="418" spans="1:25" ht="18" customHeight="1" x14ac:dyDescent="0.35">
      <c r="A418" s="8" t="s">
        <v>2013</v>
      </c>
      <c r="B418" s="8" t="s">
        <v>358</v>
      </c>
      <c r="C418" s="8" t="s">
        <v>25</v>
      </c>
      <c r="D418" s="9">
        <v>52</v>
      </c>
      <c r="E418" s="8" t="s">
        <v>67</v>
      </c>
      <c r="F418" s="8" t="s">
        <v>53</v>
      </c>
      <c r="G418" s="10">
        <v>45877</v>
      </c>
      <c r="H418" s="8" t="s">
        <v>26</v>
      </c>
      <c r="I418" s="8" t="s">
        <v>36</v>
      </c>
      <c r="J418" s="8" t="s">
        <v>2269</v>
      </c>
      <c r="K418" s="8" t="s">
        <v>2271</v>
      </c>
      <c r="L418" s="8" t="s">
        <v>56</v>
      </c>
      <c r="M418" s="8" t="s">
        <v>39</v>
      </c>
      <c r="N418" s="11">
        <v>74660</v>
      </c>
      <c r="O418" s="11">
        <v>37087</v>
      </c>
      <c r="P418" s="12">
        <v>87.8</v>
      </c>
      <c r="Q418" s="9">
        <v>10</v>
      </c>
      <c r="R418" s="13">
        <v>27</v>
      </c>
      <c r="S418" s="13">
        <v>1</v>
      </c>
      <c r="T418" s="9">
        <v>22</v>
      </c>
      <c r="U418" s="13">
        <v>74</v>
      </c>
      <c r="V418" s="8" t="s">
        <v>69</v>
      </c>
      <c r="W418" s="8"/>
      <c r="X418" s="22">
        <f>IF(V418="Yes",1,0)</f>
        <v>1</v>
      </c>
      <c r="Y418" s="22">
        <f>IF(H418="Active",0,1)</f>
        <v>0</v>
      </c>
    </row>
    <row r="419" spans="1:25" ht="18" customHeight="1" x14ac:dyDescent="0.35">
      <c r="A419" s="8" t="s">
        <v>1239</v>
      </c>
      <c r="B419" s="8" t="s">
        <v>661</v>
      </c>
      <c r="C419" s="8" t="s">
        <v>25</v>
      </c>
      <c r="D419" s="9">
        <v>25</v>
      </c>
      <c r="E419" s="8" t="s">
        <v>86</v>
      </c>
      <c r="F419" s="8" t="s">
        <v>43</v>
      </c>
      <c r="G419" s="10">
        <v>45876</v>
      </c>
      <c r="H419" s="8" t="s">
        <v>26</v>
      </c>
      <c r="I419" s="8" t="s">
        <v>27</v>
      </c>
      <c r="J419" s="8" t="s">
        <v>48</v>
      </c>
      <c r="K419" s="8" t="s">
        <v>55</v>
      </c>
      <c r="L419" s="8" t="s">
        <v>44</v>
      </c>
      <c r="M419" s="8" t="s">
        <v>64</v>
      </c>
      <c r="N419" s="11">
        <v>98617</v>
      </c>
      <c r="O419" s="11">
        <v>46675</v>
      </c>
      <c r="P419" s="12">
        <v>93.3</v>
      </c>
      <c r="Q419" s="9">
        <v>0</v>
      </c>
      <c r="R419" s="13">
        <v>7</v>
      </c>
      <c r="S419" s="13">
        <v>1</v>
      </c>
      <c r="T419" s="9">
        <v>11</v>
      </c>
      <c r="U419" s="13">
        <v>93</v>
      </c>
      <c r="V419" s="8" t="s">
        <v>31</v>
      </c>
      <c r="W419" s="8"/>
      <c r="X419" s="22">
        <f>IF(V419="Yes",1,0)</f>
        <v>0</v>
      </c>
      <c r="Y419" s="22">
        <f>IF(H419="Active",0,1)</f>
        <v>0</v>
      </c>
    </row>
    <row r="420" spans="1:25" ht="18" customHeight="1" x14ac:dyDescent="0.35">
      <c r="A420" s="8" t="s">
        <v>1633</v>
      </c>
      <c r="B420" s="8" t="s">
        <v>267</v>
      </c>
      <c r="C420" s="8" t="s">
        <v>34</v>
      </c>
      <c r="D420" s="9">
        <v>22</v>
      </c>
      <c r="E420" s="8" t="s">
        <v>109</v>
      </c>
      <c r="F420" s="8" t="s">
        <v>72</v>
      </c>
      <c r="G420" s="10">
        <v>45876</v>
      </c>
      <c r="H420" s="8" t="s">
        <v>54</v>
      </c>
      <c r="I420" s="8" t="s">
        <v>2267</v>
      </c>
      <c r="J420" s="8" t="s">
        <v>48</v>
      </c>
      <c r="K420" s="8" t="s">
        <v>55</v>
      </c>
      <c r="L420" s="8" t="s">
        <v>38</v>
      </c>
      <c r="M420" s="8" t="s">
        <v>45</v>
      </c>
      <c r="N420" s="11">
        <v>202491</v>
      </c>
      <c r="O420" s="11">
        <v>15649</v>
      </c>
      <c r="P420" s="12">
        <v>88.8</v>
      </c>
      <c r="Q420" s="9">
        <v>9</v>
      </c>
      <c r="R420" s="13">
        <v>13</v>
      </c>
      <c r="S420" s="13">
        <v>2</v>
      </c>
      <c r="T420" s="9">
        <v>38</v>
      </c>
      <c r="U420" s="13">
        <v>73</v>
      </c>
      <c r="V420" s="8" t="s">
        <v>31</v>
      </c>
      <c r="W420" s="8" t="s">
        <v>96</v>
      </c>
      <c r="X420" s="22">
        <f>IF(V420="Yes",1,0)</f>
        <v>0</v>
      </c>
      <c r="Y420" s="22">
        <f>IF(H420="Active",0,1)</f>
        <v>1</v>
      </c>
    </row>
    <row r="421" spans="1:25" ht="18" customHeight="1" x14ac:dyDescent="0.35">
      <c r="A421" s="8" t="s">
        <v>1947</v>
      </c>
      <c r="B421" s="8" t="s">
        <v>179</v>
      </c>
      <c r="C421" s="8" t="s">
        <v>25</v>
      </c>
      <c r="D421" s="9">
        <v>57</v>
      </c>
      <c r="E421" s="8" t="s">
        <v>63</v>
      </c>
      <c r="F421" s="8" t="s">
        <v>43</v>
      </c>
      <c r="G421" s="10">
        <v>45876</v>
      </c>
      <c r="H421" s="8" t="s">
        <v>26</v>
      </c>
      <c r="I421" s="8" t="s">
        <v>27</v>
      </c>
      <c r="J421" s="8" t="s">
        <v>48</v>
      </c>
      <c r="K421" s="8" t="s">
        <v>2271</v>
      </c>
      <c r="L421" s="8" t="s">
        <v>116</v>
      </c>
      <c r="M421" s="8" t="s">
        <v>64</v>
      </c>
      <c r="N421" s="11">
        <v>166192</v>
      </c>
      <c r="O421" s="11">
        <v>44948</v>
      </c>
      <c r="P421" s="12">
        <v>87.1</v>
      </c>
      <c r="Q421" s="9">
        <v>9</v>
      </c>
      <c r="R421" s="13">
        <v>11</v>
      </c>
      <c r="S421" s="13">
        <v>3</v>
      </c>
      <c r="T421" s="9">
        <v>33</v>
      </c>
      <c r="U421" s="13">
        <v>94</v>
      </c>
      <c r="V421" s="8" t="s">
        <v>31</v>
      </c>
      <c r="W421" s="8"/>
      <c r="X421" s="22">
        <f>IF(V421="Yes",1,0)</f>
        <v>0</v>
      </c>
      <c r="Y421" s="22">
        <f>IF(H421="Active",0,1)</f>
        <v>0</v>
      </c>
    </row>
    <row r="422" spans="1:25" ht="18" customHeight="1" x14ac:dyDescent="0.35">
      <c r="A422" s="14" t="s">
        <v>2176</v>
      </c>
      <c r="B422" s="14" t="s">
        <v>142</v>
      </c>
      <c r="C422" s="14" t="s">
        <v>25</v>
      </c>
      <c r="D422" s="15">
        <v>21</v>
      </c>
      <c r="E422" s="14" t="s">
        <v>63</v>
      </c>
      <c r="F422" s="14" t="s">
        <v>43</v>
      </c>
      <c r="G422" s="16">
        <v>45876</v>
      </c>
      <c r="H422" s="14" t="s">
        <v>26</v>
      </c>
      <c r="I422" s="14" t="s">
        <v>2267</v>
      </c>
      <c r="J422" s="14" t="s">
        <v>2269</v>
      </c>
      <c r="K422" s="14" t="s">
        <v>2271</v>
      </c>
      <c r="L422" s="14" t="s">
        <v>29</v>
      </c>
      <c r="M422" s="14" t="s">
        <v>39</v>
      </c>
      <c r="N422" s="17">
        <v>219746</v>
      </c>
      <c r="O422" s="17">
        <v>29748</v>
      </c>
      <c r="P422" s="18">
        <v>88.4</v>
      </c>
      <c r="Q422" s="15">
        <v>2</v>
      </c>
      <c r="R422" s="19">
        <v>10</v>
      </c>
      <c r="S422" s="19">
        <v>4</v>
      </c>
      <c r="T422" s="15">
        <v>5</v>
      </c>
      <c r="U422" s="19">
        <v>65</v>
      </c>
      <c r="V422" s="14" t="s">
        <v>31</v>
      </c>
      <c r="W422" s="14"/>
      <c r="X422" s="14">
        <f>IF(V422="Yes",1,0)</f>
        <v>0</v>
      </c>
      <c r="Y422" s="14">
        <f>IF(H422="Active",0,1)</f>
        <v>0</v>
      </c>
    </row>
    <row r="423" spans="1:25" ht="18" customHeight="1" x14ac:dyDescent="0.35">
      <c r="A423" s="14" t="s">
        <v>1258</v>
      </c>
      <c r="B423" s="14" t="s">
        <v>454</v>
      </c>
      <c r="C423" s="14" t="s">
        <v>25</v>
      </c>
      <c r="D423" s="15">
        <v>32</v>
      </c>
      <c r="E423" s="14" t="s">
        <v>86</v>
      </c>
      <c r="F423" s="14" t="s">
        <v>53</v>
      </c>
      <c r="G423" s="16">
        <v>45875</v>
      </c>
      <c r="H423" s="14" t="s">
        <v>26</v>
      </c>
      <c r="I423" s="14" t="s">
        <v>36</v>
      </c>
      <c r="J423" s="14" t="s">
        <v>2269</v>
      </c>
      <c r="K423" s="14" t="s">
        <v>73</v>
      </c>
      <c r="L423" s="14" t="s">
        <v>116</v>
      </c>
      <c r="M423" s="14" t="s">
        <v>64</v>
      </c>
      <c r="N423" s="17">
        <v>223421</v>
      </c>
      <c r="O423" s="17">
        <v>30059</v>
      </c>
      <c r="P423" s="18">
        <v>91</v>
      </c>
      <c r="Q423" s="15">
        <v>4</v>
      </c>
      <c r="R423" s="19">
        <v>22</v>
      </c>
      <c r="S423" s="19">
        <v>1</v>
      </c>
      <c r="T423" s="15">
        <v>11</v>
      </c>
      <c r="U423" s="19">
        <v>89</v>
      </c>
      <c r="V423" s="14" t="s">
        <v>31</v>
      </c>
      <c r="W423" s="14"/>
      <c r="X423" s="14">
        <f>IF(V423="Yes",1,0)</f>
        <v>0</v>
      </c>
      <c r="Y423" s="14">
        <f>IF(H423="Active",0,1)</f>
        <v>0</v>
      </c>
    </row>
    <row r="424" spans="1:25" ht="18" customHeight="1" x14ac:dyDescent="0.35">
      <c r="A424" s="8" t="s">
        <v>1081</v>
      </c>
      <c r="B424" s="8" t="s">
        <v>358</v>
      </c>
      <c r="C424" s="8" t="s">
        <v>25</v>
      </c>
      <c r="D424" s="9">
        <v>57</v>
      </c>
      <c r="E424" s="8" t="s">
        <v>2304</v>
      </c>
      <c r="F424" s="8" t="s">
        <v>43</v>
      </c>
      <c r="G424" s="10">
        <v>45874</v>
      </c>
      <c r="H424" s="8" t="s">
        <v>26</v>
      </c>
      <c r="I424" s="8" t="s">
        <v>27</v>
      </c>
      <c r="J424" s="8" t="s">
        <v>80</v>
      </c>
      <c r="K424" s="8" t="s">
        <v>2271</v>
      </c>
      <c r="L424" s="8" t="s">
        <v>38</v>
      </c>
      <c r="M424" s="8" t="s">
        <v>30</v>
      </c>
      <c r="N424" s="11">
        <v>50988</v>
      </c>
      <c r="O424" s="11">
        <v>36373</v>
      </c>
      <c r="P424" s="12">
        <v>84.4</v>
      </c>
      <c r="Q424" s="9">
        <v>7</v>
      </c>
      <c r="R424" s="13">
        <v>7</v>
      </c>
      <c r="S424" s="13">
        <v>3</v>
      </c>
      <c r="T424" s="9">
        <v>34</v>
      </c>
      <c r="U424" s="13">
        <v>78</v>
      </c>
      <c r="V424" s="8" t="s">
        <v>31</v>
      </c>
      <c r="W424" s="8"/>
      <c r="X424" s="22">
        <f>IF(V424="Yes",1,0)</f>
        <v>0</v>
      </c>
      <c r="Y424" s="22">
        <f>IF(H424="Active",0,1)</f>
        <v>0</v>
      </c>
    </row>
    <row r="425" spans="1:25" ht="18" customHeight="1" x14ac:dyDescent="0.35">
      <c r="A425" s="8" t="s">
        <v>1443</v>
      </c>
      <c r="B425" s="8" t="s">
        <v>175</v>
      </c>
      <c r="C425" s="8" t="s">
        <v>25</v>
      </c>
      <c r="D425" s="9">
        <v>39</v>
      </c>
      <c r="E425" s="8" t="s">
        <v>52</v>
      </c>
      <c r="F425" s="8" t="s">
        <v>72</v>
      </c>
      <c r="G425" s="10">
        <v>45874</v>
      </c>
      <c r="H425" s="8" t="s">
        <v>54</v>
      </c>
      <c r="I425" s="8" t="s">
        <v>2267</v>
      </c>
      <c r="J425" s="8" t="s">
        <v>48</v>
      </c>
      <c r="K425" s="8" t="s">
        <v>2271</v>
      </c>
      <c r="L425" s="8" t="s">
        <v>68</v>
      </c>
      <c r="M425" s="8" t="s">
        <v>30</v>
      </c>
      <c r="N425" s="11">
        <v>210930</v>
      </c>
      <c r="O425" s="11">
        <v>12616</v>
      </c>
      <c r="P425" s="12">
        <v>83.7</v>
      </c>
      <c r="Q425" s="9">
        <v>7</v>
      </c>
      <c r="R425" s="13">
        <v>15</v>
      </c>
      <c r="S425" s="13">
        <v>3</v>
      </c>
      <c r="T425" s="9">
        <v>26</v>
      </c>
      <c r="U425" s="13">
        <v>79</v>
      </c>
      <c r="V425" s="8" t="s">
        <v>31</v>
      </c>
      <c r="W425" s="8" t="s">
        <v>83</v>
      </c>
      <c r="X425" s="22">
        <f>IF(V425="Yes",1,0)</f>
        <v>0</v>
      </c>
      <c r="Y425" s="22">
        <f>IF(H425="Active",0,1)</f>
        <v>1</v>
      </c>
    </row>
    <row r="426" spans="1:25" ht="18" customHeight="1" x14ac:dyDescent="0.35">
      <c r="A426" s="14" t="s">
        <v>1990</v>
      </c>
      <c r="B426" s="14" t="s">
        <v>390</v>
      </c>
      <c r="C426" s="14" t="s">
        <v>25</v>
      </c>
      <c r="D426" s="15">
        <v>47</v>
      </c>
      <c r="E426" s="14" t="s">
        <v>86</v>
      </c>
      <c r="F426" s="14" t="s">
        <v>79</v>
      </c>
      <c r="G426" s="16">
        <v>45873</v>
      </c>
      <c r="H426" s="14" t="s">
        <v>26</v>
      </c>
      <c r="I426" s="14" t="s">
        <v>36</v>
      </c>
      <c r="J426" s="14" t="s">
        <v>2268</v>
      </c>
      <c r="K426" s="14" t="s">
        <v>37</v>
      </c>
      <c r="L426" s="14" t="s">
        <v>29</v>
      </c>
      <c r="M426" s="14" t="s">
        <v>30</v>
      </c>
      <c r="N426" s="17">
        <v>245684</v>
      </c>
      <c r="O426" s="17">
        <v>22084</v>
      </c>
      <c r="P426" s="18">
        <v>88.2</v>
      </c>
      <c r="Q426" s="15">
        <v>4</v>
      </c>
      <c r="R426" s="19">
        <v>11</v>
      </c>
      <c r="S426" s="19">
        <v>5</v>
      </c>
      <c r="T426" s="15">
        <v>18</v>
      </c>
      <c r="U426" s="19">
        <v>73</v>
      </c>
      <c r="V426" s="14" t="s">
        <v>31</v>
      </c>
      <c r="W426" s="14"/>
      <c r="X426" s="14">
        <f>IF(V426="Yes",1,0)</f>
        <v>0</v>
      </c>
      <c r="Y426" s="14">
        <f>IF(H426="Active",0,1)</f>
        <v>0</v>
      </c>
    </row>
    <row r="427" spans="1:25" ht="18" customHeight="1" x14ac:dyDescent="0.35">
      <c r="A427" s="8" t="s">
        <v>1367</v>
      </c>
      <c r="B427" s="8" t="s">
        <v>175</v>
      </c>
      <c r="C427" s="8" t="s">
        <v>34</v>
      </c>
      <c r="D427" s="9">
        <v>31</v>
      </c>
      <c r="E427" s="8" t="s">
        <v>42</v>
      </c>
      <c r="F427" s="8" t="s">
        <v>35</v>
      </c>
      <c r="G427" s="10">
        <v>45872</v>
      </c>
      <c r="H427" s="8" t="s">
        <v>26</v>
      </c>
      <c r="I427" s="8" t="s">
        <v>27</v>
      </c>
      <c r="J427" s="8" t="s">
        <v>2270</v>
      </c>
      <c r="K427" s="8" t="s">
        <v>2271</v>
      </c>
      <c r="L427" s="8" t="s">
        <v>87</v>
      </c>
      <c r="M427" s="8" t="s">
        <v>39</v>
      </c>
      <c r="N427" s="11">
        <v>81695</v>
      </c>
      <c r="O427" s="11">
        <v>47647</v>
      </c>
      <c r="P427" s="12">
        <v>95.5</v>
      </c>
      <c r="Q427" s="9">
        <v>6</v>
      </c>
      <c r="R427" s="13">
        <v>2</v>
      </c>
      <c r="S427" s="13">
        <v>3</v>
      </c>
      <c r="T427" s="9">
        <v>38</v>
      </c>
      <c r="U427" s="13">
        <v>65</v>
      </c>
      <c r="V427" s="8" t="s">
        <v>31</v>
      </c>
      <c r="W427" s="8"/>
      <c r="X427" s="22">
        <f>IF(V427="Yes",1,0)</f>
        <v>0</v>
      </c>
      <c r="Y427" s="22">
        <f>IF(H427="Active",0,1)</f>
        <v>0</v>
      </c>
    </row>
    <row r="428" spans="1:25" ht="18" customHeight="1" x14ac:dyDescent="0.35">
      <c r="A428" s="14" t="s">
        <v>1984</v>
      </c>
      <c r="B428" s="14" t="s">
        <v>250</v>
      </c>
      <c r="C428" s="14" t="s">
        <v>25</v>
      </c>
      <c r="D428" s="15">
        <v>36</v>
      </c>
      <c r="E428" s="14" t="s">
        <v>2304</v>
      </c>
      <c r="F428" s="14" t="s">
        <v>76</v>
      </c>
      <c r="G428" s="16">
        <v>45871</v>
      </c>
      <c r="H428" s="14" t="s">
        <v>54</v>
      </c>
      <c r="I428" s="14" t="s">
        <v>2267</v>
      </c>
      <c r="J428" s="14" t="s">
        <v>2270</v>
      </c>
      <c r="K428" s="14" t="s">
        <v>2271</v>
      </c>
      <c r="L428" s="14" t="s">
        <v>56</v>
      </c>
      <c r="M428" s="14" t="s">
        <v>60</v>
      </c>
      <c r="N428" s="17">
        <v>138690</v>
      </c>
      <c r="O428" s="17">
        <v>13479</v>
      </c>
      <c r="P428" s="18">
        <v>95.4</v>
      </c>
      <c r="Q428" s="15">
        <v>2</v>
      </c>
      <c r="R428" s="19">
        <v>18</v>
      </c>
      <c r="S428" s="19">
        <v>2</v>
      </c>
      <c r="T428" s="15">
        <v>2</v>
      </c>
      <c r="U428" s="19">
        <v>66</v>
      </c>
      <c r="V428" s="14" t="s">
        <v>31</v>
      </c>
      <c r="W428" s="14" t="s">
        <v>96</v>
      </c>
      <c r="X428" s="14">
        <f>IF(V428="Yes",1,0)</f>
        <v>0</v>
      </c>
      <c r="Y428" s="14">
        <f>IF(H428="Active",0,1)</f>
        <v>1</v>
      </c>
    </row>
    <row r="429" spans="1:25" ht="18" customHeight="1" x14ac:dyDescent="0.35">
      <c r="A429" s="14" t="s">
        <v>541</v>
      </c>
      <c r="B429" s="14" t="s">
        <v>475</v>
      </c>
      <c r="C429" s="14" t="s">
        <v>34</v>
      </c>
      <c r="D429" s="15">
        <v>55</v>
      </c>
      <c r="E429" s="14" t="s">
        <v>2304</v>
      </c>
      <c r="F429" s="14" t="s">
        <v>12</v>
      </c>
      <c r="G429" s="16">
        <v>45870</v>
      </c>
      <c r="H429" s="14" t="s">
        <v>26</v>
      </c>
      <c r="I429" s="14" t="s">
        <v>27</v>
      </c>
      <c r="J429" s="14" t="s">
        <v>2268</v>
      </c>
      <c r="K429" s="14" t="s">
        <v>2271</v>
      </c>
      <c r="L429" s="14" t="s">
        <v>116</v>
      </c>
      <c r="M429" s="14" t="s">
        <v>64</v>
      </c>
      <c r="N429" s="17">
        <v>159138</v>
      </c>
      <c r="O429" s="17">
        <v>46429</v>
      </c>
      <c r="P429" s="18">
        <v>98.5</v>
      </c>
      <c r="Q429" s="15">
        <v>4</v>
      </c>
      <c r="R429" s="19">
        <v>29</v>
      </c>
      <c r="S429" s="19">
        <v>5</v>
      </c>
      <c r="T429" s="15">
        <v>31</v>
      </c>
      <c r="U429" s="19">
        <v>60</v>
      </c>
      <c r="V429" s="14" t="s">
        <v>31</v>
      </c>
      <c r="W429" s="14"/>
      <c r="X429" s="14">
        <f>IF(V429="Yes",1,0)</f>
        <v>0</v>
      </c>
      <c r="Y429" s="14">
        <f>IF(H429="Active",0,1)</f>
        <v>0</v>
      </c>
    </row>
    <row r="430" spans="1:25" ht="18" customHeight="1" x14ac:dyDescent="0.35">
      <c r="A430" s="14" t="s">
        <v>1306</v>
      </c>
      <c r="B430" s="14" t="s">
        <v>215</v>
      </c>
      <c r="C430" s="14" t="s">
        <v>34</v>
      </c>
      <c r="D430" s="15">
        <v>53</v>
      </c>
      <c r="E430" s="14" t="s">
        <v>67</v>
      </c>
      <c r="F430" s="14" t="s">
        <v>76</v>
      </c>
      <c r="G430" s="16">
        <v>45870</v>
      </c>
      <c r="H430" s="14" t="s">
        <v>54</v>
      </c>
      <c r="I430" s="14" t="s">
        <v>36</v>
      </c>
      <c r="J430" s="14" t="s">
        <v>2270</v>
      </c>
      <c r="K430" s="14" t="s">
        <v>73</v>
      </c>
      <c r="L430" s="14" t="s">
        <v>56</v>
      </c>
      <c r="M430" s="14" t="s">
        <v>30</v>
      </c>
      <c r="N430" s="17">
        <v>220179</v>
      </c>
      <c r="O430" s="17">
        <v>36996</v>
      </c>
      <c r="P430" s="18">
        <v>81.900000000000006</v>
      </c>
      <c r="Q430" s="15">
        <v>2</v>
      </c>
      <c r="R430" s="19">
        <v>13</v>
      </c>
      <c r="S430" s="19">
        <v>5</v>
      </c>
      <c r="T430" s="15">
        <v>26</v>
      </c>
      <c r="U430" s="19">
        <v>83</v>
      </c>
      <c r="V430" s="14" t="s">
        <v>69</v>
      </c>
      <c r="W430" s="14" t="s">
        <v>96</v>
      </c>
      <c r="X430" s="14">
        <f>IF(V430="Yes",1,0)</f>
        <v>1</v>
      </c>
      <c r="Y430" s="14">
        <f>IF(H430="Active",0,1)</f>
        <v>1</v>
      </c>
    </row>
    <row r="431" spans="1:25" ht="18" customHeight="1" x14ac:dyDescent="0.35">
      <c r="A431" s="14" t="s">
        <v>1776</v>
      </c>
      <c r="B431" s="14" t="s">
        <v>288</v>
      </c>
      <c r="C431" s="14" t="s">
        <v>34</v>
      </c>
      <c r="D431" s="15">
        <v>40</v>
      </c>
      <c r="E431" s="14" t="s">
        <v>52</v>
      </c>
      <c r="F431" s="14" t="s">
        <v>35</v>
      </c>
      <c r="G431" s="16">
        <v>45870</v>
      </c>
      <c r="H431" s="14" t="s">
        <v>26</v>
      </c>
      <c r="I431" s="14" t="s">
        <v>27</v>
      </c>
      <c r="J431" s="14" t="s">
        <v>2268</v>
      </c>
      <c r="K431" s="14" t="s">
        <v>2271</v>
      </c>
      <c r="L431" s="14" t="s">
        <v>38</v>
      </c>
      <c r="M431" s="14" t="s">
        <v>30</v>
      </c>
      <c r="N431" s="17">
        <v>128900</v>
      </c>
      <c r="O431" s="17">
        <v>45340</v>
      </c>
      <c r="P431" s="18">
        <v>87.5</v>
      </c>
      <c r="Q431" s="15">
        <v>7</v>
      </c>
      <c r="R431" s="19">
        <v>11</v>
      </c>
      <c r="S431" s="19">
        <v>2</v>
      </c>
      <c r="T431" s="15">
        <v>20</v>
      </c>
      <c r="U431" s="19">
        <v>99</v>
      </c>
      <c r="V431" s="14" t="s">
        <v>31</v>
      </c>
      <c r="W431" s="14"/>
      <c r="X431" s="14">
        <f>IF(V431="Yes",1,0)</f>
        <v>0</v>
      </c>
      <c r="Y431" s="14">
        <f>IF(H431="Active",0,1)</f>
        <v>0</v>
      </c>
    </row>
    <row r="432" spans="1:25" ht="18" customHeight="1" x14ac:dyDescent="0.35">
      <c r="A432" s="8" t="s">
        <v>145</v>
      </c>
      <c r="B432" s="8" t="s">
        <v>146</v>
      </c>
      <c r="C432" s="8" t="s">
        <v>34</v>
      </c>
      <c r="D432" s="9">
        <v>25</v>
      </c>
      <c r="E432" s="8" t="s">
        <v>2304</v>
      </c>
      <c r="F432" s="8" t="s">
        <v>12</v>
      </c>
      <c r="G432" s="10">
        <v>45869</v>
      </c>
      <c r="H432" s="8" t="s">
        <v>26</v>
      </c>
      <c r="I432" s="8" t="s">
        <v>27</v>
      </c>
      <c r="J432" s="8" t="s">
        <v>2269</v>
      </c>
      <c r="K432" s="8" t="s">
        <v>55</v>
      </c>
      <c r="L432" s="8" t="s">
        <v>38</v>
      </c>
      <c r="M432" s="8" t="s">
        <v>45</v>
      </c>
      <c r="N432" s="11">
        <v>36992</v>
      </c>
      <c r="O432" s="11">
        <v>10383</v>
      </c>
      <c r="P432" s="12">
        <v>80.5</v>
      </c>
      <c r="Q432" s="9">
        <v>5</v>
      </c>
      <c r="R432" s="13">
        <v>16</v>
      </c>
      <c r="S432" s="13">
        <v>1</v>
      </c>
      <c r="T432" s="9">
        <v>32</v>
      </c>
      <c r="U432" s="13">
        <v>98</v>
      </c>
      <c r="V432" s="8" t="s">
        <v>31</v>
      </c>
      <c r="W432" s="8"/>
      <c r="X432" s="22">
        <f>IF(V432="Yes",1,0)</f>
        <v>0</v>
      </c>
      <c r="Y432" s="22">
        <f>IF(H432="Active",0,1)</f>
        <v>0</v>
      </c>
    </row>
    <row r="433" spans="1:25" ht="18" customHeight="1" x14ac:dyDescent="0.35">
      <c r="A433" s="14" t="s">
        <v>976</v>
      </c>
      <c r="B433" s="14" t="s">
        <v>393</v>
      </c>
      <c r="C433" s="14" t="s">
        <v>25</v>
      </c>
      <c r="D433" s="15">
        <v>32</v>
      </c>
      <c r="E433" s="14" t="s">
        <v>42</v>
      </c>
      <c r="F433" s="14" t="s">
        <v>53</v>
      </c>
      <c r="G433" s="16">
        <v>45869</v>
      </c>
      <c r="H433" s="14" t="s">
        <v>26</v>
      </c>
      <c r="I433" s="14" t="s">
        <v>2267</v>
      </c>
      <c r="J433" s="14" t="s">
        <v>48</v>
      </c>
      <c r="K433" s="14" t="s">
        <v>2271</v>
      </c>
      <c r="L433" s="14" t="s">
        <v>44</v>
      </c>
      <c r="M433" s="14" t="s">
        <v>64</v>
      </c>
      <c r="N433" s="17">
        <v>124453</v>
      </c>
      <c r="O433" s="17">
        <v>28547</v>
      </c>
      <c r="P433" s="18">
        <v>89.8</v>
      </c>
      <c r="Q433" s="15">
        <v>1</v>
      </c>
      <c r="R433" s="19">
        <v>24</v>
      </c>
      <c r="S433" s="19">
        <v>4</v>
      </c>
      <c r="T433" s="15">
        <v>38</v>
      </c>
      <c r="U433" s="19">
        <v>99</v>
      </c>
      <c r="V433" s="14" t="s">
        <v>31</v>
      </c>
      <c r="W433" s="14"/>
      <c r="X433" s="14">
        <f>IF(V433="Yes",1,0)</f>
        <v>0</v>
      </c>
      <c r="Y433" s="14">
        <f>IF(H433="Active",0,1)</f>
        <v>0</v>
      </c>
    </row>
    <row r="434" spans="1:25" ht="18" customHeight="1" x14ac:dyDescent="0.35">
      <c r="A434" s="14" t="s">
        <v>1050</v>
      </c>
      <c r="B434" s="14" t="s">
        <v>443</v>
      </c>
      <c r="C434" s="14" t="s">
        <v>25</v>
      </c>
      <c r="D434" s="15">
        <v>48</v>
      </c>
      <c r="E434" s="14" t="s">
        <v>42</v>
      </c>
      <c r="F434" s="14" t="s">
        <v>72</v>
      </c>
      <c r="G434" s="16">
        <v>45869</v>
      </c>
      <c r="H434" s="14" t="s">
        <v>26</v>
      </c>
      <c r="I434" s="14" t="s">
        <v>36</v>
      </c>
      <c r="J434" s="14" t="s">
        <v>2268</v>
      </c>
      <c r="K434" s="14" t="s">
        <v>2271</v>
      </c>
      <c r="L434" s="14" t="s">
        <v>68</v>
      </c>
      <c r="M434" s="14" t="s">
        <v>45</v>
      </c>
      <c r="N434" s="17">
        <v>235250</v>
      </c>
      <c r="O434" s="17">
        <v>42771</v>
      </c>
      <c r="P434" s="18">
        <v>80</v>
      </c>
      <c r="Q434" s="15">
        <v>10</v>
      </c>
      <c r="R434" s="19">
        <v>1</v>
      </c>
      <c r="S434" s="19">
        <v>4</v>
      </c>
      <c r="T434" s="15">
        <v>14</v>
      </c>
      <c r="U434" s="19">
        <v>61</v>
      </c>
      <c r="V434" s="14" t="s">
        <v>31</v>
      </c>
      <c r="W434" s="14"/>
      <c r="X434" s="14">
        <f>IF(V434="Yes",1,0)</f>
        <v>0</v>
      </c>
      <c r="Y434" s="14">
        <f>IF(H434="Active",0,1)</f>
        <v>0</v>
      </c>
    </row>
    <row r="435" spans="1:25" ht="18" customHeight="1" x14ac:dyDescent="0.35">
      <c r="A435" s="8" t="s">
        <v>1503</v>
      </c>
      <c r="B435" s="8" t="s">
        <v>314</v>
      </c>
      <c r="C435" s="8" t="s">
        <v>25</v>
      </c>
      <c r="D435" s="9">
        <v>39</v>
      </c>
      <c r="E435" s="8" t="s">
        <v>63</v>
      </c>
      <c r="F435" s="8" t="s">
        <v>90</v>
      </c>
      <c r="G435" s="10">
        <v>45869</v>
      </c>
      <c r="H435" s="8" t="s">
        <v>26</v>
      </c>
      <c r="I435" s="8" t="s">
        <v>36</v>
      </c>
      <c r="J435" s="8" t="s">
        <v>2268</v>
      </c>
      <c r="K435" s="8" t="s">
        <v>37</v>
      </c>
      <c r="L435" s="8" t="s">
        <v>56</v>
      </c>
      <c r="M435" s="8" t="s">
        <v>30</v>
      </c>
      <c r="N435" s="11">
        <v>69737</v>
      </c>
      <c r="O435" s="11">
        <v>31085</v>
      </c>
      <c r="P435" s="12">
        <v>82.8</v>
      </c>
      <c r="Q435" s="9">
        <v>6</v>
      </c>
      <c r="R435" s="13">
        <v>14</v>
      </c>
      <c r="S435" s="13">
        <v>5</v>
      </c>
      <c r="T435" s="9">
        <v>4</v>
      </c>
      <c r="U435" s="13">
        <v>92</v>
      </c>
      <c r="V435" s="8" t="s">
        <v>31</v>
      </c>
      <c r="W435" s="8"/>
      <c r="X435" s="22">
        <f>IF(V435="Yes",1,0)</f>
        <v>0</v>
      </c>
      <c r="Y435" s="22">
        <f>IF(H435="Active",0,1)</f>
        <v>0</v>
      </c>
    </row>
    <row r="436" spans="1:25" ht="18" customHeight="1" x14ac:dyDescent="0.35">
      <c r="A436" s="8" t="s">
        <v>1605</v>
      </c>
      <c r="B436" s="8" t="s">
        <v>1155</v>
      </c>
      <c r="C436" s="8" t="s">
        <v>34</v>
      </c>
      <c r="D436" s="9">
        <v>55</v>
      </c>
      <c r="E436" s="8" t="s">
        <v>42</v>
      </c>
      <c r="F436" s="8" t="s">
        <v>79</v>
      </c>
      <c r="G436" s="10">
        <v>45869</v>
      </c>
      <c r="H436" s="8" t="s">
        <v>54</v>
      </c>
      <c r="I436" s="8" t="s">
        <v>36</v>
      </c>
      <c r="J436" s="8" t="s">
        <v>2268</v>
      </c>
      <c r="K436" s="8" t="s">
        <v>2271</v>
      </c>
      <c r="L436" s="8" t="s">
        <v>38</v>
      </c>
      <c r="M436" s="8" t="s">
        <v>30</v>
      </c>
      <c r="N436" s="11">
        <v>170248</v>
      </c>
      <c r="O436" s="11">
        <v>11763</v>
      </c>
      <c r="P436" s="12">
        <v>82.5</v>
      </c>
      <c r="Q436" s="9">
        <v>10</v>
      </c>
      <c r="R436" s="13">
        <v>28</v>
      </c>
      <c r="S436" s="13">
        <v>4</v>
      </c>
      <c r="T436" s="9">
        <v>29</v>
      </c>
      <c r="U436" s="13">
        <v>85</v>
      </c>
      <c r="V436" s="8" t="s">
        <v>31</v>
      </c>
      <c r="W436" s="8" t="s">
        <v>57</v>
      </c>
      <c r="X436" s="22">
        <f>IF(V436="Yes",1,0)</f>
        <v>0</v>
      </c>
      <c r="Y436" s="22">
        <f>IF(H436="Active",0,1)</f>
        <v>1</v>
      </c>
    </row>
    <row r="437" spans="1:25" ht="18" customHeight="1" x14ac:dyDescent="0.35">
      <c r="A437" s="14" t="s">
        <v>1930</v>
      </c>
      <c r="B437" s="14" t="s">
        <v>207</v>
      </c>
      <c r="C437" s="14" t="s">
        <v>25</v>
      </c>
      <c r="D437" s="15">
        <v>35</v>
      </c>
      <c r="E437" s="14" t="s">
        <v>93</v>
      </c>
      <c r="F437" s="14" t="s">
        <v>79</v>
      </c>
      <c r="G437" s="16">
        <v>45869</v>
      </c>
      <c r="H437" s="14" t="s">
        <v>26</v>
      </c>
      <c r="I437" s="14" t="s">
        <v>27</v>
      </c>
      <c r="J437" s="14" t="s">
        <v>2269</v>
      </c>
      <c r="K437" s="14" t="s">
        <v>73</v>
      </c>
      <c r="L437" s="14" t="s">
        <v>87</v>
      </c>
      <c r="M437" s="14" t="s">
        <v>39</v>
      </c>
      <c r="N437" s="17">
        <v>193075</v>
      </c>
      <c r="O437" s="17">
        <v>32350</v>
      </c>
      <c r="P437" s="18">
        <v>99.8</v>
      </c>
      <c r="Q437" s="15">
        <v>0</v>
      </c>
      <c r="R437" s="19">
        <v>5</v>
      </c>
      <c r="S437" s="19">
        <v>3</v>
      </c>
      <c r="T437" s="15">
        <v>21</v>
      </c>
      <c r="U437" s="19">
        <v>86</v>
      </c>
      <c r="V437" s="14" t="s">
        <v>31</v>
      </c>
      <c r="W437" s="14"/>
      <c r="X437" s="14">
        <f>IF(V437="Yes",1,0)</f>
        <v>0</v>
      </c>
      <c r="Y437" s="14">
        <f>IF(H437="Active",0,1)</f>
        <v>0</v>
      </c>
    </row>
    <row r="438" spans="1:25" ht="18" customHeight="1" x14ac:dyDescent="0.35">
      <c r="A438" s="8" t="s">
        <v>457</v>
      </c>
      <c r="B438" s="8" t="s">
        <v>458</v>
      </c>
      <c r="C438" s="8" t="s">
        <v>34</v>
      </c>
      <c r="D438" s="9">
        <v>41</v>
      </c>
      <c r="E438" s="8" t="s">
        <v>63</v>
      </c>
      <c r="F438" s="8" t="s">
        <v>76</v>
      </c>
      <c r="G438" s="10">
        <v>45868</v>
      </c>
      <c r="H438" s="8" t="s">
        <v>26</v>
      </c>
      <c r="I438" s="8" t="s">
        <v>2267</v>
      </c>
      <c r="J438" s="8" t="s">
        <v>80</v>
      </c>
      <c r="K438" s="8" t="s">
        <v>55</v>
      </c>
      <c r="L438" s="8" t="s">
        <v>29</v>
      </c>
      <c r="M438" s="8" t="s">
        <v>64</v>
      </c>
      <c r="N438" s="11">
        <v>186078</v>
      </c>
      <c r="O438" s="11">
        <v>38578</v>
      </c>
      <c r="P438" s="12">
        <v>94.3</v>
      </c>
      <c r="Q438" s="9">
        <v>8</v>
      </c>
      <c r="R438" s="13">
        <v>7</v>
      </c>
      <c r="S438" s="13">
        <v>5</v>
      </c>
      <c r="T438" s="9">
        <v>15</v>
      </c>
      <c r="U438" s="13">
        <v>78</v>
      </c>
      <c r="V438" s="8" t="s">
        <v>31</v>
      </c>
      <c r="W438" s="8"/>
      <c r="X438" s="22">
        <f>IF(V438="Yes",1,0)</f>
        <v>0</v>
      </c>
      <c r="Y438" s="22">
        <f>IF(H438="Active",0,1)</f>
        <v>0</v>
      </c>
    </row>
    <row r="439" spans="1:25" ht="18" customHeight="1" x14ac:dyDescent="0.35">
      <c r="A439" s="14" t="s">
        <v>1808</v>
      </c>
      <c r="B439" s="14" t="s">
        <v>138</v>
      </c>
      <c r="C439" s="14" t="s">
        <v>34</v>
      </c>
      <c r="D439" s="15">
        <v>23</v>
      </c>
      <c r="E439" s="14" t="s">
        <v>63</v>
      </c>
      <c r="F439" s="14" t="s">
        <v>90</v>
      </c>
      <c r="G439" s="16">
        <v>45868</v>
      </c>
      <c r="H439" s="14" t="s">
        <v>26</v>
      </c>
      <c r="I439" s="14" t="s">
        <v>2267</v>
      </c>
      <c r="J439" s="14" t="s">
        <v>2269</v>
      </c>
      <c r="K439" s="14" t="s">
        <v>2271</v>
      </c>
      <c r="L439" s="14" t="s">
        <v>116</v>
      </c>
      <c r="M439" s="14" t="s">
        <v>39</v>
      </c>
      <c r="N439" s="17">
        <v>65649</v>
      </c>
      <c r="O439" s="17">
        <v>48654</v>
      </c>
      <c r="P439" s="18">
        <v>85.9</v>
      </c>
      <c r="Q439" s="15">
        <v>6</v>
      </c>
      <c r="R439" s="19">
        <v>3</v>
      </c>
      <c r="S439" s="19">
        <v>4</v>
      </c>
      <c r="T439" s="15">
        <v>19</v>
      </c>
      <c r="U439" s="19">
        <v>71</v>
      </c>
      <c r="V439" s="14" t="s">
        <v>31</v>
      </c>
      <c r="W439" s="14"/>
      <c r="X439" s="14">
        <f>IF(V439="Yes",1,0)</f>
        <v>0</v>
      </c>
      <c r="Y439" s="14">
        <f>IF(H439="Active",0,1)</f>
        <v>0</v>
      </c>
    </row>
    <row r="440" spans="1:25" ht="18" customHeight="1" x14ac:dyDescent="0.35">
      <c r="A440" s="8" t="s">
        <v>884</v>
      </c>
      <c r="B440" s="8" t="s">
        <v>280</v>
      </c>
      <c r="C440" s="8" t="s">
        <v>25</v>
      </c>
      <c r="D440" s="9">
        <v>40</v>
      </c>
      <c r="E440" s="8" t="s">
        <v>42</v>
      </c>
      <c r="F440" s="8" t="s">
        <v>79</v>
      </c>
      <c r="G440" s="10">
        <v>45867</v>
      </c>
      <c r="H440" s="8" t="s">
        <v>26</v>
      </c>
      <c r="I440" s="8" t="s">
        <v>36</v>
      </c>
      <c r="J440" s="8" t="s">
        <v>2270</v>
      </c>
      <c r="K440" s="8" t="s">
        <v>55</v>
      </c>
      <c r="L440" s="8" t="s">
        <v>49</v>
      </c>
      <c r="M440" s="8" t="s">
        <v>45</v>
      </c>
      <c r="N440" s="11">
        <v>200037</v>
      </c>
      <c r="O440" s="11">
        <v>20618</v>
      </c>
      <c r="P440" s="12">
        <v>97.7</v>
      </c>
      <c r="Q440" s="9">
        <v>5</v>
      </c>
      <c r="R440" s="13">
        <v>23</v>
      </c>
      <c r="S440" s="13">
        <v>1</v>
      </c>
      <c r="T440" s="9">
        <v>30</v>
      </c>
      <c r="U440" s="13">
        <v>90</v>
      </c>
      <c r="V440" s="8" t="s">
        <v>31</v>
      </c>
      <c r="W440" s="8"/>
      <c r="X440" s="22">
        <f>IF(V440="Yes",1,0)</f>
        <v>0</v>
      </c>
      <c r="Y440" s="22">
        <f>IF(H440="Active",0,1)</f>
        <v>0</v>
      </c>
    </row>
    <row r="441" spans="1:25" ht="18" customHeight="1" x14ac:dyDescent="0.35">
      <c r="A441" s="8" t="s">
        <v>1005</v>
      </c>
      <c r="B441" s="8" t="s">
        <v>78</v>
      </c>
      <c r="C441" s="8" t="s">
        <v>34</v>
      </c>
      <c r="D441" s="9">
        <v>51</v>
      </c>
      <c r="E441" s="8" t="s">
        <v>93</v>
      </c>
      <c r="F441" s="8" t="s">
        <v>53</v>
      </c>
      <c r="G441" s="10">
        <v>45867</v>
      </c>
      <c r="H441" s="8" t="s">
        <v>26</v>
      </c>
      <c r="I441" s="8" t="s">
        <v>27</v>
      </c>
      <c r="J441" s="8" t="s">
        <v>2269</v>
      </c>
      <c r="K441" s="8" t="s">
        <v>55</v>
      </c>
      <c r="L441" s="8" t="s">
        <v>56</v>
      </c>
      <c r="M441" s="8" t="s">
        <v>64</v>
      </c>
      <c r="N441" s="11">
        <v>86839</v>
      </c>
      <c r="O441" s="11">
        <v>13341</v>
      </c>
      <c r="P441" s="12">
        <v>83.9</v>
      </c>
      <c r="Q441" s="9">
        <v>10</v>
      </c>
      <c r="R441" s="13">
        <v>15</v>
      </c>
      <c r="S441" s="13">
        <v>1</v>
      </c>
      <c r="T441" s="9">
        <v>29</v>
      </c>
      <c r="U441" s="13">
        <v>84</v>
      </c>
      <c r="V441" s="8" t="s">
        <v>31</v>
      </c>
      <c r="W441" s="8"/>
      <c r="X441" s="22">
        <f>IF(V441="Yes",1,0)</f>
        <v>0</v>
      </c>
      <c r="Y441" s="22">
        <f>IF(H441="Active",0,1)</f>
        <v>0</v>
      </c>
    </row>
    <row r="442" spans="1:25" ht="18" customHeight="1" x14ac:dyDescent="0.35">
      <c r="A442" s="8" t="s">
        <v>1174</v>
      </c>
      <c r="B442" s="8" t="s">
        <v>199</v>
      </c>
      <c r="C442" s="8" t="s">
        <v>34</v>
      </c>
      <c r="D442" s="9">
        <v>39</v>
      </c>
      <c r="E442" s="8" t="s">
        <v>63</v>
      </c>
      <c r="F442" s="8" t="s">
        <v>72</v>
      </c>
      <c r="G442" s="10">
        <v>45867</v>
      </c>
      <c r="H442" s="8" t="s">
        <v>26</v>
      </c>
      <c r="I442" s="8" t="s">
        <v>27</v>
      </c>
      <c r="J442" s="8" t="s">
        <v>2268</v>
      </c>
      <c r="K442" s="8" t="s">
        <v>28</v>
      </c>
      <c r="L442" s="8" t="s">
        <v>116</v>
      </c>
      <c r="M442" s="8" t="s">
        <v>45</v>
      </c>
      <c r="N442" s="11">
        <v>59814</v>
      </c>
      <c r="O442" s="11">
        <v>35658</v>
      </c>
      <c r="P442" s="12">
        <v>80.400000000000006</v>
      </c>
      <c r="Q442" s="9">
        <v>2</v>
      </c>
      <c r="R442" s="13">
        <v>16</v>
      </c>
      <c r="S442" s="13">
        <v>4</v>
      </c>
      <c r="T442" s="9">
        <v>9</v>
      </c>
      <c r="U442" s="13">
        <v>68</v>
      </c>
      <c r="V442" s="8" t="s">
        <v>31</v>
      </c>
      <c r="W442" s="8"/>
      <c r="X442" s="22">
        <f>IF(V442="Yes",1,0)</f>
        <v>0</v>
      </c>
      <c r="Y442" s="22">
        <f>IF(H442="Active",0,1)</f>
        <v>0</v>
      </c>
    </row>
    <row r="443" spans="1:25" ht="18" customHeight="1" x14ac:dyDescent="0.35">
      <c r="A443" s="14" t="s">
        <v>1290</v>
      </c>
      <c r="B443" s="14" t="s">
        <v>237</v>
      </c>
      <c r="C443" s="14" t="s">
        <v>34</v>
      </c>
      <c r="D443" s="15">
        <v>42</v>
      </c>
      <c r="E443" s="14" t="s">
        <v>109</v>
      </c>
      <c r="F443" s="14" t="s">
        <v>79</v>
      </c>
      <c r="G443" s="16">
        <v>45867</v>
      </c>
      <c r="H443" s="14" t="s">
        <v>54</v>
      </c>
      <c r="I443" s="14" t="s">
        <v>36</v>
      </c>
      <c r="J443" s="14" t="s">
        <v>2269</v>
      </c>
      <c r="K443" s="14" t="s">
        <v>37</v>
      </c>
      <c r="L443" s="14" t="s">
        <v>44</v>
      </c>
      <c r="M443" s="14" t="s">
        <v>39</v>
      </c>
      <c r="N443" s="17">
        <v>40803</v>
      </c>
      <c r="O443" s="17">
        <v>33790</v>
      </c>
      <c r="P443" s="18">
        <v>84.4</v>
      </c>
      <c r="Q443" s="15">
        <v>1</v>
      </c>
      <c r="R443" s="19">
        <v>30</v>
      </c>
      <c r="S443" s="19">
        <v>4</v>
      </c>
      <c r="T443" s="15">
        <v>13</v>
      </c>
      <c r="U443" s="19">
        <v>63</v>
      </c>
      <c r="V443" s="14" t="s">
        <v>31</v>
      </c>
      <c r="W443" s="14" t="s">
        <v>205</v>
      </c>
      <c r="X443" s="14">
        <f>IF(V443="Yes",1,0)</f>
        <v>0</v>
      </c>
      <c r="Y443" s="14">
        <f>IF(H443="Active",0,1)</f>
        <v>1</v>
      </c>
    </row>
    <row r="444" spans="1:25" ht="18" customHeight="1" x14ac:dyDescent="0.35">
      <c r="A444" s="14" t="s">
        <v>1322</v>
      </c>
      <c r="B444" s="14" t="s">
        <v>314</v>
      </c>
      <c r="C444" s="14" t="s">
        <v>25</v>
      </c>
      <c r="D444" s="15">
        <v>57</v>
      </c>
      <c r="E444" s="14" t="s">
        <v>42</v>
      </c>
      <c r="F444" s="14" t="s">
        <v>53</v>
      </c>
      <c r="G444" s="16">
        <v>45867</v>
      </c>
      <c r="H444" s="14" t="s">
        <v>26</v>
      </c>
      <c r="I444" s="14" t="s">
        <v>2267</v>
      </c>
      <c r="J444" s="14" t="s">
        <v>80</v>
      </c>
      <c r="K444" s="14" t="s">
        <v>2271</v>
      </c>
      <c r="L444" s="14" t="s">
        <v>68</v>
      </c>
      <c r="M444" s="14" t="s">
        <v>60</v>
      </c>
      <c r="N444" s="17">
        <v>240593</v>
      </c>
      <c r="O444" s="17">
        <v>37530</v>
      </c>
      <c r="P444" s="18">
        <v>93.9</v>
      </c>
      <c r="Q444" s="15">
        <v>10</v>
      </c>
      <c r="R444" s="19">
        <v>13</v>
      </c>
      <c r="S444" s="19">
        <v>3</v>
      </c>
      <c r="T444" s="15">
        <v>27</v>
      </c>
      <c r="U444" s="19">
        <v>72</v>
      </c>
      <c r="V444" s="14" t="s">
        <v>31</v>
      </c>
      <c r="W444" s="14"/>
      <c r="X444" s="14">
        <f>IF(V444="Yes",1,0)</f>
        <v>0</v>
      </c>
      <c r="Y444" s="14">
        <f>IF(H444="Active",0,1)</f>
        <v>0</v>
      </c>
    </row>
    <row r="445" spans="1:25" ht="18" customHeight="1" x14ac:dyDescent="0.35">
      <c r="A445" s="8" t="s">
        <v>2237</v>
      </c>
      <c r="B445" s="8" t="s">
        <v>531</v>
      </c>
      <c r="C445" s="8" t="s">
        <v>25</v>
      </c>
      <c r="D445" s="9">
        <v>37</v>
      </c>
      <c r="E445" s="8" t="s">
        <v>2303</v>
      </c>
      <c r="F445" s="8" t="s">
        <v>35</v>
      </c>
      <c r="G445" s="10">
        <v>45866</v>
      </c>
      <c r="H445" s="8" t="s">
        <v>26</v>
      </c>
      <c r="I445" s="8" t="s">
        <v>36</v>
      </c>
      <c r="J445" s="8" t="s">
        <v>48</v>
      </c>
      <c r="K445" s="8" t="s">
        <v>55</v>
      </c>
      <c r="L445" s="8" t="s">
        <v>29</v>
      </c>
      <c r="M445" s="8" t="s">
        <v>64</v>
      </c>
      <c r="N445" s="11">
        <v>178892</v>
      </c>
      <c r="O445" s="11">
        <v>36104</v>
      </c>
      <c r="P445" s="12">
        <v>94.9</v>
      </c>
      <c r="Q445" s="9">
        <v>2</v>
      </c>
      <c r="R445" s="13">
        <v>17</v>
      </c>
      <c r="S445" s="13">
        <v>4</v>
      </c>
      <c r="T445" s="9">
        <v>37</v>
      </c>
      <c r="U445" s="13">
        <v>97</v>
      </c>
      <c r="V445" s="8" t="s">
        <v>31</v>
      </c>
      <c r="W445" s="8"/>
      <c r="X445" s="22">
        <f>IF(V445="Yes",1,0)</f>
        <v>0</v>
      </c>
      <c r="Y445" s="22">
        <f>IF(H445="Active",0,1)</f>
        <v>0</v>
      </c>
    </row>
    <row r="446" spans="1:25" ht="18" customHeight="1" x14ac:dyDescent="0.35">
      <c r="A446" s="8" t="s">
        <v>578</v>
      </c>
      <c r="B446" s="8" t="s">
        <v>424</v>
      </c>
      <c r="C446" s="8" t="s">
        <v>34</v>
      </c>
      <c r="D446" s="9">
        <v>42</v>
      </c>
      <c r="E446" s="8" t="s">
        <v>63</v>
      </c>
      <c r="F446" s="8" t="s">
        <v>72</v>
      </c>
      <c r="G446" s="10">
        <v>45865</v>
      </c>
      <c r="H446" s="8" t="s">
        <v>26</v>
      </c>
      <c r="I446" s="8" t="s">
        <v>36</v>
      </c>
      <c r="J446" s="8" t="s">
        <v>48</v>
      </c>
      <c r="K446" s="8" t="s">
        <v>28</v>
      </c>
      <c r="L446" s="8" t="s">
        <v>116</v>
      </c>
      <c r="M446" s="8" t="s">
        <v>39</v>
      </c>
      <c r="N446" s="11">
        <v>120751</v>
      </c>
      <c r="O446" s="11">
        <v>16231</v>
      </c>
      <c r="P446" s="12">
        <v>90.1</v>
      </c>
      <c r="Q446" s="9">
        <v>8</v>
      </c>
      <c r="R446" s="13">
        <v>27</v>
      </c>
      <c r="S446" s="13">
        <v>5</v>
      </c>
      <c r="T446" s="9">
        <v>35</v>
      </c>
      <c r="U446" s="13">
        <v>82</v>
      </c>
      <c r="V446" s="8" t="s">
        <v>31</v>
      </c>
      <c r="W446" s="8"/>
      <c r="X446" s="22">
        <f>IF(V446="Yes",1,0)</f>
        <v>0</v>
      </c>
      <c r="Y446" s="22">
        <f>IF(H446="Active",0,1)</f>
        <v>0</v>
      </c>
    </row>
    <row r="447" spans="1:25" ht="18" customHeight="1" x14ac:dyDescent="0.35">
      <c r="A447" s="8" t="s">
        <v>1393</v>
      </c>
      <c r="B447" s="8" t="s">
        <v>531</v>
      </c>
      <c r="C447" s="8" t="s">
        <v>25</v>
      </c>
      <c r="D447" s="9">
        <v>53</v>
      </c>
      <c r="E447" s="8" t="s">
        <v>86</v>
      </c>
      <c r="F447" s="8" t="s">
        <v>43</v>
      </c>
      <c r="G447" s="10">
        <v>45865</v>
      </c>
      <c r="H447" s="8" t="s">
        <v>26</v>
      </c>
      <c r="I447" s="8" t="s">
        <v>2267</v>
      </c>
      <c r="J447" s="8" t="s">
        <v>2268</v>
      </c>
      <c r="K447" s="8" t="s">
        <v>2271</v>
      </c>
      <c r="L447" s="8" t="s">
        <v>116</v>
      </c>
      <c r="M447" s="8" t="s">
        <v>39</v>
      </c>
      <c r="N447" s="11">
        <v>115168</v>
      </c>
      <c r="O447" s="11">
        <v>10593</v>
      </c>
      <c r="P447" s="12">
        <v>80.099999999999994</v>
      </c>
      <c r="Q447" s="9">
        <v>10</v>
      </c>
      <c r="R447" s="13">
        <v>2</v>
      </c>
      <c r="S447" s="13">
        <v>4</v>
      </c>
      <c r="T447" s="9">
        <v>23</v>
      </c>
      <c r="U447" s="13">
        <v>97</v>
      </c>
      <c r="V447" s="8" t="s">
        <v>69</v>
      </c>
      <c r="W447" s="8"/>
      <c r="X447" s="22">
        <f>IF(V447="Yes",1,0)</f>
        <v>1</v>
      </c>
      <c r="Y447" s="22">
        <f>IF(H447="Active",0,1)</f>
        <v>0</v>
      </c>
    </row>
    <row r="448" spans="1:25" ht="18" customHeight="1" x14ac:dyDescent="0.35">
      <c r="A448" s="14" t="s">
        <v>2104</v>
      </c>
      <c r="B448" s="14" t="s">
        <v>372</v>
      </c>
      <c r="C448" s="14" t="s">
        <v>25</v>
      </c>
      <c r="D448" s="15">
        <v>28</v>
      </c>
      <c r="E448" s="14" t="s">
        <v>86</v>
      </c>
      <c r="F448" s="14" t="s">
        <v>53</v>
      </c>
      <c r="G448" s="16">
        <v>45865</v>
      </c>
      <c r="H448" s="14" t="s">
        <v>26</v>
      </c>
      <c r="I448" s="14" t="s">
        <v>27</v>
      </c>
      <c r="J448" s="14" t="s">
        <v>2268</v>
      </c>
      <c r="K448" s="14" t="s">
        <v>28</v>
      </c>
      <c r="L448" s="14" t="s">
        <v>49</v>
      </c>
      <c r="M448" s="14" t="s">
        <v>30</v>
      </c>
      <c r="N448" s="17">
        <v>167669</v>
      </c>
      <c r="O448" s="17">
        <v>20906</v>
      </c>
      <c r="P448" s="18">
        <v>89.7</v>
      </c>
      <c r="Q448" s="15">
        <v>1</v>
      </c>
      <c r="R448" s="19">
        <v>14</v>
      </c>
      <c r="S448" s="19">
        <v>1</v>
      </c>
      <c r="T448" s="15">
        <v>18</v>
      </c>
      <c r="U448" s="19">
        <v>61</v>
      </c>
      <c r="V448" s="14" t="s">
        <v>31</v>
      </c>
      <c r="W448" s="14"/>
      <c r="X448" s="14">
        <f>IF(V448="Yes",1,0)</f>
        <v>0</v>
      </c>
      <c r="Y448" s="14">
        <f>IF(H448="Active",0,1)</f>
        <v>0</v>
      </c>
    </row>
    <row r="449" spans="1:25" ht="18" customHeight="1" x14ac:dyDescent="0.35">
      <c r="A449" s="14" t="s">
        <v>459</v>
      </c>
      <c r="B449" s="14" t="s">
        <v>89</v>
      </c>
      <c r="C449" s="14" t="s">
        <v>25</v>
      </c>
      <c r="D449" s="15">
        <v>29</v>
      </c>
      <c r="E449" s="14" t="s">
        <v>67</v>
      </c>
      <c r="F449" s="14" t="s">
        <v>79</v>
      </c>
      <c r="G449" s="16">
        <v>45864</v>
      </c>
      <c r="H449" s="14" t="s">
        <v>26</v>
      </c>
      <c r="I449" s="14" t="s">
        <v>2267</v>
      </c>
      <c r="J449" s="14" t="s">
        <v>80</v>
      </c>
      <c r="K449" s="14" t="s">
        <v>73</v>
      </c>
      <c r="L449" s="14" t="s">
        <v>44</v>
      </c>
      <c r="M449" s="14" t="s">
        <v>30</v>
      </c>
      <c r="N449" s="17">
        <v>126859</v>
      </c>
      <c r="O449" s="17">
        <v>15473</v>
      </c>
      <c r="P449" s="18">
        <v>93.6</v>
      </c>
      <c r="Q449" s="15">
        <v>6</v>
      </c>
      <c r="R449" s="19">
        <v>14</v>
      </c>
      <c r="S449" s="19">
        <v>2</v>
      </c>
      <c r="T449" s="15">
        <v>7</v>
      </c>
      <c r="U449" s="19">
        <v>89</v>
      </c>
      <c r="V449" s="14" t="s">
        <v>31</v>
      </c>
      <c r="W449" s="14"/>
      <c r="X449" s="14">
        <f>IF(V449="Yes",1,0)</f>
        <v>0</v>
      </c>
      <c r="Y449" s="14">
        <f>IF(H449="Active",0,1)</f>
        <v>0</v>
      </c>
    </row>
    <row r="450" spans="1:25" ht="18" customHeight="1" x14ac:dyDescent="0.35">
      <c r="A450" s="8" t="s">
        <v>1591</v>
      </c>
      <c r="B450" s="8" t="s">
        <v>218</v>
      </c>
      <c r="C450" s="8" t="s">
        <v>34</v>
      </c>
      <c r="D450" s="9">
        <v>23</v>
      </c>
      <c r="E450" s="8" t="s">
        <v>109</v>
      </c>
      <c r="F450" s="8" t="s">
        <v>90</v>
      </c>
      <c r="G450" s="10">
        <v>45864</v>
      </c>
      <c r="H450" s="8" t="s">
        <v>54</v>
      </c>
      <c r="I450" s="8" t="s">
        <v>27</v>
      </c>
      <c r="J450" s="8" t="s">
        <v>2268</v>
      </c>
      <c r="K450" s="8" t="s">
        <v>2271</v>
      </c>
      <c r="L450" s="8" t="s">
        <v>44</v>
      </c>
      <c r="M450" s="8" t="s">
        <v>30</v>
      </c>
      <c r="N450" s="11">
        <v>184813</v>
      </c>
      <c r="O450" s="11">
        <v>6289</v>
      </c>
      <c r="P450" s="12">
        <v>81.599999999999994</v>
      </c>
      <c r="Q450" s="9">
        <v>5</v>
      </c>
      <c r="R450" s="13">
        <v>0</v>
      </c>
      <c r="S450" s="13">
        <v>4</v>
      </c>
      <c r="T450" s="9">
        <v>35</v>
      </c>
      <c r="U450" s="13">
        <v>93</v>
      </c>
      <c r="V450" s="8" t="s">
        <v>31</v>
      </c>
      <c r="W450" s="8" t="s">
        <v>96</v>
      </c>
      <c r="X450" s="22">
        <f>IF(V450="Yes",1,0)</f>
        <v>0</v>
      </c>
      <c r="Y450" s="22">
        <f>IF(H450="Active",0,1)</f>
        <v>1</v>
      </c>
    </row>
    <row r="451" spans="1:25" ht="18" customHeight="1" x14ac:dyDescent="0.35">
      <c r="A451" s="14" t="s">
        <v>1976</v>
      </c>
      <c r="B451" s="14" t="s">
        <v>149</v>
      </c>
      <c r="C451" s="14" t="s">
        <v>34</v>
      </c>
      <c r="D451" s="15">
        <v>35</v>
      </c>
      <c r="E451" s="14" t="s">
        <v>109</v>
      </c>
      <c r="F451" s="14" t="s">
        <v>43</v>
      </c>
      <c r="G451" s="16">
        <v>45864</v>
      </c>
      <c r="H451" s="14" t="s">
        <v>26</v>
      </c>
      <c r="I451" s="14" t="s">
        <v>27</v>
      </c>
      <c r="J451" s="14" t="s">
        <v>2270</v>
      </c>
      <c r="K451" s="14" t="s">
        <v>37</v>
      </c>
      <c r="L451" s="14" t="s">
        <v>68</v>
      </c>
      <c r="M451" s="14" t="s">
        <v>60</v>
      </c>
      <c r="N451" s="17">
        <v>35346</v>
      </c>
      <c r="O451" s="17">
        <v>18180</v>
      </c>
      <c r="P451" s="18">
        <v>87.9</v>
      </c>
      <c r="Q451" s="15">
        <v>0</v>
      </c>
      <c r="R451" s="19">
        <v>8</v>
      </c>
      <c r="S451" s="19">
        <v>1</v>
      </c>
      <c r="T451" s="15">
        <v>27</v>
      </c>
      <c r="U451" s="19">
        <v>89</v>
      </c>
      <c r="V451" s="14" t="s">
        <v>69</v>
      </c>
      <c r="W451" s="14"/>
      <c r="X451" s="14">
        <f>IF(V451="Yes",1,0)</f>
        <v>1</v>
      </c>
      <c r="Y451" s="14">
        <f>IF(H451="Active",0,1)</f>
        <v>0</v>
      </c>
    </row>
    <row r="452" spans="1:25" ht="18" customHeight="1" x14ac:dyDescent="0.35">
      <c r="A452" s="8" t="s">
        <v>524</v>
      </c>
      <c r="B452" s="8" t="s">
        <v>64</v>
      </c>
      <c r="C452" s="8" t="s">
        <v>34</v>
      </c>
      <c r="D452" s="9">
        <v>31</v>
      </c>
      <c r="E452" s="8" t="s">
        <v>67</v>
      </c>
      <c r="F452" s="8" t="s">
        <v>43</v>
      </c>
      <c r="G452" s="10">
        <v>45863</v>
      </c>
      <c r="H452" s="8" t="s">
        <v>26</v>
      </c>
      <c r="I452" s="8" t="s">
        <v>27</v>
      </c>
      <c r="J452" s="8" t="s">
        <v>2270</v>
      </c>
      <c r="K452" s="8" t="s">
        <v>28</v>
      </c>
      <c r="L452" s="8" t="s">
        <v>38</v>
      </c>
      <c r="M452" s="8" t="s">
        <v>64</v>
      </c>
      <c r="N452" s="11">
        <v>123201</v>
      </c>
      <c r="O452" s="11">
        <v>12827</v>
      </c>
      <c r="P452" s="12">
        <v>94.6</v>
      </c>
      <c r="Q452" s="9">
        <v>3</v>
      </c>
      <c r="R452" s="13">
        <v>26</v>
      </c>
      <c r="S452" s="13">
        <v>1</v>
      </c>
      <c r="T452" s="9">
        <v>35</v>
      </c>
      <c r="U452" s="13">
        <v>60</v>
      </c>
      <c r="V452" s="8" t="s">
        <v>69</v>
      </c>
      <c r="W452" s="8"/>
      <c r="X452" s="22">
        <f>IF(V452="Yes",1,0)</f>
        <v>1</v>
      </c>
      <c r="Y452" s="22">
        <f>IF(H452="Active",0,1)</f>
        <v>0</v>
      </c>
    </row>
    <row r="453" spans="1:25" ht="18" customHeight="1" x14ac:dyDescent="0.35">
      <c r="A453" s="14" t="s">
        <v>878</v>
      </c>
      <c r="B453" s="14" t="s">
        <v>742</v>
      </c>
      <c r="C453" s="14" t="s">
        <v>25</v>
      </c>
      <c r="D453" s="15">
        <v>38</v>
      </c>
      <c r="E453" s="14" t="s">
        <v>109</v>
      </c>
      <c r="F453" s="14" t="s">
        <v>53</v>
      </c>
      <c r="G453" s="16">
        <v>45863</v>
      </c>
      <c r="H453" s="14" t="s">
        <v>26</v>
      </c>
      <c r="I453" s="14" t="s">
        <v>27</v>
      </c>
      <c r="J453" s="14" t="s">
        <v>2268</v>
      </c>
      <c r="K453" s="14" t="s">
        <v>2271</v>
      </c>
      <c r="L453" s="14" t="s">
        <v>68</v>
      </c>
      <c r="M453" s="14" t="s">
        <v>39</v>
      </c>
      <c r="N453" s="17">
        <v>146648</v>
      </c>
      <c r="O453" s="17">
        <v>6133</v>
      </c>
      <c r="P453" s="18">
        <v>95.7</v>
      </c>
      <c r="Q453" s="15">
        <v>6</v>
      </c>
      <c r="R453" s="19">
        <v>14</v>
      </c>
      <c r="S453" s="19">
        <v>3</v>
      </c>
      <c r="T453" s="15">
        <v>21</v>
      </c>
      <c r="U453" s="19">
        <v>93</v>
      </c>
      <c r="V453" s="14" t="s">
        <v>31</v>
      </c>
      <c r="W453" s="14"/>
      <c r="X453" s="14">
        <f>IF(V453="Yes",1,0)</f>
        <v>0</v>
      </c>
      <c r="Y453" s="14">
        <f>IF(H453="Active",0,1)</f>
        <v>0</v>
      </c>
    </row>
    <row r="454" spans="1:25" ht="18" customHeight="1" x14ac:dyDescent="0.35">
      <c r="A454" s="14" t="s">
        <v>1514</v>
      </c>
      <c r="B454" s="14" t="s">
        <v>267</v>
      </c>
      <c r="C454" s="14" t="s">
        <v>25</v>
      </c>
      <c r="D454" s="15">
        <v>28</v>
      </c>
      <c r="E454" s="14" t="s">
        <v>86</v>
      </c>
      <c r="F454" s="14" t="s">
        <v>35</v>
      </c>
      <c r="G454" s="16">
        <v>45863</v>
      </c>
      <c r="H454" s="14" t="s">
        <v>26</v>
      </c>
      <c r="I454" s="14" t="s">
        <v>2267</v>
      </c>
      <c r="J454" s="14" t="s">
        <v>2270</v>
      </c>
      <c r="K454" s="14" t="s">
        <v>55</v>
      </c>
      <c r="L454" s="14" t="s">
        <v>49</v>
      </c>
      <c r="M454" s="14" t="s">
        <v>30</v>
      </c>
      <c r="N454" s="17">
        <v>100351</v>
      </c>
      <c r="O454" s="17">
        <v>40716</v>
      </c>
      <c r="P454" s="18">
        <v>86</v>
      </c>
      <c r="Q454" s="15">
        <v>3</v>
      </c>
      <c r="R454" s="19">
        <v>12</v>
      </c>
      <c r="S454" s="19">
        <v>2</v>
      </c>
      <c r="T454" s="15">
        <v>19</v>
      </c>
      <c r="U454" s="19">
        <v>73</v>
      </c>
      <c r="V454" s="14" t="s">
        <v>31</v>
      </c>
      <c r="W454" s="14"/>
      <c r="X454" s="14">
        <f>IF(V454="Yes",1,0)</f>
        <v>0</v>
      </c>
      <c r="Y454" s="14">
        <f>IF(H454="Active",0,1)</f>
        <v>0</v>
      </c>
    </row>
    <row r="455" spans="1:25" ht="18" customHeight="1" x14ac:dyDescent="0.35">
      <c r="A455" s="8" t="s">
        <v>616</v>
      </c>
      <c r="B455" s="8" t="s">
        <v>278</v>
      </c>
      <c r="C455" s="8" t="s">
        <v>34</v>
      </c>
      <c r="D455" s="9">
        <v>23</v>
      </c>
      <c r="E455" s="8" t="s">
        <v>52</v>
      </c>
      <c r="F455" s="8" t="s">
        <v>12</v>
      </c>
      <c r="G455" s="10">
        <v>45862</v>
      </c>
      <c r="H455" s="8" t="s">
        <v>26</v>
      </c>
      <c r="I455" s="8" t="s">
        <v>27</v>
      </c>
      <c r="J455" s="8" t="s">
        <v>2269</v>
      </c>
      <c r="K455" s="8" t="s">
        <v>55</v>
      </c>
      <c r="L455" s="8" t="s">
        <v>29</v>
      </c>
      <c r="M455" s="8" t="s">
        <v>60</v>
      </c>
      <c r="N455" s="11">
        <v>153416</v>
      </c>
      <c r="O455" s="11">
        <v>29026</v>
      </c>
      <c r="P455" s="12">
        <v>85.7</v>
      </c>
      <c r="Q455" s="9">
        <v>10</v>
      </c>
      <c r="R455" s="13">
        <v>23</v>
      </c>
      <c r="S455" s="13">
        <v>1</v>
      </c>
      <c r="T455" s="9">
        <v>2</v>
      </c>
      <c r="U455" s="13">
        <v>93</v>
      </c>
      <c r="V455" s="8" t="s">
        <v>31</v>
      </c>
      <c r="W455" s="8"/>
      <c r="X455" s="22">
        <f>IF(V455="Yes",1,0)</f>
        <v>0</v>
      </c>
      <c r="Y455" s="22">
        <f>IF(H455="Active",0,1)</f>
        <v>0</v>
      </c>
    </row>
    <row r="456" spans="1:25" ht="18" customHeight="1" x14ac:dyDescent="0.35">
      <c r="A456" s="8" t="s">
        <v>657</v>
      </c>
      <c r="B456" s="8" t="s">
        <v>240</v>
      </c>
      <c r="C456" s="8" t="s">
        <v>34</v>
      </c>
      <c r="D456" s="9">
        <v>38</v>
      </c>
      <c r="E456" s="8" t="s">
        <v>2304</v>
      </c>
      <c r="F456" s="8" t="s">
        <v>90</v>
      </c>
      <c r="G456" s="10">
        <v>45862</v>
      </c>
      <c r="H456" s="8" t="s">
        <v>26</v>
      </c>
      <c r="I456" s="8" t="s">
        <v>27</v>
      </c>
      <c r="J456" s="8" t="s">
        <v>2270</v>
      </c>
      <c r="K456" s="8" t="s">
        <v>28</v>
      </c>
      <c r="L456" s="8" t="s">
        <v>29</v>
      </c>
      <c r="M456" s="8" t="s">
        <v>30</v>
      </c>
      <c r="N456" s="11">
        <v>131726</v>
      </c>
      <c r="O456" s="11">
        <v>35230</v>
      </c>
      <c r="P456" s="12">
        <v>83.9</v>
      </c>
      <c r="Q456" s="9">
        <v>0</v>
      </c>
      <c r="R456" s="13">
        <v>29</v>
      </c>
      <c r="S456" s="13">
        <v>3</v>
      </c>
      <c r="T456" s="9">
        <v>32</v>
      </c>
      <c r="U456" s="13">
        <v>72</v>
      </c>
      <c r="V456" s="8" t="s">
        <v>31</v>
      </c>
      <c r="W456" s="8"/>
      <c r="X456" s="22">
        <f>IF(V456="Yes",1,0)</f>
        <v>0</v>
      </c>
      <c r="Y456" s="22">
        <f>IF(H456="Active",0,1)</f>
        <v>0</v>
      </c>
    </row>
    <row r="457" spans="1:25" ht="18" customHeight="1" x14ac:dyDescent="0.35">
      <c r="A457" s="8" t="s">
        <v>84</v>
      </c>
      <c r="B457" s="8" t="s">
        <v>85</v>
      </c>
      <c r="C457" s="8" t="s">
        <v>25</v>
      </c>
      <c r="D457" s="9">
        <v>21</v>
      </c>
      <c r="E457" s="8" t="s">
        <v>86</v>
      </c>
      <c r="F457" s="8" t="s">
        <v>53</v>
      </c>
      <c r="G457" s="10">
        <v>45861</v>
      </c>
      <c r="H457" s="8" t="s">
        <v>26</v>
      </c>
      <c r="I457" s="8" t="s">
        <v>2267</v>
      </c>
      <c r="J457" s="8" t="s">
        <v>2270</v>
      </c>
      <c r="K457" s="8" t="s">
        <v>28</v>
      </c>
      <c r="L457" s="8" t="s">
        <v>87</v>
      </c>
      <c r="M457" s="8" t="s">
        <v>39</v>
      </c>
      <c r="N457" s="11">
        <v>134526</v>
      </c>
      <c r="O457" s="11">
        <v>26588</v>
      </c>
      <c r="P457" s="12">
        <v>99.3</v>
      </c>
      <c r="Q457" s="9">
        <v>3</v>
      </c>
      <c r="R457" s="13">
        <v>2</v>
      </c>
      <c r="S457" s="13">
        <v>2</v>
      </c>
      <c r="T457" s="9">
        <v>29</v>
      </c>
      <c r="U457" s="13">
        <v>61</v>
      </c>
      <c r="V457" s="8" t="s">
        <v>31</v>
      </c>
      <c r="W457" s="8"/>
      <c r="X457" s="22">
        <f>IF(V457="Yes",1,0)</f>
        <v>0</v>
      </c>
      <c r="Y457" s="22">
        <f>IF(H457="Active",0,1)</f>
        <v>0</v>
      </c>
    </row>
    <row r="458" spans="1:25" ht="18" customHeight="1" x14ac:dyDescent="0.35">
      <c r="A458" s="14" t="s">
        <v>377</v>
      </c>
      <c r="B458" s="14" t="s">
        <v>157</v>
      </c>
      <c r="C458" s="14" t="s">
        <v>25</v>
      </c>
      <c r="D458" s="15">
        <v>23</v>
      </c>
      <c r="E458" s="14" t="s">
        <v>109</v>
      </c>
      <c r="F458" s="14" t="s">
        <v>79</v>
      </c>
      <c r="G458" s="16">
        <v>45861</v>
      </c>
      <c r="H458" s="14" t="s">
        <v>26</v>
      </c>
      <c r="I458" s="14" t="s">
        <v>2267</v>
      </c>
      <c r="J458" s="14" t="s">
        <v>2270</v>
      </c>
      <c r="K458" s="14" t="s">
        <v>2271</v>
      </c>
      <c r="L458" s="14" t="s">
        <v>56</v>
      </c>
      <c r="M458" s="14" t="s">
        <v>60</v>
      </c>
      <c r="N458" s="17">
        <v>125038</v>
      </c>
      <c r="O458" s="17">
        <v>33187</v>
      </c>
      <c r="P458" s="18">
        <v>93.4</v>
      </c>
      <c r="Q458" s="15">
        <v>7</v>
      </c>
      <c r="R458" s="19">
        <v>14</v>
      </c>
      <c r="S458" s="19">
        <v>3</v>
      </c>
      <c r="T458" s="15">
        <v>5</v>
      </c>
      <c r="U458" s="19">
        <v>70</v>
      </c>
      <c r="V458" s="14" t="s">
        <v>31</v>
      </c>
      <c r="W458" s="14"/>
      <c r="X458" s="14">
        <f>IF(V458="Yes",1,0)</f>
        <v>0</v>
      </c>
      <c r="Y458" s="14">
        <f>IF(H458="Active",0,1)</f>
        <v>0</v>
      </c>
    </row>
    <row r="459" spans="1:25" ht="18" customHeight="1" x14ac:dyDescent="0.35">
      <c r="A459" s="14" t="s">
        <v>547</v>
      </c>
      <c r="B459" s="14" t="s">
        <v>548</v>
      </c>
      <c r="C459" s="14" t="s">
        <v>25</v>
      </c>
      <c r="D459" s="15">
        <v>44</v>
      </c>
      <c r="E459" s="14" t="s">
        <v>93</v>
      </c>
      <c r="F459" s="14" t="s">
        <v>76</v>
      </c>
      <c r="G459" s="16">
        <v>45861</v>
      </c>
      <c r="H459" s="14" t="s">
        <v>26</v>
      </c>
      <c r="I459" s="14" t="s">
        <v>2267</v>
      </c>
      <c r="J459" s="14" t="s">
        <v>2269</v>
      </c>
      <c r="K459" s="14" t="s">
        <v>55</v>
      </c>
      <c r="L459" s="14" t="s">
        <v>56</v>
      </c>
      <c r="M459" s="14" t="s">
        <v>60</v>
      </c>
      <c r="N459" s="17">
        <v>198017</v>
      </c>
      <c r="O459" s="17">
        <v>38513</v>
      </c>
      <c r="P459" s="18">
        <v>80.900000000000006</v>
      </c>
      <c r="Q459" s="15">
        <v>9</v>
      </c>
      <c r="R459" s="19">
        <v>17</v>
      </c>
      <c r="S459" s="19">
        <v>4</v>
      </c>
      <c r="T459" s="15">
        <v>20</v>
      </c>
      <c r="U459" s="19">
        <v>81</v>
      </c>
      <c r="V459" s="14" t="s">
        <v>31</v>
      </c>
      <c r="W459" s="14"/>
      <c r="X459" s="14">
        <f>IF(V459="Yes",1,0)</f>
        <v>0</v>
      </c>
      <c r="Y459" s="14">
        <f>IF(H459="Active",0,1)</f>
        <v>0</v>
      </c>
    </row>
    <row r="460" spans="1:25" ht="18" customHeight="1" x14ac:dyDescent="0.35">
      <c r="A460" s="8" t="s">
        <v>1953</v>
      </c>
      <c r="B460" s="8" t="s">
        <v>195</v>
      </c>
      <c r="C460" s="8" t="s">
        <v>34</v>
      </c>
      <c r="D460" s="9">
        <v>49</v>
      </c>
      <c r="E460" s="8" t="s">
        <v>2303</v>
      </c>
      <c r="F460" s="8" t="s">
        <v>72</v>
      </c>
      <c r="G460" s="10">
        <v>45861</v>
      </c>
      <c r="H460" s="8" t="s">
        <v>26</v>
      </c>
      <c r="I460" s="8" t="s">
        <v>36</v>
      </c>
      <c r="J460" s="8" t="s">
        <v>2268</v>
      </c>
      <c r="K460" s="8" t="s">
        <v>73</v>
      </c>
      <c r="L460" s="8" t="s">
        <v>116</v>
      </c>
      <c r="M460" s="8" t="s">
        <v>60</v>
      </c>
      <c r="N460" s="11">
        <v>192297</v>
      </c>
      <c r="O460" s="11">
        <v>28694</v>
      </c>
      <c r="P460" s="12">
        <v>94.5</v>
      </c>
      <c r="Q460" s="9">
        <v>6</v>
      </c>
      <c r="R460" s="13">
        <v>25</v>
      </c>
      <c r="S460" s="13">
        <v>3</v>
      </c>
      <c r="T460" s="9">
        <v>33</v>
      </c>
      <c r="U460" s="13">
        <v>77</v>
      </c>
      <c r="V460" s="8" t="s">
        <v>31</v>
      </c>
      <c r="W460" s="8"/>
      <c r="X460" s="22">
        <f>IF(V460="Yes",1,0)</f>
        <v>0</v>
      </c>
      <c r="Y460" s="22">
        <f>IF(H460="Active",0,1)</f>
        <v>0</v>
      </c>
    </row>
    <row r="461" spans="1:25" ht="18" customHeight="1" x14ac:dyDescent="0.35">
      <c r="A461" s="8" t="s">
        <v>814</v>
      </c>
      <c r="B461" s="8" t="s">
        <v>815</v>
      </c>
      <c r="C461" s="8" t="s">
        <v>25</v>
      </c>
      <c r="D461" s="9">
        <v>27</v>
      </c>
      <c r="E461" s="8" t="s">
        <v>93</v>
      </c>
      <c r="F461" s="8" t="s">
        <v>72</v>
      </c>
      <c r="G461" s="10">
        <v>45860</v>
      </c>
      <c r="H461" s="8" t="s">
        <v>26</v>
      </c>
      <c r="I461" s="8" t="s">
        <v>2267</v>
      </c>
      <c r="J461" s="8" t="s">
        <v>2269</v>
      </c>
      <c r="K461" s="8" t="s">
        <v>55</v>
      </c>
      <c r="L461" s="8" t="s">
        <v>87</v>
      </c>
      <c r="M461" s="8" t="s">
        <v>45</v>
      </c>
      <c r="N461" s="11">
        <v>243608</v>
      </c>
      <c r="O461" s="11">
        <v>5570</v>
      </c>
      <c r="P461" s="12">
        <v>93</v>
      </c>
      <c r="Q461" s="9">
        <v>0</v>
      </c>
      <c r="R461" s="13">
        <v>19</v>
      </c>
      <c r="S461" s="13">
        <v>2</v>
      </c>
      <c r="T461" s="9">
        <v>19</v>
      </c>
      <c r="U461" s="13">
        <v>73</v>
      </c>
      <c r="V461" s="8" t="s">
        <v>31</v>
      </c>
      <c r="W461" s="8"/>
      <c r="X461" s="22">
        <f>IF(V461="Yes",1,0)</f>
        <v>0</v>
      </c>
      <c r="Y461" s="22">
        <f>IF(H461="Active",0,1)</f>
        <v>0</v>
      </c>
    </row>
    <row r="462" spans="1:25" ht="18" customHeight="1" x14ac:dyDescent="0.35">
      <c r="A462" s="14" t="s">
        <v>913</v>
      </c>
      <c r="B462" s="14" t="s">
        <v>189</v>
      </c>
      <c r="C462" s="14" t="s">
        <v>34</v>
      </c>
      <c r="D462" s="15">
        <v>52</v>
      </c>
      <c r="E462" s="14" t="s">
        <v>109</v>
      </c>
      <c r="F462" s="14" t="s">
        <v>90</v>
      </c>
      <c r="G462" s="16">
        <v>45860</v>
      </c>
      <c r="H462" s="14" t="s">
        <v>26</v>
      </c>
      <c r="I462" s="14" t="s">
        <v>2267</v>
      </c>
      <c r="J462" s="14" t="s">
        <v>2270</v>
      </c>
      <c r="K462" s="14" t="s">
        <v>73</v>
      </c>
      <c r="L462" s="14" t="s">
        <v>56</v>
      </c>
      <c r="M462" s="14" t="s">
        <v>64</v>
      </c>
      <c r="N462" s="17">
        <v>186353</v>
      </c>
      <c r="O462" s="17">
        <v>5613</v>
      </c>
      <c r="P462" s="18">
        <v>99.6</v>
      </c>
      <c r="Q462" s="15">
        <v>9</v>
      </c>
      <c r="R462" s="19">
        <v>10</v>
      </c>
      <c r="S462" s="19">
        <v>2</v>
      </c>
      <c r="T462" s="15">
        <v>9</v>
      </c>
      <c r="U462" s="19">
        <v>89</v>
      </c>
      <c r="V462" s="14" t="s">
        <v>31</v>
      </c>
      <c r="W462" s="14"/>
      <c r="X462" s="14">
        <f>IF(V462="Yes",1,0)</f>
        <v>0</v>
      </c>
      <c r="Y462" s="14">
        <f>IF(H462="Active",0,1)</f>
        <v>0</v>
      </c>
    </row>
    <row r="463" spans="1:25" ht="18" customHeight="1" x14ac:dyDescent="0.35">
      <c r="A463" s="8" t="s">
        <v>1713</v>
      </c>
      <c r="B463" s="8" t="s">
        <v>672</v>
      </c>
      <c r="C463" s="8" t="s">
        <v>34</v>
      </c>
      <c r="D463" s="9">
        <v>54</v>
      </c>
      <c r="E463" s="8" t="s">
        <v>67</v>
      </c>
      <c r="F463" s="8" t="s">
        <v>76</v>
      </c>
      <c r="G463" s="10">
        <v>45860</v>
      </c>
      <c r="H463" s="8" t="s">
        <v>26</v>
      </c>
      <c r="I463" s="8" t="s">
        <v>27</v>
      </c>
      <c r="J463" s="8" t="s">
        <v>48</v>
      </c>
      <c r="K463" s="8" t="s">
        <v>55</v>
      </c>
      <c r="L463" s="8" t="s">
        <v>56</v>
      </c>
      <c r="M463" s="8" t="s">
        <v>30</v>
      </c>
      <c r="N463" s="11">
        <v>126760</v>
      </c>
      <c r="O463" s="11">
        <v>11508</v>
      </c>
      <c r="P463" s="12">
        <v>80.599999999999994</v>
      </c>
      <c r="Q463" s="9">
        <v>8</v>
      </c>
      <c r="R463" s="13">
        <v>6</v>
      </c>
      <c r="S463" s="13">
        <v>1</v>
      </c>
      <c r="T463" s="9">
        <v>29</v>
      </c>
      <c r="U463" s="13">
        <v>83</v>
      </c>
      <c r="V463" s="8" t="s">
        <v>31</v>
      </c>
      <c r="W463" s="8"/>
      <c r="X463" s="22">
        <f>IF(V463="Yes",1,0)</f>
        <v>0</v>
      </c>
      <c r="Y463" s="22">
        <f>IF(H463="Active",0,1)</f>
        <v>0</v>
      </c>
    </row>
    <row r="464" spans="1:25" ht="18" customHeight="1" x14ac:dyDescent="0.35">
      <c r="A464" s="14" t="s">
        <v>1928</v>
      </c>
      <c r="B464" s="14" t="s">
        <v>113</v>
      </c>
      <c r="C464" s="14" t="s">
        <v>25</v>
      </c>
      <c r="D464" s="15">
        <v>56</v>
      </c>
      <c r="E464" s="14" t="s">
        <v>63</v>
      </c>
      <c r="F464" s="14" t="s">
        <v>76</v>
      </c>
      <c r="G464" s="16">
        <v>45860</v>
      </c>
      <c r="H464" s="14" t="s">
        <v>26</v>
      </c>
      <c r="I464" s="14" t="s">
        <v>27</v>
      </c>
      <c r="J464" s="14" t="s">
        <v>48</v>
      </c>
      <c r="K464" s="14" t="s">
        <v>2271</v>
      </c>
      <c r="L464" s="14" t="s">
        <v>87</v>
      </c>
      <c r="M464" s="14" t="s">
        <v>60</v>
      </c>
      <c r="N464" s="17">
        <v>225340</v>
      </c>
      <c r="O464" s="17">
        <v>42285</v>
      </c>
      <c r="P464" s="18">
        <v>86.8</v>
      </c>
      <c r="Q464" s="15">
        <v>9</v>
      </c>
      <c r="R464" s="19">
        <v>30</v>
      </c>
      <c r="S464" s="19">
        <v>5</v>
      </c>
      <c r="T464" s="15">
        <v>22</v>
      </c>
      <c r="U464" s="19">
        <v>100</v>
      </c>
      <c r="V464" s="14" t="s">
        <v>31</v>
      </c>
      <c r="W464" s="14"/>
      <c r="X464" s="14">
        <f>IF(V464="Yes",1,0)</f>
        <v>0</v>
      </c>
      <c r="Y464" s="14">
        <f>IF(H464="Active",0,1)</f>
        <v>0</v>
      </c>
    </row>
    <row r="465" spans="1:25" ht="18" customHeight="1" x14ac:dyDescent="0.35">
      <c r="A465" s="14" t="s">
        <v>294</v>
      </c>
      <c r="B465" s="14" t="s">
        <v>295</v>
      </c>
      <c r="C465" s="14" t="s">
        <v>25</v>
      </c>
      <c r="D465" s="15">
        <v>31</v>
      </c>
      <c r="E465" s="14" t="s">
        <v>67</v>
      </c>
      <c r="F465" s="14" t="s">
        <v>53</v>
      </c>
      <c r="G465" s="16">
        <v>45859</v>
      </c>
      <c r="H465" s="14" t="s">
        <v>26</v>
      </c>
      <c r="I465" s="14" t="s">
        <v>36</v>
      </c>
      <c r="J465" s="14" t="s">
        <v>2268</v>
      </c>
      <c r="K465" s="14" t="s">
        <v>2271</v>
      </c>
      <c r="L465" s="14" t="s">
        <v>87</v>
      </c>
      <c r="M465" s="14" t="s">
        <v>60</v>
      </c>
      <c r="N465" s="17">
        <v>232290</v>
      </c>
      <c r="O465" s="17">
        <v>36750</v>
      </c>
      <c r="P465" s="18">
        <v>89.3</v>
      </c>
      <c r="Q465" s="15">
        <v>0</v>
      </c>
      <c r="R465" s="19">
        <v>2</v>
      </c>
      <c r="S465" s="19">
        <v>1</v>
      </c>
      <c r="T465" s="15">
        <v>35</v>
      </c>
      <c r="U465" s="19">
        <v>70</v>
      </c>
      <c r="V465" s="14" t="s">
        <v>31</v>
      </c>
      <c r="W465" s="14"/>
      <c r="X465" s="14">
        <f>IF(V465="Yes",1,0)</f>
        <v>0</v>
      </c>
      <c r="Y465" s="14">
        <f>IF(H465="Active",0,1)</f>
        <v>0</v>
      </c>
    </row>
    <row r="466" spans="1:25" ht="18" customHeight="1" x14ac:dyDescent="0.35">
      <c r="A466" s="8" t="s">
        <v>70</v>
      </c>
      <c r="B466" s="8" t="s">
        <v>71</v>
      </c>
      <c r="C466" s="8" t="s">
        <v>25</v>
      </c>
      <c r="D466" s="9">
        <v>46</v>
      </c>
      <c r="E466" s="8" t="s">
        <v>42</v>
      </c>
      <c r="F466" s="8" t="s">
        <v>72</v>
      </c>
      <c r="G466" s="10">
        <v>45858</v>
      </c>
      <c r="H466" s="8" t="s">
        <v>26</v>
      </c>
      <c r="I466" s="8" t="s">
        <v>2267</v>
      </c>
      <c r="J466" s="8" t="s">
        <v>2270</v>
      </c>
      <c r="K466" s="8" t="s">
        <v>73</v>
      </c>
      <c r="L466" s="8" t="s">
        <v>56</v>
      </c>
      <c r="M466" s="8" t="s">
        <v>60</v>
      </c>
      <c r="N466" s="11">
        <v>132402</v>
      </c>
      <c r="O466" s="11">
        <v>19151</v>
      </c>
      <c r="P466" s="12">
        <v>89.3</v>
      </c>
      <c r="Q466" s="9">
        <v>9</v>
      </c>
      <c r="R466" s="13">
        <v>5</v>
      </c>
      <c r="S466" s="13">
        <v>5</v>
      </c>
      <c r="T466" s="9">
        <v>10</v>
      </c>
      <c r="U466" s="13">
        <v>100</v>
      </c>
      <c r="V466" s="8" t="s">
        <v>31</v>
      </c>
      <c r="W466" s="8"/>
      <c r="X466" s="22">
        <f>IF(V466="Yes",1,0)</f>
        <v>0</v>
      </c>
      <c r="Y466" s="22">
        <f>IF(H466="Active",0,1)</f>
        <v>0</v>
      </c>
    </row>
    <row r="467" spans="1:25" ht="18" customHeight="1" x14ac:dyDescent="0.35">
      <c r="A467" s="8" t="s">
        <v>185</v>
      </c>
      <c r="B467" s="8" t="s">
        <v>186</v>
      </c>
      <c r="C467" s="8" t="s">
        <v>34</v>
      </c>
      <c r="D467" s="9">
        <v>43</v>
      </c>
      <c r="E467" s="8" t="s">
        <v>67</v>
      </c>
      <c r="F467" s="8" t="s">
        <v>79</v>
      </c>
      <c r="G467" s="10">
        <v>45858</v>
      </c>
      <c r="H467" s="8" t="s">
        <v>26</v>
      </c>
      <c r="I467" s="8" t="s">
        <v>27</v>
      </c>
      <c r="J467" s="8" t="s">
        <v>2270</v>
      </c>
      <c r="K467" s="8" t="s">
        <v>2271</v>
      </c>
      <c r="L467" s="8" t="s">
        <v>29</v>
      </c>
      <c r="M467" s="8" t="s">
        <v>64</v>
      </c>
      <c r="N467" s="11">
        <v>206374</v>
      </c>
      <c r="O467" s="11">
        <v>28777</v>
      </c>
      <c r="P467" s="12">
        <v>82.7</v>
      </c>
      <c r="Q467" s="9">
        <v>4</v>
      </c>
      <c r="R467" s="13">
        <v>14</v>
      </c>
      <c r="S467" s="13">
        <v>2</v>
      </c>
      <c r="T467" s="9">
        <v>5</v>
      </c>
      <c r="U467" s="13">
        <v>67</v>
      </c>
      <c r="V467" s="8" t="s">
        <v>31</v>
      </c>
      <c r="W467" s="8"/>
      <c r="X467" s="22">
        <f>IF(V467="Yes",1,0)</f>
        <v>0</v>
      </c>
      <c r="Y467" s="22">
        <f>IF(H467="Active",0,1)</f>
        <v>0</v>
      </c>
    </row>
    <row r="468" spans="1:25" ht="18" customHeight="1" x14ac:dyDescent="0.35">
      <c r="A468" s="14" t="s">
        <v>1474</v>
      </c>
      <c r="B468" s="14" t="s">
        <v>526</v>
      </c>
      <c r="C468" s="14" t="s">
        <v>25</v>
      </c>
      <c r="D468" s="15">
        <v>28</v>
      </c>
      <c r="E468" s="14" t="s">
        <v>93</v>
      </c>
      <c r="F468" s="14" t="s">
        <v>43</v>
      </c>
      <c r="G468" s="16">
        <v>45858</v>
      </c>
      <c r="H468" s="14" t="s">
        <v>54</v>
      </c>
      <c r="I468" s="14" t="s">
        <v>36</v>
      </c>
      <c r="J468" s="14" t="s">
        <v>80</v>
      </c>
      <c r="K468" s="14" t="s">
        <v>73</v>
      </c>
      <c r="L468" s="14" t="s">
        <v>29</v>
      </c>
      <c r="M468" s="14" t="s">
        <v>45</v>
      </c>
      <c r="N468" s="17">
        <v>184816</v>
      </c>
      <c r="O468" s="17">
        <v>15093</v>
      </c>
      <c r="P468" s="18">
        <v>96.6</v>
      </c>
      <c r="Q468" s="15">
        <v>9</v>
      </c>
      <c r="R468" s="19">
        <v>2</v>
      </c>
      <c r="S468" s="19">
        <v>2</v>
      </c>
      <c r="T468" s="15">
        <v>10</v>
      </c>
      <c r="U468" s="19">
        <v>91</v>
      </c>
      <c r="V468" s="14" t="s">
        <v>69</v>
      </c>
      <c r="W468" s="14" t="s">
        <v>205</v>
      </c>
      <c r="X468" s="14">
        <f>IF(V468="Yes",1,0)</f>
        <v>1</v>
      </c>
      <c r="Y468" s="14">
        <f>IF(H468="Active",0,1)</f>
        <v>1</v>
      </c>
    </row>
    <row r="469" spans="1:25" ht="18" customHeight="1" x14ac:dyDescent="0.35">
      <c r="A469" s="8" t="s">
        <v>633</v>
      </c>
      <c r="B469" s="8" t="s">
        <v>318</v>
      </c>
      <c r="C469" s="8" t="s">
        <v>25</v>
      </c>
      <c r="D469" s="9">
        <v>43</v>
      </c>
      <c r="E469" s="8" t="s">
        <v>2303</v>
      </c>
      <c r="F469" s="8" t="s">
        <v>79</v>
      </c>
      <c r="G469" s="10">
        <v>45857</v>
      </c>
      <c r="H469" s="8" t="s">
        <v>26</v>
      </c>
      <c r="I469" s="8" t="s">
        <v>27</v>
      </c>
      <c r="J469" s="8" t="s">
        <v>2268</v>
      </c>
      <c r="K469" s="8" t="s">
        <v>2271</v>
      </c>
      <c r="L469" s="8" t="s">
        <v>116</v>
      </c>
      <c r="M469" s="8" t="s">
        <v>45</v>
      </c>
      <c r="N469" s="11">
        <v>80898</v>
      </c>
      <c r="O469" s="11">
        <v>46348</v>
      </c>
      <c r="P469" s="12">
        <v>98.9</v>
      </c>
      <c r="Q469" s="9">
        <v>7</v>
      </c>
      <c r="R469" s="13">
        <v>26</v>
      </c>
      <c r="S469" s="13">
        <v>5</v>
      </c>
      <c r="T469" s="9">
        <v>23</v>
      </c>
      <c r="U469" s="13">
        <v>85</v>
      </c>
      <c r="V469" s="8" t="s">
        <v>69</v>
      </c>
      <c r="W469" s="8"/>
      <c r="X469" s="22">
        <f>IF(V469="Yes",1,0)</f>
        <v>1</v>
      </c>
      <c r="Y469" s="22">
        <f>IF(H469="Active",0,1)</f>
        <v>0</v>
      </c>
    </row>
    <row r="470" spans="1:25" ht="18" customHeight="1" x14ac:dyDescent="0.35">
      <c r="A470" s="8" t="s">
        <v>890</v>
      </c>
      <c r="B470" s="8" t="s">
        <v>203</v>
      </c>
      <c r="C470" s="8" t="s">
        <v>25</v>
      </c>
      <c r="D470" s="9">
        <v>24</v>
      </c>
      <c r="E470" s="8" t="s">
        <v>52</v>
      </c>
      <c r="F470" s="8" t="s">
        <v>12</v>
      </c>
      <c r="G470" s="10">
        <v>45857</v>
      </c>
      <c r="H470" s="8" t="s">
        <v>26</v>
      </c>
      <c r="I470" s="8" t="s">
        <v>27</v>
      </c>
      <c r="J470" s="8" t="s">
        <v>80</v>
      </c>
      <c r="K470" s="8" t="s">
        <v>2271</v>
      </c>
      <c r="L470" s="8" t="s">
        <v>87</v>
      </c>
      <c r="M470" s="8" t="s">
        <v>30</v>
      </c>
      <c r="N470" s="11">
        <v>173228</v>
      </c>
      <c r="O470" s="11">
        <v>22428</v>
      </c>
      <c r="P470" s="12">
        <v>100</v>
      </c>
      <c r="Q470" s="9">
        <v>3</v>
      </c>
      <c r="R470" s="13">
        <v>5</v>
      </c>
      <c r="S470" s="13">
        <v>1</v>
      </c>
      <c r="T470" s="9">
        <v>27</v>
      </c>
      <c r="U470" s="13">
        <v>64</v>
      </c>
      <c r="V470" s="8" t="s">
        <v>69</v>
      </c>
      <c r="W470" s="8"/>
      <c r="X470" s="22">
        <f>IF(V470="Yes",1,0)</f>
        <v>1</v>
      </c>
      <c r="Y470" s="22">
        <f>IF(H470="Active",0,1)</f>
        <v>0</v>
      </c>
    </row>
    <row r="471" spans="1:25" ht="18" customHeight="1" x14ac:dyDescent="0.35">
      <c r="A471" s="8" t="s">
        <v>948</v>
      </c>
      <c r="B471" s="8" t="s">
        <v>718</v>
      </c>
      <c r="C471" s="8" t="s">
        <v>25</v>
      </c>
      <c r="D471" s="9">
        <v>60</v>
      </c>
      <c r="E471" s="8" t="s">
        <v>86</v>
      </c>
      <c r="F471" s="8" t="s">
        <v>79</v>
      </c>
      <c r="G471" s="10">
        <v>45857</v>
      </c>
      <c r="H471" s="8" t="s">
        <v>26</v>
      </c>
      <c r="I471" s="8" t="s">
        <v>36</v>
      </c>
      <c r="J471" s="8" t="s">
        <v>2269</v>
      </c>
      <c r="K471" s="8" t="s">
        <v>2271</v>
      </c>
      <c r="L471" s="8" t="s">
        <v>44</v>
      </c>
      <c r="M471" s="8" t="s">
        <v>60</v>
      </c>
      <c r="N471" s="11">
        <v>139214</v>
      </c>
      <c r="O471" s="11">
        <v>42285</v>
      </c>
      <c r="P471" s="12">
        <v>90.6</v>
      </c>
      <c r="Q471" s="9">
        <v>7</v>
      </c>
      <c r="R471" s="13">
        <v>23</v>
      </c>
      <c r="S471" s="13">
        <v>1</v>
      </c>
      <c r="T471" s="9">
        <v>27</v>
      </c>
      <c r="U471" s="13">
        <v>74</v>
      </c>
      <c r="V471" s="8" t="s">
        <v>31</v>
      </c>
      <c r="W471" s="8"/>
      <c r="X471" s="22">
        <f>IF(V471="Yes",1,0)</f>
        <v>0</v>
      </c>
      <c r="Y471" s="22">
        <f>IF(H471="Active",0,1)</f>
        <v>0</v>
      </c>
    </row>
    <row r="472" spans="1:25" ht="18" customHeight="1" x14ac:dyDescent="0.35">
      <c r="A472" s="14" t="s">
        <v>1280</v>
      </c>
      <c r="B472" s="14" t="s">
        <v>151</v>
      </c>
      <c r="C472" s="14" t="s">
        <v>25</v>
      </c>
      <c r="D472" s="15">
        <v>45</v>
      </c>
      <c r="E472" s="14" t="s">
        <v>93</v>
      </c>
      <c r="F472" s="14" t="s">
        <v>72</v>
      </c>
      <c r="G472" s="16">
        <v>45857</v>
      </c>
      <c r="H472" s="14" t="s">
        <v>26</v>
      </c>
      <c r="I472" s="14" t="s">
        <v>36</v>
      </c>
      <c r="J472" s="14" t="s">
        <v>2268</v>
      </c>
      <c r="K472" s="14" t="s">
        <v>2271</v>
      </c>
      <c r="L472" s="14" t="s">
        <v>116</v>
      </c>
      <c r="M472" s="14" t="s">
        <v>39</v>
      </c>
      <c r="N472" s="17">
        <v>77973</v>
      </c>
      <c r="O472" s="17">
        <v>7396</v>
      </c>
      <c r="P472" s="18">
        <v>94.1</v>
      </c>
      <c r="Q472" s="15">
        <v>10</v>
      </c>
      <c r="R472" s="19">
        <v>25</v>
      </c>
      <c r="S472" s="19">
        <v>3</v>
      </c>
      <c r="T472" s="15">
        <v>12</v>
      </c>
      <c r="U472" s="19">
        <v>75</v>
      </c>
      <c r="V472" s="14" t="s">
        <v>31</v>
      </c>
      <c r="W472" s="14"/>
      <c r="X472" s="14">
        <f>IF(V472="Yes",1,0)</f>
        <v>0</v>
      </c>
      <c r="Y472" s="14">
        <f>IF(H472="Active",0,1)</f>
        <v>0</v>
      </c>
    </row>
    <row r="473" spans="1:25" ht="18" customHeight="1" x14ac:dyDescent="0.35">
      <c r="A473" s="14" t="s">
        <v>1642</v>
      </c>
      <c r="B473" s="14" t="s">
        <v>41</v>
      </c>
      <c r="C473" s="14" t="s">
        <v>34</v>
      </c>
      <c r="D473" s="15">
        <v>52</v>
      </c>
      <c r="E473" s="14" t="s">
        <v>67</v>
      </c>
      <c r="F473" s="14" t="s">
        <v>35</v>
      </c>
      <c r="G473" s="16">
        <v>45857</v>
      </c>
      <c r="H473" s="14" t="s">
        <v>54</v>
      </c>
      <c r="I473" s="14" t="s">
        <v>36</v>
      </c>
      <c r="J473" s="14" t="s">
        <v>48</v>
      </c>
      <c r="K473" s="14" t="s">
        <v>55</v>
      </c>
      <c r="L473" s="14" t="s">
        <v>29</v>
      </c>
      <c r="M473" s="14" t="s">
        <v>64</v>
      </c>
      <c r="N473" s="17">
        <v>75857</v>
      </c>
      <c r="O473" s="17">
        <v>40946</v>
      </c>
      <c r="P473" s="18">
        <v>99</v>
      </c>
      <c r="Q473" s="15">
        <v>3</v>
      </c>
      <c r="R473" s="19">
        <v>6</v>
      </c>
      <c r="S473" s="19">
        <v>3</v>
      </c>
      <c r="T473" s="15">
        <v>12</v>
      </c>
      <c r="U473" s="19">
        <v>93</v>
      </c>
      <c r="V473" s="14" t="s">
        <v>31</v>
      </c>
      <c r="W473" s="14" t="s">
        <v>83</v>
      </c>
      <c r="X473" s="14">
        <f>IF(V473="Yes",1,0)</f>
        <v>0</v>
      </c>
      <c r="Y473" s="14">
        <f>IF(H473="Active",0,1)</f>
        <v>1</v>
      </c>
    </row>
    <row r="474" spans="1:25" ht="18" customHeight="1" x14ac:dyDescent="0.35">
      <c r="A474" s="8" t="s">
        <v>425</v>
      </c>
      <c r="B474" s="8" t="s">
        <v>140</v>
      </c>
      <c r="C474" s="8" t="s">
        <v>25</v>
      </c>
      <c r="D474" s="9">
        <v>40</v>
      </c>
      <c r="E474" s="8" t="s">
        <v>93</v>
      </c>
      <c r="F474" s="8" t="s">
        <v>12</v>
      </c>
      <c r="G474" s="10">
        <v>45856</v>
      </c>
      <c r="H474" s="8" t="s">
        <v>26</v>
      </c>
      <c r="I474" s="8" t="s">
        <v>27</v>
      </c>
      <c r="J474" s="8" t="s">
        <v>2270</v>
      </c>
      <c r="K474" s="8" t="s">
        <v>2271</v>
      </c>
      <c r="L474" s="8" t="s">
        <v>68</v>
      </c>
      <c r="M474" s="8" t="s">
        <v>45</v>
      </c>
      <c r="N474" s="11">
        <v>70710</v>
      </c>
      <c r="O474" s="11">
        <v>8703</v>
      </c>
      <c r="P474" s="12">
        <v>99.4</v>
      </c>
      <c r="Q474" s="9">
        <v>8</v>
      </c>
      <c r="R474" s="13">
        <v>22</v>
      </c>
      <c r="S474" s="13">
        <v>4</v>
      </c>
      <c r="T474" s="9">
        <v>23</v>
      </c>
      <c r="U474" s="13">
        <v>99</v>
      </c>
      <c r="V474" s="8" t="s">
        <v>31</v>
      </c>
      <c r="W474" s="8"/>
      <c r="X474" s="22">
        <f>IF(V474="Yes",1,0)</f>
        <v>0</v>
      </c>
      <c r="Y474" s="22">
        <f>IF(H474="Active",0,1)</f>
        <v>0</v>
      </c>
    </row>
    <row r="475" spans="1:25" ht="18" customHeight="1" x14ac:dyDescent="0.35">
      <c r="A475" s="8" t="s">
        <v>642</v>
      </c>
      <c r="B475" s="8" t="s">
        <v>327</v>
      </c>
      <c r="C475" s="8" t="s">
        <v>25</v>
      </c>
      <c r="D475" s="9">
        <v>44</v>
      </c>
      <c r="E475" s="8" t="s">
        <v>52</v>
      </c>
      <c r="F475" s="8" t="s">
        <v>72</v>
      </c>
      <c r="G475" s="10">
        <v>45856</v>
      </c>
      <c r="H475" s="8" t="s">
        <v>26</v>
      </c>
      <c r="I475" s="8" t="s">
        <v>27</v>
      </c>
      <c r="J475" s="8" t="s">
        <v>48</v>
      </c>
      <c r="K475" s="8" t="s">
        <v>55</v>
      </c>
      <c r="L475" s="8" t="s">
        <v>29</v>
      </c>
      <c r="M475" s="8" t="s">
        <v>30</v>
      </c>
      <c r="N475" s="11">
        <v>219960</v>
      </c>
      <c r="O475" s="11">
        <v>37033</v>
      </c>
      <c r="P475" s="12">
        <v>92.6</v>
      </c>
      <c r="Q475" s="9">
        <v>7</v>
      </c>
      <c r="R475" s="13">
        <v>30</v>
      </c>
      <c r="S475" s="13">
        <v>4</v>
      </c>
      <c r="T475" s="9">
        <v>15</v>
      </c>
      <c r="U475" s="13">
        <v>63</v>
      </c>
      <c r="V475" s="8" t="s">
        <v>31</v>
      </c>
      <c r="W475" s="8"/>
      <c r="X475" s="22">
        <f>IF(V475="Yes",1,0)</f>
        <v>0</v>
      </c>
      <c r="Y475" s="22">
        <f>IF(H475="Active",0,1)</f>
        <v>0</v>
      </c>
    </row>
    <row r="476" spans="1:25" ht="18" customHeight="1" x14ac:dyDescent="0.35">
      <c r="A476" s="8" t="s">
        <v>1517</v>
      </c>
      <c r="B476" s="8" t="s">
        <v>59</v>
      </c>
      <c r="C476" s="8" t="s">
        <v>25</v>
      </c>
      <c r="D476" s="9">
        <v>55</v>
      </c>
      <c r="E476" s="8" t="s">
        <v>67</v>
      </c>
      <c r="F476" s="8" t="s">
        <v>35</v>
      </c>
      <c r="G476" s="10">
        <v>45856</v>
      </c>
      <c r="H476" s="8" t="s">
        <v>26</v>
      </c>
      <c r="I476" s="8" t="s">
        <v>27</v>
      </c>
      <c r="J476" s="8" t="s">
        <v>2269</v>
      </c>
      <c r="K476" s="8" t="s">
        <v>73</v>
      </c>
      <c r="L476" s="8" t="s">
        <v>68</v>
      </c>
      <c r="M476" s="8" t="s">
        <v>45</v>
      </c>
      <c r="N476" s="11">
        <v>145429</v>
      </c>
      <c r="O476" s="11">
        <v>40123</v>
      </c>
      <c r="P476" s="12">
        <v>93.5</v>
      </c>
      <c r="Q476" s="9">
        <v>5</v>
      </c>
      <c r="R476" s="13">
        <v>21</v>
      </c>
      <c r="S476" s="13">
        <v>4</v>
      </c>
      <c r="T476" s="9">
        <v>25</v>
      </c>
      <c r="U476" s="13">
        <v>62</v>
      </c>
      <c r="V476" s="8" t="s">
        <v>31</v>
      </c>
      <c r="W476" s="8"/>
      <c r="X476" s="22">
        <f>IF(V476="Yes",1,0)</f>
        <v>0</v>
      </c>
      <c r="Y476" s="22">
        <f>IF(H476="Active",0,1)</f>
        <v>0</v>
      </c>
    </row>
    <row r="477" spans="1:25" ht="18" customHeight="1" x14ac:dyDescent="0.35">
      <c r="A477" s="8" t="s">
        <v>1911</v>
      </c>
      <c r="B477" s="8" t="s">
        <v>388</v>
      </c>
      <c r="C477" s="8" t="s">
        <v>25</v>
      </c>
      <c r="D477" s="9">
        <v>30</v>
      </c>
      <c r="E477" s="8" t="s">
        <v>42</v>
      </c>
      <c r="F477" s="8" t="s">
        <v>53</v>
      </c>
      <c r="G477" s="10">
        <v>45856</v>
      </c>
      <c r="H477" s="8" t="s">
        <v>26</v>
      </c>
      <c r="I477" s="8" t="s">
        <v>27</v>
      </c>
      <c r="J477" s="8" t="s">
        <v>2269</v>
      </c>
      <c r="K477" s="8" t="s">
        <v>73</v>
      </c>
      <c r="L477" s="8" t="s">
        <v>87</v>
      </c>
      <c r="M477" s="8" t="s">
        <v>45</v>
      </c>
      <c r="N477" s="11">
        <v>132230</v>
      </c>
      <c r="O477" s="11">
        <v>37989</v>
      </c>
      <c r="P477" s="12">
        <v>88</v>
      </c>
      <c r="Q477" s="9">
        <v>7</v>
      </c>
      <c r="R477" s="13">
        <v>6</v>
      </c>
      <c r="S477" s="13">
        <v>4</v>
      </c>
      <c r="T477" s="9">
        <v>2</v>
      </c>
      <c r="U477" s="13">
        <v>94</v>
      </c>
      <c r="V477" s="8" t="s">
        <v>31</v>
      </c>
      <c r="W477" s="8"/>
      <c r="X477" s="22">
        <f>IF(V477="Yes",1,0)</f>
        <v>0</v>
      </c>
      <c r="Y477" s="22">
        <f>IF(H477="Active",0,1)</f>
        <v>0</v>
      </c>
    </row>
    <row r="478" spans="1:25" ht="18" customHeight="1" x14ac:dyDescent="0.35">
      <c r="A478" s="8" t="s">
        <v>1995</v>
      </c>
      <c r="B478" s="8" t="s">
        <v>806</v>
      </c>
      <c r="C478" s="8" t="s">
        <v>25</v>
      </c>
      <c r="D478" s="9">
        <v>52</v>
      </c>
      <c r="E478" s="8" t="s">
        <v>2304</v>
      </c>
      <c r="F478" s="8" t="s">
        <v>43</v>
      </c>
      <c r="G478" s="10">
        <v>45856</v>
      </c>
      <c r="H478" s="8" t="s">
        <v>26</v>
      </c>
      <c r="I478" s="8" t="s">
        <v>27</v>
      </c>
      <c r="J478" s="8" t="s">
        <v>2268</v>
      </c>
      <c r="K478" s="8" t="s">
        <v>28</v>
      </c>
      <c r="L478" s="8" t="s">
        <v>116</v>
      </c>
      <c r="M478" s="8" t="s">
        <v>39</v>
      </c>
      <c r="N478" s="11">
        <v>193064</v>
      </c>
      <c r="O478" s="11">
        <v>33247</v>
      </c>
      <c r="P478" s="12">
        <v>93.8</v>
      </c>
      <c r="Q478" s="9">
        <v>9</v>
      </c>
      <c r="R478" s="13">
        <v>2</v>
      </c>
      <c r="S478" s="13">
        <v>2</v>
      </c>
      <c r="T478" s="9">
        <v>21</v>
      </c>
      <c r="U478" s="13">
        <v>66</v>
      </c>
      <c r="V478" s="8" t="s">
        <v>31</v>
      </c>
      <c r="W478" s="8"/>
      <c r="X478" s="22">
        <f>IF(V478="Yes",1,0)</f>
        <v>0</v>
      </c>
      <c r="Y478" s="22">
        <f>IF(H478="Active",0,1)</f>
        <v>0</v>
      </c>
    </row>
    <row r="479" spans="1:25" ht="18" customHeight="1" x14ac:dyDescent="0.35">
      <c r="A479" s="8" t="s">
        <v>2095</v>
      </c>
      <c r="B479" s="8" t="s">
        <v>339</v>
      </c>
      <c r="C479" s="8" t="s">
        <v>25</v>
      </c>
      <c r="D479" s="9">
        <v>24</v>
      </c>
      <c r="E479" s="8" t="s">
        <v>109</v>
      </c>
      <c r="F479" s="8" t="s">
        <v>12</v>
      </c>
      <c r="G479" s="10">
        <v>45856</v>
      </c>
      <c r="H479" s="8" t="s">
        <v>26</v>
      </c>
      <c r="I479" s="8" t="s">
        <v>36</v>
      </c>
      <c r="J479" s="8" t="s">
        <v>48</v>
      </c>
      <c r="K479" s="8" t="s">
        <v>2271</v>
      </c>
      <c r="L479" s="8" t="s">
        <v>87</v>
      </c>
      <c r="M479" s="8" t="s">
        <v>39</v>
      </c>
      <c r="N479" s="11">
        <v>93127</v>
      </c>
      <c r="O479" s="11">
        <v>36646</v>
      </c>
      <c r="P479" s="12">
        <v>82.2</v>
      </c>
      <c r="Q479" s="9">
        <v>3</v>
      </c>
      <c r="R479" s="13">
        <v>11</v>
      </c>
      <c r="S479" s="13">
        <v>3</v>
      </c>
      <c r="T479" s="9">
        <v>16</v>
      </c>
      <c r="U479" s="13">
        <v>86</v>
      </c>
      <c r="V479" s="8" t="s">
        <v>31</v>
      </c>
      <c r="W479" s="8"/>
      <c r="X479" s="22">
        <f>IF(V479="Yes",1,0)</f>
        <v>0</v>
      </c>
      <c r="Y479" s="22">
        <f>IF(H479="Active",0,1)</f>
        <v>0</v>
      </c>
    </row>
    <row r="480" spans="1:25" ht="18" customHeight="1" x14ac:dyDescent="0.35">
      <c r="A480" s="8" t="s">
        <v>322</v>
      </c>
      <c r="B480" s="8" t="s">
        <v>323</v>
      </c>
      <c r="C480" s="8" t="s">
        <v>25</v>
      </c>
      <c r="D480" s="9">
        <v>39</v>
      </c>
      <c r="E480" s="8" t="s">
        <v>42</v>
      </c>
      <c r="F480" s="8" t="s">
        <v>79</v>
      </c>
      <c r="G480" s="10">
        <v>45855</v>
      </c>
      <c r="H480" s="8" t="s">
        <v>54</v>
      </c>
      <c r="I480" s="8" t="s">
        <v>2267</v>
      </c>
      <c r="J480" s="8" t="s">
        <v>48</v>
      </c>
      <c r="K480" s="8" t="s">
        <v>73</v>
      </c>
      <c r="L480" s="8" t="s">
        <v>68</v>
      </c>
      <c r="M480" s="8" t="s">
        <v>39</v>
      </c>
      <c r="N480" s="11">
        <v>178432</v>
      </c>
      <c r="O480" s="11">
        <v>5174</v>
      </c>
      <c r="P480" s="12">
        <v>97.7</v>
      </c>
      <c r="Q480" s="9">
        <v>0</v>
      </c>
      <c r="R480" s="13">
        <v>17</v>
      </c>
      <c r="S480" s="13">
        <v>1</v>
      </c>
      <c r="T480" s="9">
        <v>25</v>
      </c>
      <c r="U480" s="13">
        <v>97</v>
      </c>
      <c r="V480" s="8" t="s">
        <v>69</v>
      </c>
      <c r="W480" s="8" t="s">
        <v>205</v>
      </c>
      <c r="X480" s="22">
        <f>IF(V480="Yes",1,0)</f>
        <v>1</v>
      </c>
      <c r="Y480" s="22">
        <f>IF(H480="Active",0,1)</f>
        <v>1</v>
      </c>
    </row>
    <row r="481" spans="1:25" ht="18" customHeight="1" x14ac:dyDescent="0.35">
      <c r="A481" s="8" t="s">
        <v>1899</v>
      </c>
      <c r="B481" s="8" t="s">
        <v>341</v>
      </c>
      <c r="C481" s="8" t="s">
        <v>34</v>
      </c>
      <c r="D481" s="9">
        <v>28</v>
      </c>
      <c r="E481" s="8" t="s">
        <v>2304</v>
      </c>
      <c r="F481" s="8" t="s">
        <v>76</v>
      </c>
      <c r="G481" s="10">
        <v>45855</v>
      </c>
      <c r="H481" s="8" t="s">
        <v>26</v>
      </c>
      <c r="I481" s="8" t="s">
        <v>36</v>
      </c>
      <c r="J481" s="8" t="s">
        <v>2268</v>
      </c>
      <c r="K481" s="8" t="s">
        <v>73</v>
      </c>
      <c r="L481" s="8" t="s">
        <v>56</v>
      </c>
      <c r="M481" s="8" t="s">
        <v>39</v>
      </c>
      <c r="N481" s="11">
        <v>146203</v>
      </c>
      <c r="O481" s="11">
        <v>31997</v>
      </c>
      <c r="P481" s="12">
        <v>85.9</v>
      </c>
      <c r="Q481" s="9">
        <v>8</v>
      </c>
      <c r="R481" s="13">
        <v>21</v>
      </c>
      <c r="S481" s="13">
        <v>3</v>
      </c>
      <c r="T481" s="9">
        <v>27</v>
      </c>
      <c r="U481" s="13">
        <v>93</v>
      </c>
      <c r="V481" s="8" t="s">
        <v>31</v>
      </c>
      <c r="W481" s="8"/>
      <c r="X481" s="22">
        <f>IF(V481="Yes",1,0)</f>
        <v>0</v>
      </c>
      <c r="Y481" s="22">
        <f>IF(H481="Active",0,1)</f>
        <v>0</v>
      </c>
    </row>
    <row r="482" spans="1:25" ht="18" customHeight="1" x14ac:dyDescent="0.35">
      <c r="A482" s="8" t="s">
        <v>1531</v>
      </c>
      <c r="B482" s="8" t="s">
        <v>506</v>
      </c>
      <c r="C482" s="8" t="s">
        <v>25</v>
      </c>
      <c r="D482" s="9">
        <v>33</v>
      </c>
      <c r="E482" s="8" t="s">
        <v>2304</v>
      </c>
      <c r="F482" s="8" t="s">
        <v>35</v>
      </c>
      <c r="G482" s="10">
        <v>45854</v>
      </c>
      <c r="H482" s="8" t="s">
        <v>26</v>
      </c>
      <c r="I482" s="8" t="s">
        <v>2267</v>
      </c>
      <c r="J482" s="8" t="s">
        <v>2269</v>
      </c>
      <c r="K482" s="8" t="s">
        <v>37</v>
      </c>
      <c r="L482" s="8" t="s">
        <v>87</v>
      </c>
      <c r="M482" s="8" t="s">
        <v>45</v>
      </c>
      <c r="N482" s="11">
        <v>209176</v>
      </c>
      <c r="O482" s="11">
        <v>23979</v>
      </c>
      <c r="P482" s="12">
        <v>89.7</v>
      </c>
      <c r="Q482" s="9">
        <v>7</v>
      </c>
      <c r="R482" s="13">
        <v>25</v>
      </c>
      <c r="S482" s="13">
        <v>2</v>
      </c>
      <c r="T482" s="9">
        <v>8</v>
      </c>
      <c r="U482" s="13">
        <v>98</v>
      </c>
      <c r="V482" s="8" t="s">
        <v>31</v>
      </c>
      <c r="W482" s="8"/>
      <c r="X482" s="22">
        <f>IF(V482="Yes",1,0)</f>
        <v>0</v>
      </c>
      <c r="Y482" s="22">
        <f>IF(H482="Active",0,1)</f>
        <v>0</v>
      </c>
    </row>
    <row r="483" spans="1:25" ht="18" customHeight="1" x14ac:dyDescent="0.35">
      <c r="A483" s="14" t="s">
        <v>2234</v>
      </c>
      <c r="B483" s="14" t="s">
        <v>108</v>
      </c>
      <c r="C483" s="14" t="s">
        <v>25</v>
      </c>
      <c r="D483" s="15">
        <v>44</v>
      </c>
      <c r="E483" s="14" t="s">
        <v>93</v>
      </c>
      <c r="F483" s="14" t="s">
        <v>72</v>
      </c>
      <c r="G483" s="16">
        <v>45854</v>
      </c>
      <c r="H483" s="14" t="s">
        <v>26</v>
      </c>
      <c r="I483" s="14" t="s">
        <v>2267</v>
      </c>
      <c r="J483" s="14" t="s">
        <v>80</v>
      </c>
      <c r="K483" s="14" t="s">
        <v>37</v>
      </c>
      <c r="L483" s="14" t="s">
        <v>87</v>
      </c>
      <c r="M483" s="14" t="s">
        <v>64</v>
      </c>
      <c r="N483" s="17">
        <v>233076</v>
      </c>
      <c r="O483" s="17">
        <v>25461</v>
      </c>
      <c r="P483" s="18">
        <v>83</v>
      </c>
      <c r="Q483" s="15">
        <v>4</v>
      </c>
      <c r="R483" s="19">
        <v>20</v>
      </c>
      <c r="S483" s="19">
        <v>1</v>
      </c>
      <c r="T483" s="15">
        <v>36</v>
      </c>
      <c r="U483" s="19">
        <v>72</v>
      </c>
      <c r="V483" s="14" t="s">
        <v>31</v>
      </c>
      <c r="W483" s="14"/>
      <c r="X483" s="14">
        <f>IF(V483="Yes",1,0)</f>
        <v>0</v>
      </c>
      <c r="Y483" s="14">
        <f>IF(H483="Active",0,1)</f>
        <v>0</v>
      </c>
    </row>
    <row r="484" spans="1:25" ht="18" customHeight="1" x14ac:dyDescent="0.35">
      <c r="A484" s="8" t="s">
        <v>843</v>
      </c>
      <c r="B484" s="8" t="s">
        <v>62</v>
      </c>
      <c r="C484" s="8" t="s">
        <v>25</v>
      </c>
      <c r="D484" s="9">
        <v>48</v>
      </c>
      <c r="E484" s="8" t="s">
        <v>67</v>
      </c>
      <c r="F484" s="8" t="s">
        <v>72</v>
      </c>
      <c r="G484" s="10">
        <v>45853</v>
      </c>
      <c r="H484" s="8" t="s">
        <v>26</v>
      </c>
      <c r="I484" s="8" t="s">
        <v>27</v>
      </c>
      <c r="J484" s="8" t="s">
        <v>2268</v>
      </c>
      <c r="K484" s="8" t="s">
        <v>37</v>
      </c>
      <c r="L484" s="8" t="s">
        <v>56</v>
      </c>
      <c r="M484" s="8" t="s">
        <v>30</v>
      </c>
      <c r="N484" s="11">
        <v>149921</v>
      </c>
      <c r="O484" s="11">
        <v>6159</v>
      </c>
      <c r="P484" s="12">
        <v>97.8</v>
      </c>
      <c r="Q484" s="9">
        <v>6</v>
      </c>
      <c r="R484" s="13">
        <v>5</v>
      </c>
      <c r="S484" s="13">
        <v>1</v>
      </c>
      <c r="T484" s="9">
        <v>35</v>
      </c>
      <c r="U484" s="13">
        <v>97</v>
      </c>
      <c r="V484" s="8" t="s">
        <v>31</v>
      </c>
      <c r="W484" s="8"/>
      <c r="X484" s="22">
        <f>IF(V484="Yes",1,0)</f>
        <v>0</v>
      </c>
      <c r="Y484" s="22">
        <f>IF(H484="Active",0,1)</f>
        <v>0</v>
      </c>
    </row>
    <row r="485" spans="1:25" ht="18" customHeight="1" x14ac:dyDescent="0.35">
      <c r="A485" s="8" t="s">
        <v>930</v>
      </c>
      <c r="B485" s="8" t="s">
        <v>413</v>
      </c>
      <c r="C485" s="8" t="s">
        <v>25</v>
      </c>
      <c r="D485" s="9">
        <v>43</v>
      </c>
      <c r="E485" s="8" t="s">
        <v>109</v>
      </c>
      <c r="F485" s="8" t="s">
        <v>35</v>
      </c>
      <c r="G485" s="10">
        <v>45853</v>
      </c>
      <c r="H485" s="8" t="s">
        <v>26</v>
      </c>
      <c r="I485" s="8" t="s">
        <v>2267</v>
      </c>
      <c r="J485" s="8" t="s">
        <v>80</v>
      </c>
      <c r="K485" s="8" t="s">
        <v>73</v>
      </c>
      <c r="L485" s="8" t="s">
        <v>38</v>
      </c>
      <c r="M485" s="8" t="s">
        <v>30</v>
      </c>
      <c r="N485" s="11">
        <v>77854</v>
      </c>
      <c r="O485" s="11">
        <v>18885</v>
      </c>
      <c r="P485" s="12">
        <v>81.2</v>
      </c>
      <c r="Q485" s="9">
        <v>1</v>
      </c>
      <c r="R485" s="13">
        <v>11</v>
      </c>
      <c r="S485" s="13">
        <v>1</v>
      </c>
      <c r="T485" s="9">
        <v>9</v>
      </c>
      <c r="U485" s="13">
        <v>63</v>
      </c>
      <c r="V485" s="8" t="s">
        <v>31</v>
      </c>
      <c r="W485" s="8"/>
      <c r="X485" s="22">
        <f>IF(V485="Yes",1,0)</f>
        <v>0</v>
      </c>
      <c r="Y485" s="22">
        <f>IF(H485="Active",0,1)</f>
        <v>0</v>
      </c>
    </row>
    <row r="486" spans="1:25" ht="18" customHeight="1" x14ac:dyDescent="0.35">
      <c r="A486" s="8" t="s">
        <v>1373</v>
      </c>
      <c r="B486" s="8" t="s">
        <v>314</v>
      </c>
      <c r="C486" s="8" t="s">
        <v>25</v>
      </c>
      <c r="D486" s="9">
        <v>23</v>
      </c>
      <c r="E486" s="8" t="s">
        <v>86</v>
      </c>
      <c r="F486" s="8" t="s">
        <v>12</v>
      </c>
      <c r="G486" s="10">
        <v>45853</v>
      </c>
      <c r="H486" s="8" t="s">
        <v>26</v>
      </c>
      <c r="I486" s="8" t="s">
        <v>2267</v>
      </c>
      <c r="J486" s="8" t="s">
        <v>2269</v>
      </c>
      <c r="K486" s="8" t="s">
        <v>55</v>
      </c>
      <c r="L486" s="8" t="s">
        <v>56</v>
      </c>
      <c r="M486" s="8" t="s">
        <v>30</v>
      </c>
      <c r="N486" s="11">
        <v>198747</v>
      </c>
      <c r="O486" s="11">
        <v>47879</v>
      </c>
      <c r="P486" s="12">
        <v>97.2</v>
      </c>
      <c r="Q486" s="9">
        <v>2</v>
      </c>
      <c r="R486" s="13">
        <v>8</v>
      </c>
      <c r="S486" s="13">
        <v>2</v>
      </c>
      <c r="T486" s="9">
        <v>38</v>
      </c>
      <c r="U486" s="13">
        <v>62</v>
      </c>
      <c r="V486" s="8" t="s">
        <v>31</v>
      </c>
      <c r="W486" s="8"/>
      <c r="X486" s="22">
        <f>IF(V486="Yes",1,0)</f>
        <v>0</v>
      </c>
      <c r="Y486" s="22">
        <f>IF(H486="Active",0,1)</f>
        <v>0</v>
      </c>
    </row>
    <row r="487" spans="1:25" ht="18" customHeight="1" x14ac:dyDescent="0.35">
      <c r="A487" s="8" t="s">
        <v>306</v>
      </c>
      <c r="B487" s="8" t="s">
        <v>197</v>
      </c>
      <c r="C487" s="8" t="s">
        <v>34</v>
      </c>
      <c r="D487" s="9">
        <v>25</v>
      </c>
      <c r="E487" s="8" t="s">
        <v>52</v>
      </c>
      <c r="F487" s="8" t="s">
        <v>72</v>
      </c>
      <c r="G487" s="10">
        <v>45852</v>
      </c>
      <c r="H487" s="8" t="s">
        <v>26</v>
      </c>
      <c r="I487" s="8" t="s">
        <v>27</v>
      </c>
      <c r="J487" s="8" t="s">
        <v>2268</v>
      </c>
      <c r="K487" s="8" t="s">
        <v>2271</v>
      </c>
      <c r="L487" s="8" t="s">
        <v>38</v>
      </c>
      <c r="M487" s="8" t="s">
        <v>45</v>
      </c>
      <c r="N487" s="11">
        <v>169524</v>
      </c>
      <c r="O487" s="11">
        <v>15738</v>
      </c>
      <c r="P487" s="12">
        <v>95.4</v>
      </c>
      <c r="Q487" s="9">
        <v>9</v>
      </c>
      <c r="R487" s="13">
        <v>7</v>
      </c>
      <c r="S487" s="13">
        <v>2</v>
      </c>
      <c r="T487" s="9">
        <v>38</v>
      </c>
      <c r="U487" s="13">
        <v>75</v>
      </c>
      <c r="V487" s="8" t="s">
        <v>31</v>
      </c>
      <c r="W487" s="8"/>
      <c r="X487" s="22">
        <f>IF(V487="Yes",1,0)</f>
        <v>0</v>
      </c>
      <c r="Y487" s="22">
        <f>IF(H487="Active",0,1)</f>
        <v>0</v>
      </c>
    </row>
    <row r="488" spans="1:25" ht="18" customHeight="1" x14ac:dyDescent="0.35">
      <c r="A488" s="8" t="s">
        <v>2265</v>
      </c>
      <c r="B488" s="8" t="s">
        <v>553</v>
      </c>
      <c r="C488" s="8" t="s">
        <v>25</v>
      </c>
      <c r="D488" s="9">
        <v>28</v>
      </c>
      <c r="E488" s="8" t="s">
        <v>86</v>
      </c>
      <c r="F488" s="8" t="s">
        <v>76</v>
      </c>
      <c r="G488" s="10">
        <v>45852</v>
      </c>
      <c r="H488" s="8" t="s">
        <v>54</v>
      </c>
      <c r="I488" s="8" t="s">
        <v>27</v>
      </c>
      <c r="J488" s="8" t="s">
        <v>2268</v>
      </c>
      <c r="K488" s="8" t="s">
        <v>28</v>
      </c>
      <c r="L488" s="8" t="s">
        <v>116</v>
      </c>
      <c r="M488" s="8" t="s">
        <v>39</v>
      </c>
      <c r="N488" s="11">
        <v>74383</v>
      </c>
      <c r="O488" s="11">
        <v>16851</v>
      </c>
      <c r="P488" s="12">
        <v>95.8</v>
      </c>
      <c r="Q488" s="9">
        <v>4</v>
      </c>
      <c r="R488" s="13">
        <v>5</v>
      </c>
      <c r="S488" s="13">
        <v>1</v>
      </c>
      <c r="T488" s="9">
        <v>23</v>
      </c>
      <c r="U488" s="13">
        <v>78</v>
      </c>
      <c r="V488" s="8" t="s">
        <v>31</v>
      </c>
      <c r="W488" s="8" t="s">
        <v>205</v>
      </c>
      <c r="X488" s="22">
        <f>IF(V488="Yes",1,0)</f>
        <v>0</v>
      </c>
      <c r="Y488" s="22">
        <f>IF(H488="Active",0,1)</f>
        <v>1</v>
      </c>
    </row>
    <row r="489" spans="1:25" ht="18" customHeight="1" x14ac:dyDescent="0.35">
      <c r="A489" s="8" t="s">
        <v>182</v>
      </c>
      <c r="B489" s="8" t="s">
        <v>85</v>
      </c>
      <c r="C489" s="8" t="s">
        <v>34</v>
      </c>
      <c r="D489" s="9">
        <v>59</v>
      </c>
      <c r="E489" s="8" t="s">
        <v>2303</v>
      </c>
      <c r="F489" s="8" t="s">
        <v>79</v>
      </c>
      <c r="G489" s="10">
        <v>45851</v>
      </c>
      <c r="H489" s="8" t="s">
        <v>26</v>
      </c>
      <c r="I489" s="8" t="s">
        <v>36</v>
      </c>
      <c r="J489" s="8" t="s">
        <v>2269</v>
      </c>
      <c r="K489" s="8" t="s">
        <v>37</v>
      </c>
      <c r="L489" s="8" t="s">
        <v>38</v>
      </c>
      <c r="M489" s="8" t="s">
        <v>60</v>
      </c>
      <c r="N489" s="11">
        <v>120086</v>
      </c>
      <c r="O489" s="11">
        <v>20992</v>
      </c>
      <c r="P489" s="12">
        <v>84.7</v>
      </c>
      <c r="Q489" s="9">
        <v>5</v>
      </c>
      <c r="R489" s="13">
        <v>16</v>
      </c>
      <c r="S489" s="13">
        <v>1</v>
      </c>
      <c r="T489" s="9">
        <v>3</v>
      </c>
      <c r="U489" s="13">
        <v>84</v>
      </c>
      <c r="V489" s="8" t="s">
        <v>31</v>
      </c>
      <c r="W489" s="8"/>
      <c r="X489" s="22">
        <f>IF(V489="Yes",1,0)</f>
        <v>0</v>
      </c>
      <c r="Y489" s="22">
        <f>IF(H489="Active",0,1)</f>
        <v>0</v>
      </c>
    </row>
    <row r="490" spans="1:25" ht="18" customHeight="1" x14ac:dyDescent="0.35">
      <c r="A490" s="14" t="s">
        <v>385</v>
      </c>
      <c r="B490" s="14" t="s">
        <v>386</v>
      </c>
      <c r="C490" s="14" t="s">
        <v>25</v>
      </c>
      <c r="D490" s="15">
        <v>23</v>
      </c>
      <c r="E490" s="14" t="s">
        <v>2303</v>
      </c>
      <c r="F490" s="14" t="s">
        <v>90</v>
      </c>
      <c r="G490" s="16">
        <v>45850</v>
      </c>
      <c r="H490" s="14" t="s">
        <v>26</v>
      </c>
      <c r="I490" s="14" t="s">
        <v>27</v>
      </c>
      <c r="J490" s="14" t="s">
        <v>80</v>
      </c>
      <c r="K490" s="14" t="s">
        <v>28</v>
      </c>
      <c r="L490" s="14" t="s">
        <v>44</v>
      </c>
      <c r="M490" s="14" t="s">
        <v>39</v>
      </c>
      <c r="N490" s="17">
        <v>38730</v>
      </c>
      <c r="O490" s="17">
        <v>17436</v>
      </c>
      <c r="P490" s="18">
        <v>95.9</v>
      </c>
      <c r="Q490" s="15">
        <v>4</v>
      </c>
      <c r="R490" s="19">
        <v>26</v>
      </c>
      <c r="S490" s="19">
        <v>4</v>
      </c>
      <c r="T490" s="15">
        <v>39</v>
      </c>
      <c r="U490" s="19">
        <v>72</v>
      </c>
      <c r="V490" s="14" t="s">
        <v>31</v>
      </c>
      <c r="W490" s="14"/>
      <c r="X490" s="14">
        <f>IF(V490="Yes",1,0)</f>
        <v>0</v>
      </c>
      <c r="Y490" s="14">
        <f>IF(H490="Active",0,1)</f>
        <v>0</v>
      </c>
    </row>
    <row r="491" spans="1:25" ht="18" customHeight="1" x14ac:dyDescent="0.35">
      <c r="A491" s="14" t="s">
        <v>846</v>
      </c>
      <c r="B491" s="14" t="s">
        <v>323</v>
      </c>
      <c r="C491" s="14" t="s">
        <v>25</v>
      </c>
      <c r="D491" s="15">
        <v>23</v>
      </c>
      <c r="E491" s="14" t="s">
        <v>2303</v>
      </c>
      <c r="F491" s="14" t="s">
        <v>12</v>
      </c>
      <c r="G491" s="16">
        <v>45850</v>
      </c>
      <c r="H491" s="14" t="s">
        <v>26</v>
      </c>
      <c r="I491" s="14" t="s">
        <v>27</v>
      </c>
      <c r="J491" s="14" t="s">
        <v>2268</v>
      </c>
      <c r="K491" s="14" t="s">
        <v>2271</v>
      </c>
      <c r="L491" s="14" t="s">
        <v>68</v>
      </c>
      <c r="M491" s="14" t="s">
        <v>30</v>
      </c>
      <c r="N491" s="17">
        <v>211141</v>
      </c>
      <c r="O491" s="17">
        <v>20203</v>
      </c>
      <c r="P491" s="18">
        <v>97.2</v>
      </c>
      <c r="Q491" s="15">
        <v>1</v>
      </c>
      <c r="R491" s="19">
        <v>12</v>
      </c>
      <c r="S491" s="19">
        <v>3</v>
      </c>
      <c r="T491" s="15">
        <v>8</v>
      </c>
      <c r="U491" s="19">
        <v>92</v>
      </c>
      <c r="V491" s="14" t="s">
        <v>31</v>
      </c>
      <c r="W491" s="14"/>
      <c r="X491" s="14">
        <f>IF(V491="Yes",1,0)</f>
        <v>0</v>
      </c>
      <c r="Y491" s="14">
        <f>IF(H491="Active",0,1)</f>
        <v>0</v>
      </c>
    </row>
    <row r="492" spans="1:25" ht="18" customHeight="1" x14ac:dyDescent="0.35">
      <c r="A492" s="14" t="s">
        <v>301</v>
      </c>
      <c r="B492" s="14" t="s">
        <v>302</v>
      </c>
      <c r="C492" s="14" t="s">
        <v>34</v>
      </c>
      <c r="D492" s="15">
        <v>27</v>
      </c>
      <c r="E492" s="14" t="s">
        <v>67</v>
      </c>
      <c r="F492" s="14" t="s">
        <v>35</v>
      </c>
      <c r="G492" s="16">
        <v>45849</v>
      </c>
      <c r="H492" s="14" t="s">
        <v>26</v>
      </c>
      <c r="I492" s="14" t="s">
        <v>27</v>
      </c>
      <c r="J492" s="14" t="s">
        <v>2268</v>
      </c>
      <c r="K492" s="14" t="s">
        <v>2271</v>
      </c>
      <c r="L492" s="14" t="s">
        <v>68</v>
      </c>
      <c r="M492" s="14" t="s">
        <v>64</v>
      </c>
      <c r="N492" s="17">
        <v>157755</v>
      </c>
      <c r="O492" s="17">
        <v>7537</v>
      </c>
      <c r="P492" s="18">
        <v>80.099999999999994</v>
      </c>
      <c r="Q492" s="15">
        <v>1</v>
      </c>
      <c r="R492" s="19">
        <v>8</v>
      </c>
      <c r="S492" s="19">
        <v>5</v>
      </c>
      <c r="T492" s="15">
        <v>12</v>
      </c>
      <c r="U492" s="19">
        <v>66</v>
      </c>
      <c r="V492" s="14" t="s">
        <v>31</v>
      </c>
      <c r="W492" s="14"/>
      <c r="X492" s="14">
        <f>IF(V492="Yes",1,0)</f>
        <v>0</v>
      </c>
      <c r="Y492" s="14">
        <f>IF(H492="Active",0,1)</f>
        <v>0</v>
      </c>
    </row>
    <row r="493" spans="1:25" ht="18" customHeight="1" x14ac:dyDescent="0.35">
      <c r="A493" s="14" t="s">
        <v>554</v>
      </c>
      <c r="B493" s="14" t="s">
        <v>144</v>
      </c>
      <c r="C493" s="14" t="s">
        <v>34</v>
      </c>
      <c r="D493" s="15">
        <v>40</v>
      </c>
      <c r="E493" s="14" t="s">
        <v>52</v>
      </c>
      <c r="F493" s="14" t="s">
        <v>12</v>
      </c>
      <c r="G493" s="16">
        <v>45849</v>
      </c>
      <c r="H493" s="14" t="s">
        <v>26</v>
      </c>
      <c r="I493" s="14" t="s">
        <v>2267</v>
      </c>
      <c r="J493" s="14" t="s">
        <v>2270</v>
      </c>
      <c r="K493" s="14" t="s">
        <v>73</v>
      </c>
      <c r="L493" s="14" t="s">
        <v>38</v>
      </c>
      <c r="M493" s="14" t="s">
        <v>45</v>
      </c>
      <c r="N493" s="17">
        <v>43610</v>
      </c>
      <c r="O493" s="17">
        <v>9281</v>
      </c>
      <c r="P493" s="18">
        <v>85.8</v>
      </c>
      <c r="Q493" s="15">
        <v>8</v>
      </c>
      <c r="R493" s="19">
        <v>23</v>
      </c>
      <c r="S493" s="19">
        <v>2</v>
      </c>
      <c r="T493" s="15">
        <v>40</v>
      </c>
      <c r="U493" s="19">
        <v>82</v>
      </c>
      <c r="V493" s="14" t="s">
        <v>31</v>
      </c>
      <c r="W493" s="14"/>
      <c r="X493" s="14">
        <f>IF(V493="Yes",1,0)</f>
        <v>0</v>
      </c>
      <c r="Y493" s="14">
        <f>IF(H493="Active",0,1)</f>
        <v>0</v>
      </c>
    </row>
    <row r="494" spans="1:25" ht="18" customHeight="1" x14ac:dyDescent="0.35">
      <c r="A494" s="8" t="s">
        <v>755</v>
      </c>
      <c r="B494" s="8" t="s">
        <v>390</v>
      </c>
      <c r="C494" s="8" t="s">
        <v>34</v>
      </c>
      <c r="D494" s="9">
        <v>25</v>
      </c>
      <c r="E494" s="8" t="s">
        <v>93</v>
      </c>
      <c r="F494" s="8" t="s">
        <v>76</v>
      </c>
      <c r="G494" s="10">
        <v>45849</v>
      </c>
      <c r="H494" s="8" t="s">
        <v>26</v>
      </c>
      <c r="I494" s="8" t="s">
        <v>2267</v>
      </c>
      <c r="J494" s="8" t="s">
        <v>2269</v>
      </c>
      <c r="K494" s="8" t="s">
        <v>28</v>
      </c>
      <c r="L494" s="8" t="s">
        <v>44</v>
      </c>
      <c r="M494" s="8" t="s">
        <v>30</v>
      </c>
      <c r="N494" s="11">
        <v>187515</v>
      </c>
      <c r="O494" s="11">
        <v>30611</v>
      </c>
      <c r="P494" s="12">
        <v>83.2</v>
      </c>
      <c r="Q494" s="9">
        <v>7</v>
      </c>
      <c r="R494" s="13">
        <v>12</v>
      </c>
      <c r="S494" s="13">
        <v>2</v>
      </c>
      <c r="T494" s="9">
        <v>33</v>
      </c>
      <c r="U494" s="13">
        <v>78</v>
      </c>
      <c r="V494" s="8" t="s">
        <v>31</v>
      </c>
      <c r="W494" s="8"/>
      <c r="X494" s="22">
        <f>IF(V494="Yes",1,0)</f>
        <v>0</v>
      </c>
      <c r="Y494" s="22">
        <f>IF(H494="Active",0,1)</f>
        <v>0</v>
      </c>
    </row>
    <row r="495" spans="1:25" ht="18" customHeight="1" x14ac:dyDescent="0.35">
      <c r="A495" s="14" t="s">
        <v>1084</v>
      </c>
      <c r="B495" s="14" t="s">
        <v>293</v>
      </c>
      <c r="C495" s="14" t="s">
        <v>25</v>
      </c>
      <c r="D495" s="15">
        <v>21</v>
      </c>
      <c r="E495" s="14" t="s">
        <v>42</v>
      </c>
      <c r="F495" s="14" t="s">
        <v>12</v>
      </c>
      <c r="G495" s="16">
        <v>45849</v>
      </c>
      <c r="H495" s="14" t="s">
        <v>26</v>
      </c>
      <c r="I495" s="14" t="s">
        <v>36</v>
      </c>
      <c r="J495" s="14" t="s">
        <v>80</v>
      </c>
      <c r="K495" s="14" t="s">
        <v>37</v>
      </c>
      <c r="L495" s="14" t="s">
        <v>56</v>
      </c>
      <c r="M495" s="14" t="s">
        <v>60</v>
      </c>
      <c r="N495" s="17">
        <v>198149</v>
      </c>
      <c r="O495" s="17">
        <v>8429</v>
      </c>
      <c r="P495" s="18">
        <v>94.5</v>
      </c>
      <c r="Q495" s="15">
        <v>10</v>
      </c>
      <c r="R495" s="19">
        <v>3</v>
      </c>
      <c r="S495" s="19">
        <v>4</v>
      </c>
      <c r="T495" s="15">
        <v>21</v>
      </c>
      <c r="U495" s="19">
        <v>95</v>
      </c>
      <c r="V495" s="14" t="s">
        <v>31</v>
      </c>
      <c r="W495" s="14"/>
      <c r="X495" s="14">
        <f>IF(V495="Yes",1,0)</f>
        <v>0</v>
      </c>
      <c r="Y495" s="14">
        <f>IF(H495="Active",0,1)</f>
        <v>0</v>
      </c>
    </row>
    <row r="496" spans="1:25" ht="18" customHeight="1" x14ac:dyDescent="0.35">
      <c r="A496" s="14" t="s">
        <v>1400</v>
      </c>
      <c r="B496" s="14" t="s">
        <v>591</v>
      </c>
      <c r="C496" s="14" t="s">
        <v>25</v>
      </c>
      <c r="D496" s="15">
        <v>35</v>
      </c>
      <c r="E496" s="14" t="s">
        <v>86</v>
      </c>
      <c r="F496" s="14" t="s">
        <v>12</v>
      </c>
      <c r="G496" s="16">
        <v>45849</v>
      </c>
      <c r="H496" s="14" t="s">
        <v>26</v>
      </c>
      <c r="I496" s="14" t="s">
        <v>2267</v>
      </c>
      <c r="J496" s="14" t="s">
        <v>2270</v>
      </c>
      <c r="K496" s="14" t="s">
        <v>37</v>
      </c>
      <c r="L496" s="14" t="s">
        <v>116</v>
      </c>
      <c r="M496" s="14" t="s">
        <v>64</v>
      </c>
      <c r="N496" s="17">
        <v>90279</v>
      </c>
      <c r="O496" s="17">
        <v>31105</v>
      </c>
      <c r="P496" s="18">
        <v>88.4</v>
      </c>
      <c r="Q496" s="15">
        <v>8</v>
      </c>
      <c r="R496" s="19">
        <v>23</v>
      </c>
      <c r="S496" s="19">
        <v>3</v>
      </c>
      <c r="T496" s="15">
        <v>27</v>
      </c>
      <c r="U496" s="19">
        <v>79</v>
      </c>
      <c r="V496" s="14" t="s">
        <v>31</v>
      </c>
      <c r="W496" s="14"/>
      <c r="X496" s="14">
        <f>IF(V496="Yes",1,0)</f>
        <v>0</v>
      </c>
      <c r="Y496" s="14">
        <f>IF(H496="Active",0,1)</f>
        <v>0</v>
      </c>
    </row>
    <row r="497" spans="1:25" ht="18" customHeight="1" x14ac:dyDescent="0.35">
      <c r="A497" s="8" t="s">
        <v>2161</v>
      </c>
      <c r="B497" s="8" t="s">
        <v>175</v>
      </c>
      <c r="C497" s="8" t="s">
        <v>25</v>
      </c>
      <c r="D497" s="9">
        <v>47</v>
      </c>
      <c r="E497" s="8" t="s">
        <v>86</v>
      </c>
      <c r="F497" s="8" t="s">
        <v>43</v>
      </c>
      <c r="G497" s="10">
        <v>45849</v>
      </c>
      <c r="H497" s="8" t="s">
        <v>26</v>
      </c>
      <c r="I497" s="8" t="s">
        <v>27</v>
      </c>
      <c r="J497" s="8" t="s">
        <v>80</v>
      </c>
      <c r="K497" s="8" t="s">
        <v>2271</v>
      </c>
      <c r="L497" s="8" t="s">
        <v>68</v>
      </c>
      <c r="M497" s="8" t="s">
        <v>60</v>
      </c>
      <c r="N497" s="11">
        <v>87395</v>
      </c>
      <c r="O497" s="11">
        <v>35579</v>
      </c>
      <c r="P497" s="12">
        <v>91</v>
      </c>
      <c r="Q497" s="9">
        <v>3</v>
      </c>
      <c r="R497" s="13">
        <v>1</v>
      </c>
      <c r="S497" s="13">
        <v>5</v>
      </c>
      <c r="T497" s="9">
        <v>21</v>
      </c>
      <c r="U497" s="13">
        <v>83</v>
      </c>
      <c r="V497" s="8" t="s">
        <v>31</v>
      </c>
      <c r="W497" s="8"/>
      <c r="X497" s="22">
        <f>IF(V497="Yes",1,0)</f>
        <v>0</v>
      </c>
      <c r="Y497" s="22">
        <f>IF(H497="Active",0,1)</f>
        <v>0</v>
      </c>
    </row>
    <row r="498" spans="1:25" ht="18" customHeight="1" x14ac:dyDescent="0.35">
      <c r="A498" s="14" t="s">
        <v>911</v>
      </c>
      <c r="B498" s="14" t="s">
        <v>157</v>
      </c>
      <c r="C498" s="14" t="s">
        <v>25</v>
      </c>
      <c r="D498" s="15">
        <v>40</v>
      </c>
      <c r="E498" s="14" t="s">
        <v>2304</v>
      </c>
      <c r="F498" s="14" t="s">
        <v>72</v>
      </c>
      <c r="G498" s="16">
        <v>45848</v>
      </c>
      <c r="H498" s="14" t="s">
        <v>26</v>
      </c>
      <c r="I498" s="14" t="s">
        <v>27</v>
      </c>
      <c r="J498" s="14" t="s">
        <v>80</v>
      </c>
      <c r="K498" s="14" t="s">
        <v>55</v>
      </c>
      <c r="L498" s="14" t="s">
        <v>68</v>
      </c>
      <c r="M498" s="14" t="s">
        <v>60</v>
      </c>
      <c r="N498" s="17">
        <v>102992</v>
      </c>
      <c r="O498" s="17">
        <v>16911</v>
      </c>
      <c r="P498" s="18">
        <v>84.2</v>
      </c>
      <c r="Q498" s="15">
        <v>3</v>
      </c>
      <c r="R498" s="19">
        <v>18</v>
      </c>
      <c r="S498" s="19">
        <v>2</v>
      </c>
      <c r="T498" s="15">
        <v>7</v>
      </c>
      <c r="U498" s="19">
        <v>99</v>
      </c>
      <c r="V498" s="14" t="s">
        <v>31</v>
      </c>
      <c r="W498" s="14"/>
      <c r="X498" s="14">
        <f>IF(V498="Yes",1,0)</f>
        <v>0</v>
      </c>
      <c r="Y498" s="14">
        <f>IF(H498="Active",0,1)</f>
        <v>0</v>
      </c>
    </row>
    <row r="499" spans="1:25" ht="18" customHeight="1" x14ac:dyDescent="0.35">
      <c r="A499" s="8" t="s">
        <v>1053</v>
      </c>
      <c r="B499" s="8" t="s">
        <v>160</v>
      </c>
      <c r="C499" s="8" t="s">
        <v>34</v>
      </c>
      <c r="D499" s="9">
        <v>23</v>
      </c>
      <c r="E499" s="8" t="s">
        <v>2303</v>
      </c>
      <c r="F499" s="8" t="s">
        <v>43</v>
      </c>
      <c r="G499" s="10">
        <v>45848</v>
      </c>
      <c r="H499" s="8" t="s">
        <v>26</v>
      </c>
      <c r="I499" s="8" t="s">
        <v>36</v>
      </c>
      <c r="J499" s="8" t="s">
        <v>80</v>
      </c>
      <c r="K499" s="8" t="s">
        <v>73</v>
      </c>
      <c r="L499" s="8" t="s">
        <v>87</v>
      </c>
      <c r="M499" s="8" t="s">
        <v>30</v>
      </c>
      <c r="N499" s="11">
        <v>48855</v>
      </c>
      <c r="O499" s="11">
        <v>31970</v>
      </c>
      <c r="P499" s="12">
        <v>81.7</v>
      </c>
      <c r="Q499" s="9">
        <v>8</v>
      </c>
      <c r="R499" s="13">
        <v>18</v>
      </c>
      <c r="S499" s="13">
        <v>3</v>
      </c>
      <c r="T499" s="9">
        <v>25</v>
      </c>
      <c r="U499" s="13">
        <v>84</v>
      </c>
      <c r="V499" s="8" t="s">
        <v>31</v>
      </c>
      <c r="W499" s="8"/>
      <c r="X499" s="22">
        <f>IF(V499="Yes",1,0)</f>
        <v>0</v>
      </c>
      <c r="Y499" s="22">
        <f>IF(H499="Active",0,1)</f>
        <v>0</v>
      </c>
    </row>
    <row r="500" spans="1:25" ht="18" customHeight="1" x14ac:dyDescent="0.35">
      <c r="A500" s="8" t="s">
        <v>1311</v>
      </c>
      <c r="B500" s="8" t="s">
        <v>872</v>
      </c>
      <c r="C500" s="8" t="s">
        <v>25</v>
      </c>
      <c r="D500" s="9">
        <v>25</v>
      </c>
      <c r="E500" s="8" t="s">
        <v>86</v>
      </c>
      <c r="F500" s="8" t="s">
        <v>90</v>
      </c>
      <c r="G500" s="10">
        <v>45848</v>
      </c>
      <c r="H500" s="8" t="s">
        <v>26</v>
      </c>
      <c r="I500" s="8" t="s">
        <v>27</v>
      </c>
      <c r="J500" s="8" t="s">
        <v>48</v>
      </c>
      <c r="K500" s="8" t="s">
        <v>55</v>
      </c>
      <c r="L500" s="8" t="s">
        <v>38</v>
      </c>
      <c r="M500" s="8" t="s">
        <v>45</v>
      </c>
      <c r="N500" s="11">
        <v>138262</v>
      </c>
      <c r="O500" s="11">
        <v>18789</v>
      </c>
      <c r="P500" s="12">
        <v>94.5</v>
      </c>
      <c r="Q500" s="9">
        <v>9</v>
      </c>
      <c r="R500" s="13">
        <v>1</v>
      </c>
      <c r="S500" s="13">
        <v>5</v>
      </c>
      <c r="T500" s="9">
        <v>1</v>
      </c>
      <c r="U500" s="13">
        <v>78</v>
      </c>
      <c r="V500" s="8" t="s">
        <v>31</v>
      </c>
      <c r="W500" s="8"/>
      <c r="X500" s="22">
        <f>IF(V500="Yes",1,0)</f>
        <v>0</v>
      </c>
      <c r="Y500" s="22">
        <f>IF(H500="Active",0,1)</f>
        <v>0</v>
      </c>
    </row>
    <row r="501" spans="1:25" ht="18" customHeight="1" x14ac:dyDescent="0.35">
      <c r="A501" s="14" t="s">
        <v>1394</v>
      </c>
      <c r="B501" s="14" t="s">
        <v>815</v>
      </c>
      <c r="C501" s="14" t="s">
        <v>34</v>
      </c>
      <c r="D501" s="15">
        <v>38</v>
      </c>
      <c r="E501" s="14" t="s">
        <v>93</v>
      </c>
      <c r="F501" s="14" t="s">
        <v>76</v>
      </c>
      <c r="G501" s="16">
        <v>45848</v>
      </c>
      <c r="H501" s="14" t="s">
        <v>26</v>
      </c>
      <c r="I501" s="14" t="s">
        <v>27</v>
      </c>
      <c r="J501" s="14" t="s">
        <v>2268</v>
      </c>
      <c r="K501" s="14" t="s">
        <v>73</v>
      </c>
      <c r="L501" s="14" t="s">
        <v>68</v>
      </c>
      <c r="M501" s="14" t="s">
        <v>45</v>
      </c>
      <c r="N501" s="17">
        <v>167743</v>
      </c>
      <c r="O501" s="17">
        <v>37384</v>
      </c>
      <c r="P501" s="18">
        <v>91.2</v>
      </c>
      <c r="Q501" s="15">
        <v>4</v>
      </c>
      <c r="R501" s="19">
        <v>24</v>
      </c>
      <c r="S501" s="19">
        <v>1</v>
      </c>
      <c r="T501" s="15">
        <v>20</v>
      </c>
      <c r="U501" s="19">
        <v>76</v>
      </c>
      <c r="V501" s="14" t="s">
        <v>31</v>
      </c>
      <c r="W501" s="14"/>
      <c r="X501" s="14">
        <f>IF(V501="Yes",1,0)</f>
        <v>0</v>
      </c>
      <c r="Y501" s="14">
        <f>IF(H501="Active",0,1)</f>
        <v>0</v>
      </c>
    </row>
    <row r="502" spans="1:25" ht="18" customHeight="1" x14ac:dyDescent="0.35">
      <c r="A502" s="8" t="s">
        <v>1589</v>
      </c>
      <c r="B502" s="8" t="s">
        <v>59</v>
      </c>
      <c r="C502" s="8" t="s">
        <v>34</v>
      </c>
      <c r="D502" s="9">
        <v>48</v>
      </c>
      <c r="E502" s="8" t="s">
        <v>42</v>
      </c>
      <c r="F502" s="8" t="s">
        <v>72</v>
      </c>
      <c r="G502" s="10">
        <v>45847</v>
      </c>
      <c r="H502" s="8" t="s">
        <v>26</v>
      </c>
      <c r="I502" s="8" t="s">
        <v>27</v>
      </c>
      <c r="J502" s="8" t="s">
        <v>48</v>
      </c>
      <c r="K502" s="8" t="s">
        <v>73</v>
      </c>
      <c r="L502" s="8" t="s">
        <v>116</v>
      </c>
      <c r="M502" s="8" t="s">
        <v>45</v>
      </c>
      <c r="N502" s="11">
        <v>144086</v>
      </c>
      <c r="O502" s="11">
        <v>30877</v>
      </c>
      <c r="P502" s="12">
        <v>85.7</v>
      </c>
      <c r="Q502" s="9">
        <v>10</v>
      </c>
      <c r="R502" s="13">
        <v>0</v>
      </c>
      <c r="S502" s="13">
        <v>5</v>
      </c>
      <c r="T502" s="9">
        <v>9</v>
      </c>
      <c r="U502" s="13">
        <v>63</v>
      </c>
      <c r="V502" s="8" t="s">
        <v>31</v>
      </c>
      <c r="W502" s="8"/>
      <c r="X502" s="22">
        <f>IF(V502="Yes",1,0)</f>
        <v>0</v>
      </c>
      <c r="Y502" s="22">
        <f>IF(H502="Active",0,1)</f>
        <v>0</v>
      </c>
    </row>
    <row r="503" spans="1:25" ht="18" customHeight="1" x14ac:dyDescent="0.35">
      <c r="A503" s="14" t="s">
        <v>1740</v>
      </c>
      <c r="B503" s="14" t="s">
        <v>89</v>
      </c>
      <c r="C503" s="14" t="s">
        <v>34</v>
      </c>
      <c r="D503" s="15">
        <v>36</v>
      </c>
      <c r="E503" s="14" t="s">
        <v>2304</v>
      </c>
      <c r="F503" s="14" t="s">
        <v>76</v>
      </c>
      <c r="G503" s="16">
        <v>45847</v>
      </c>
      <c r="H503" s="14" t="s">
        <v>26</v>
      </c>
      <c r="I503" s="14" t="s">
        <v>2267</v>
      </c>
      <c r="J503" s="14" t="s">
        <v>2269</v>
      </c>
      <c r="K503" s="14" t="s">
        <v>37</v>
      </c>
      <c r="L503" s="14" t="s">
        <v>44</v>
      </c>
      <c r="M503" s="14" t="s">
        <v>60</v>
      </c>
      <c r="N503" s="17">
        <v>120018</v>
      </c>
      <c r="O503" s="17">
        <v>18709</v>
      </c>
      <c r="P503" s="18">
        <v>90.5</v>
      </c>
      <c r="Q503" s="15">
        <v>1</v>
      </c>
      <c r="R503" s="19">
        <v>26</v>
      </c>
      <c r="S503" s="19">
        <v>4</v>
      </c>
      <c r="T503" s="15">
        <v>9</v>
      </c>
      <c r="U503" s="19">
        <v>77</v>
      </c>
      <c r="V503" s="14" t="s">
        <v>31</v>
      </c>
      <c r="W503" s="14"/>
      <c r="X503" s="14">
        <f>IF(V503="Yes",1,0)</f>
        <v>0</v>
      </c>
      <c r="Y503" s="14">
        <f>IF(H503="Active",0,1)</f>
        <v>0</v>
      </c>
    </row>
    <row r="504" spans="1:25" ht="18" customHeight="1" x14ac:dyDescent="0.35">
      <c r="A504" s="14" t="s">
        <v>369</v>
      </c>
      <c r="B504" s="14" t="s">
        <v>370</v>
      </c>
      <c r="C504" s="14" t="s">
        <v>25</v>
      </c>
      <c r="D504" s="15">
        <v>23</v>
      </c>
      <c r="E504" s="14" t="s">
        <v>42</v>
      </c>
      <c r="F504" s="14" t="s">
        <v>35</v>
      </c>
      <c r="G504" s="16">
        <v>45846</v>
      </c>
      <c r="H504" s="14" t="s">
        <v>26</v>
      </c>
      <c r="I504" s="14" t="s">
        <v>2267</v>
      </c>
      <c r="J504" s="14" t="s">
        <v>2268</v>
      </c>
      <c r="K504" s="14" t="s">
        <v>2271</v>
      </c>
      <c r="L504" s="14" t="s">
        <v>44</v>
      </c>
      <c r="M504" s="14" t="s">
        <v>39</v>
      </c>
      <c r="N504" s="17">
        <v>198085</v>
      </c>
      <c r="O504" s="17">
        <v>44068</v>
      </c>
      <c r="P504" s="18">
        <v>88.8</v>
      </c>
      <c r="Q504" s="15">
        <v>0</v>
      </c>
      <c r="R504" s="19">
        <v>24</v>
      </c>
      <c r="S504" s="19">
        <v>4</v>
      </c>
      <c r="T504" s="15">
        <v>22</v>
      </c>
      <c r="U504" s="19">
        <v>69</v>
      </c>
      <c r="V504" s="14" t="s">
        <v>31</v>
      </c>
      <c r="W504" s="14"/>
      <c r="X504" s="14">
        <f>IF(V504="Yes",1,0)</f>
        <v>0</v>
      </c>
      <c r="Y504" s="14">
        <f>IF(H504="Active",0,1)</f>
        <v>0</v>
      </c>
    </row>
    <row r="505" spans="1:25" ht="18" customHeight="1" x14ac:dyDescent="0.35">
      <c r="A505" s="14" t="s">
        <v>2256</v>
      </c>
      <c r="B505" s="14" t="s">
        <v>226</v>
      </c>
      <c r="C505" s="14" t="s">
        <v>34</v>
      </c>
      <c r="D505" s="15">
        <v>53</v>
      </c>
      <c r="E505" s="14" t="s">
        <v>2304</v>
      </c>
      <c r="F505" s="14" t="s">
        <v>76</v>
      </c>
      <c r="G505" s="16">
        <v>45846</v>
      </c>
      <c r="H505" s="14" t="s">
        <v>26</v>
      </c>
      <c r="I505" s="14" t="s">
        <v>2267</v>
      </c>
      <c r="J505" s="14" t="s">
        <v>2269</v>
      </c>
      <c r="K505" s="14" t="s">
        <v>2271</v>
      </c>
      <c r="L505" s="14" t="s">
        <v>116</v>
      </c>
      <c r="M505" s="14" t="s">
        <v>45</v>
      </c>
      <c r="N505" s="17">
        <v>96200</v>
      </c>
      <c r="O505" s="17">
        <v>14343</v>
      </c>
      <c r="P505" s="18">
        <v>88.3</v>
      </c>
      <c r="Q505" s="15">
        <v>4</v>
      </c>
      <c r="R505" s="19">
        <v>10</v>
      </c>
      <c r="S505" s="19">
        <v>5</v>
      </c>
      <c r="T505" s="15">
        <v>0</v>
      </c>
      <c r="U505" s="19">
        <v>100</v>
      </c>
      <c r="V505" s="14" t="s">
        <v>69</v>
      </c>
      <c r="W505" s="14"/>
      <c r="X505" s="14">
        <f>IF(V505="Yes",1,0)</f>
        <v>1</v>
      </c>
      <c r="Y505" s="14">
        <f>IF(H505="Active",0,1)</f>
        <v>0</v>
      </c>
    </row>
    <row r="506" spans="1:25" ht="18" customHeight="1" x14ac:dyDescent="0.35">
      <c r="A506" s="8" t="s">
        <v>777</v>
      </c>
      <c r="B506" s="8" t="s">
        <v>471</v>
      </c>
      <c r="C506" s="8" t="s">
        <v>25</v>
      </c>
      <c r="D506" s="9">
        <v>52</v>
      </c>
      <c r="E506" s="8" t="s">
        <v>63</v>
      </c>
      <c r="F506" s="8" t="s">
        <v>79</v>
      </c>
      <c r="G506" s="10">
        <v>45845</v>
      </c>
      <c r="H506" s="8" t="s">
        <v>26</v>
      </c>
      <c r="I506" s="8" t="s">
        <v>36</v>
      </c>
      <c r="J506" s="8" t="s">
        <v>80</v>
      </c>
      <c r="K506" s="8" t="s">
        <v>37</v>
      </c>
      <c r="L506" s="8" t="s">
        <v>44</v>
      </c>
      <c r="M506" s="8" t="s">
        <v>45</v>
      </c>
      <c r="N506" s="11">
        <v>192594</v>
      </c>
      <c r="O506" s="11">
        <v>14858</v>
      </c>
      <c r="P506" s="12">
        <v>93.7</v>
      </c>
      <c r="Q506" s="9">
        <v>6</v>
      </c>
      <c r="R506" s="13">
        <v>17</v>
      </c>
      <c r="S506" s="13">
        <v>3</v>
      </c>
      <c r="T506" s="9">
        <v>30</v>
      </c>
      <c r="U506" s="13">
        <v>98</v>
      </c>
      <c r="V506" s="8" t="s">
        <v>69</v>
      </c>
      <c r="W506" s="8"/>
      <c r="X506" s="22">
        <f>IF(V506="Yes",1,0)</f>
        <v>1</v>
      </c>
      <c r="Y506" s="22">
        <f>IF(H506="Active",0,1)</f>
        <v>0</v>
      </c>
    </row>
    <row r="507" spans="1:25" ht="18" customHeight="1" x14ac:dyDescent="0.35">
      <c r="A507" s="14" t="s">
        <v>2030</v>
      </c>
      <c r="B507" s="14" t="s">
        <v>254</v>
      </c>
      <c r="C507" s="14" t="s">
        <v>34</v>
      </c>
      <c r="D507" s="15">
        <v>30</v>
      </c>
      <c r="E507" s="14" t="s">
        <v>93</v>
      </c>
      <c r="F507" s="14" t="s">
        <v>76</v>
      </c>
      <c r="G507" s="16">
        <v>45845</v>
      </c>
      <c r="H507" s="14" t="s">
        <v>26</v>
      </c>
      <c r="I507" s="14" t="s">
        <v>2267</v>
      </c>
      <c r="J507" s="14" t="s">
        <v>80</v>
      </c>
      <c r="K507" s="14" t="s">
        <v>37</v>
      </c>
      <c r="L507" s="14" t="s">
        <v>38</v>
      </c>
      <c r="M507" s="14" t="s">
        <v>64</v>
      </c>
      <c r="N507" s="17">
        <v>164419</v>
      </c>
      <c r="O507" s="17">
        <v>22545</v>
      </c>
      <c r="P507" s="18">
        <v>86.6</v>
      </c>
      <c r="Q507" s="15">
        <v>8</v>
      </c>
      <c r="R507" s="19">
        <v>0</v>
      </c>
      <c r="S507" s="19">
        <v>1</v>
      </c>
      <c r="T507" s="15">
        <v>23</v>
      </c>
      <c r="U507" s="19">
        <v>80</v>
      </c>
      <c r="V507" s="14" t="s">
        <v>69</v>
      </c>
      <c r="W507" s="14"/>
      <c r="X507" s="14">
        <f>IF(V507="Yes",1,0)</f>
        <v>1</v>
      </c>
      <c r="Y507" s="14">
        <f>IF(H507="Active",0,1)</f>
        <v>0</v>
      </c>
    </row>
    <row r="508" spans="1:25" ht="18" customHeight="1" x14ac:dyDescent="0.35">
      <c r="A508" s="8" t="s">
        <v>2093</v>
      </c>
      <c r="B508" s="8" t="s">
        <v>95</v>
      </c>
      <c r="C508" s="8" t="s">
        <v>34</v>
      </c>
      <c r="D508" s="9">
        <v>51</v>
      </c>
      <c r="E508" s="8" t="s">
        <v>63</v>
      </c>
      <c r="F508" s="8" t="s">
        <v>90</v>
      </c>
      <c r="G508" s="10">
        <v>45845</v>
      </c>
      <c r="H508" s="8" t="s">
        <v>26</v>
      </c>
      <c r="I508" s="8" t="s">
        <v>2267</v>
      </c>
      <c r="J508" s="8" t="s">
        <v>2268</v>
      </c>
      <c r="K508" s="8" t="s">
        <v>28</v>
      </c>
      <c r="L508" s="8" t="s">
        <v>87</v>
      </c>
      <c r="M508" s="8" t="s">
        <v>45</v>
      </c>
      <c r="N508" s="11">
        <v>99938</v>
      </c>
      <c r="O508" s="11">
        <v>34856</v>
      </c>
      <c r="P508" s="12">
        <v>91.2</v>
      </c>
      <c r="Q508" s="9">
        <v>6</v>
      </c>
      <c r="R508" s="13">
        <v>21</v>
      </c>
      <c r="S508" s="13">
        <v>5</v>
      </c>
      <c r="T508" s="9">
        <v>13</v>
      </c>
      <c r="U508" s="13">
        <v>80</v>
      </c>
      <c r="V508" s="8" t="s">
        <v>31</v>
      </c>
      <c r="W508" s="8"/>
      <c r="X508" s="22">
        <f>IF(V508="Yes",1,0)</f>
        <v>0</v>
      </c>
      <c r="Y508" s="22">
        <f>IF(H508="Active",0,1)</f>
        <v>0</v>
      </c>
    </row>
    <row r="509" spans="1:25" ht="18" customHeight="1" x14ac:dyDescent="0.35">
      <c r="A509" s="8" t="s">
        <v>360</v>
      </c>
      <c r="B509" s="8" t="s">
        <v>82</v>
      </c>
      <c r="C509" s="8" t="s">
        <v>25</v>
      </c>
      <c r="D509" s="9">
        <v>25</v>
      </c>
      <c r="E509" s="8" t="s">
        <v>52</v>
      </c>
      <c r="F509" s="8" t="s">
        <v>90</v>
      </c>
      <c r="G509" s="10">
        <v>45844</v>
      </c>
      <c r="H509" s="8" t="s">
        <v>26</v>
      </c>
      <c r="I509" s="8" t="s">
        <v>2267</v>
      </c>
      <c r="J509" s="8" t="s">
        <v>80</v>
      </c>
      <c r="K509" s="8" t="s">
        <v>28</v>
      </c>
      <c r="L509" s="8" t="s">
        <v>38</v>
      </c>
      <c r="M509" s="8" t="s">
        <v>60</v>
      </c>
      <c r="N509" s="11">
        <v>141020</v>
      </c>
      <c r="O509" s="11">
        <v>30769</v>
      </c>
      <c r="P509" s="12">
        <v>96.6</v>
      </c>
      <c r="Q509" s="9">
        <v>10</v>
      </c>
      <c r="R509" s="13">
        <v>4</v>
      </c>
      <c r="S509" s="13">
        <v>2</v>
      </c>
      <c r="T509" s="9">
        <v>31</v>
      </c>
      <c r="U509" s="13">
        <v>77</v>
      </c>
      <c r="V509" s="8" t="s">
        <v>31</v>
      </c>
      <c r="W509" s="8"/>
      <c r="X509" s="22">
        <f>IF(V509="Yes",1,0)</f>
        <v>0</v>
      </c>
      <c r="Y509" s="22">
        <f>IF(H509="Active",0,1)</f>
        <v>0</v>
      </c>
    </row>
    <row r="510" spans="1:25" ht="18" customHeight="1" x14ac:dyDescent="0.35">
      <c r="A510" s="14" t="s">
        <v>489</v>
      </c>
      <c r="B510" s="14" t="s">
        <v>199</v>
      </c>
      <c r="C510" s="14" t="s">
        <v>34</v>
      </c>
      <c r="D510" s="15">
        <v>41</v>
      </c>
      <c r="E510" s="14" t="s">
        <v>86</v>
      </c>
      <c r="F510" s="14" t="s">
        <v>12</v>
      </c>
      <c r="G510" s="16">
        <v>45844</v>
      </c>
      <c r="H510" s="14" t="s">
        <v>26</v>
      </c>
      <c r="I510" s="14" t="s">
        <v>2267</v>
      </c>
      <c r="J510" s="14" t="s">
        <v>48</v>
      </c>
      <c r="K510" s="14" t="s">
        <v>73</v>
      </c>
      <c r="L510" s="14" t="s">
        <v>116</v>
      </c>
      <c r="M510" s="14" t="s">
        <v>64</v>
      </c>
      <c r="N510" s="17">
        <v>225274</v>
      </c>
      <c r="O510" s="17">
        <v>36913</v>
      </c>
      <c r="P510" s="18">
        <v>94.7</v>
      </c>
      <c r="Q510" s="15">
        <v>7</v>
      </c>
      <c r="R510" s="19">
        <v>30</v>
      </c>
      <c r="S510" s="19">
        <v>3</v>
      </c>
      <c r="T510" s="15">
        <v>31</v>
      </c>
      <c r="U510" s="19">
        <v>82</v>
      </c>
      <c r="V510" s="14" t="s">
        <v>69</v>
      </c>
      <c r="W510" s="14"/>
      <c r="X510" s="14">
        <f>IF(V510="Yes",1,0)</f>
        <v>1</v>
      </c>
      <c r="Y510" s="14">
        <f>IF(H510="Active",0,1)</f>
        <v>0</v>
      </c>
    </row>
    <row r="511" spans="1:25" ht="18" customHeight="1" x14ac:dyDescent="0.35">
      <c r="A511" s="8" t="s">
        <v>1141</v>
      </c>
      <c r="B511" s="8" t="s">
        <v>175</v>
      </c>
      <c r="C511" s="8" t="s">
        <v>34</v>
      </c>
      <c r="D511" s="9">
        <v>37</v>
      </c>
      <c r="E511" s="8" t="s">
        <v>93</v>
      </c>
      <c r="F511" s="8" t="s">
        <v>76</v>
      </c>
      <c r="G511" s="10">
        <v>45844</v>
      </c>
      <c r="H511" s="8" t="s">
        <v>26</v>
      </c>
      <c r="I511" s="8" t="s">
        <v>2267</v>
      </c>
      <c r="J511" s="8" t="s">
        <v>2269</v>
      </c>
      <c r="K511" s="8" t="s">
        <v>37</v>
      </c>
      <c r="L511" s="8" t="s">
        <v>38</v>
      </c>
      <c r="M511" s="8" t="s">
        <v>39</v>
      </c>
      <c r="N511" s="11">
        <v>151405</v>
      </c>
      <c r="O511" s="11">
        <v>39794</v>
      </c>
      <c r="P511" s="12">
        <v>96</v>
      </c>
      <c r="Q511" s="9">
        <v>4</v>
      </c>
      <c r="R511" s="13">
        <v>0</v>
      </c>
      <c r="S511" s="13">
        <v>4</v>
      </c>
      <c r="T511" s="9">
        <v>40</v>
      </c>
      <c r="U511" s="13">
        <v>70</v>
      </c>
      <c r="V511" s="8" t="s">
        <v>69</v>
      </c>
      <c r="W511" s="8"/>
      <c r="X511" s="22">
        <f>IF(V511="Yes",1,0)</f>
        <v>1</v>
      </c>
      <c r="Y511" s="22">
        <f>IF(H511="Active",0,1)</f>
        <v>0</v>
      </c>
    </row>
    <row r="512" spans="1:25" ht="18" customHeight="1" x14ac:dyDescent="0.35">
      <c r="A512" s="14" t="s">
        <v>1864</v>
      </c>
      <c r="B512" s="14" t="s">
        <v>100</v>
      </c>
      <c r="C512" s="14" t="s">
        <v>25</v>
      </c>
      <c r="D512" s="15">
        <v>25</v>
      </c>
      <c r="E512" s="14" t="s">
        <v>2303</v>
      </c>
      <c r="F512" s="14" t="s">
        <v>79</v>
      </c>
      <c r="G512" s="16">
        <v>45844</v>
      </c>
      <c r="H512" s="14" t="s">
        <v>26</v>
      </c>
      <c r="I512" s="14" t="s">
        <v>2267</v>
      </c>
      <c r="J512" s="14" t="s">
        <v>80</v>
      </c>
      <c r="K512" s="14" t="s">
        <v>28</v>
      </c>
      <c r="L512" s="14" t="s">
        <v>29</v>
      </c>
      <c r="M512" s="14" t="s">
        <v>45</v>
      </c>
      <c r="N512" s="17">
        <v>239302</v>
      </c>
      <c r="O512" s="17">
        <v>6959</v>
      </c>
      <c r="P512" s="18">
        <v>88.9</v>
      </c>
      <c r="Q512" s="15">
        <v>6</v>
      </c>
      <c r="R512" s="19">
        <v>3</v>
      </c>
      <c r="S512" s="19">
        <v>3</v>
      </c>
      <c r="T512" s="15">
        <v>24</v>
      </c>
      <c r="U512" s="19">
        <v>82</v>
      </c>
      <c r="V512" s="14" t="s">
        <v>31</v>
      </c>
      <c r="W512" s="14"/>
      <c r="X512" s="14">
        <f>IF(V512="Yes",1,0)</f>
        <v>0</v>
      </c>
      <c r="Y512" s="14">
        <f>IF(H512="Active",0,1)</f>
        <v>0</v>
      </c>
    </row>
    <row r="513" spans="1:25" ht="18" customHeight="1" x14ac:dyDescent="0.35">
      <c r="A513" s="14" t="s">
        <v>158</v>
      </c>
      <c r="B513" s="14" t="s">
        <v>104</v>
      </c>
      <c r="C513" s="14" t="s">
        <v>25</v>
      </c>
      <c r="D513" s="15">
        <v>37</v>
      </c>
      <c r="E513" s="14" t="s">
        <v>67</v>
      </c>
      <c r="F513" s="14" t="s">
        <v>90</v>
      </c>
      <c r="G513" s="16">
        <v>45843</v>
      </c>
      <c r="H513" s="14" t="s">
        <v>26</v>
      </c>
      <c r="I513" s="14" t="s">
        <v>36</v>
      </c>
      <c r="J513" s="14" t="s">
        <v>48</v>
      </c>
      <c r="K513" s="14" t="s">
        <v>37</v>
      </c>
      <c r="L513" s="14" t="s">
        <v>56</v>
      </c>
      <c r="M513" s="14" t="s">
        <v>60</v>
      </c>
      <c r="N513" s="17">
        <v>81302</v>
      </c>
      <c r="O513" s="17">
        <v>10701</v>
      </c>
      <c r="P513" s="18">
        <v>91.8</v>
      </c>
      <c r="Q513" s="15">
        <v>6</v>
      </c>
      <c r="R513" s="19">
        <v>7</v>
      </c>
      <c r="S513" s="19">
        <v>2</v>
      </c>
      <c r="T513" s="15">
        <v>32</v>
      </c>
      <c r="U513" s="19">
        <v>90</v>
      </c>
      <c r="V513" s="14" t="s">
        <v>31</v>
      </c>
      <c r="W513" s="14"/>
      <c r="X513" s="14">
        <f>IF(V513="Yes",1,0)</f>
        <v>0</v>
      </c>
      <c r="Y513" s="14">
        <f>IF(H513="Active",0,1)</f>
        <v>0</v>
      </c>
    </row>
    <row r="514" spans="1:25" ht="18" customHeight="1" x14ac:dyDescent="0.35">
      <c r="A514" s="8" t="s">
        <v>421</v>
      </c>
      <c r="B514" s="8" t="s">
        <v>422</v>
      </c>
      <c r="C514" s="8" t="s">
        <v>25</v>
      </c>
      <c r="D514" s="9">
        <v>27</v>
      </c>
      <c r="E514" s="8" t="s">
        <v>42</v>
      </c>
      <c r="F514" s="8" t="s">
        <v>35</v>
      </c>
      <c r="G514" s="10">
        <v>45843</v>
      </c>
      <c r="H514" s="8" t="s">
        <v>26</v>
      </c>
      <c r="I514" s="8" t="s">
        <v>27</v>
      </c>
      <c r="J514" s="8" t="s">
        <v>2270</v>
      </c>
      <c r="K514" s="8" t="s">
        <v>28</v>
      </c>
      <c r="L514" s="8" t="s">
        <v>68</v>
      </c>
      <c r="M514" s="8" t="s">
        <v>30</v>
      </c>
      <c r="N514" s="11">
        <v>35807</v>
      </c>
      <c r="O514" s="11">
        <v>28898</v>
      </c>
      <c r="P514" s="12">
        <v>96.3</v>
      </c>
      <c r="Q514" s="9">
        <v>8</v>
      </c>
      <c r="R514" s="13">
        <v>22</v>
      </c>
      <c r="S514" s="13">
        <v>5</v>
      </c>
      <c r="T514" s="9">
        <v>11</v>
      </c>
      <c r="U514" s="13">
        <v>62</v>
      </c>
      <c r="V514" s="8" t="s">
        <v>31</v>
      </c>
      <c r="W514" s="8"/>
      <c r="X514" s="22">
        <f>IF(V514="Yes",1,0)</f>
        <v>0</v>
      </c>
      <c r="Y514" s="22">
        <f>IF(H514="Active",0,1)</f>
        <v>0</v>
      </c>
    </row>
    <row r="515" spans="1:25" ht="18" customHeight="1" x14ac:dyDescent="0.35">
      <c r="A515" s="8" t="s">
        <v>488</v>
      </c>
      <c r="B515" s="8" t="s">
        <v>104</v>
      </c>
      <c r="C515" s="8" t="s">
        <v>34</v>
      </c>
      <c r="D515" s="9">
        <v>45</v>
      </c>
      <c r="E515" s="8" t="s">
        <v>63</v>
      </c>
      <c r="F515" s="8" t="s">
        <v>35</v>
      </c>
      <c r="G515" s="10">
        <v>45843</v>
      </c>
      <c r="H515" s="8" t="s">
        <v>26</v>
      </c>
      <c r="I515" s="8" t="s">
        <v>36</v>
      </c>
      <c r="J515" s="8" t="s">
        <v>2268</v>
      </c>
      <c r="K515" s="8" t="s">
        <v>73</v>
      </c>
      <c r="L515" s="8" t="s">
        <v>49</v>
      </c>
      <c r="M515" s="8" t="s">
        <v>60</v>
      </c>
      <c r="N515" s="11">
        <v>130771</v>
      </c>
      <c r="O515" s="11">
        <v>6375</v>
      </c>
      <c r="P515" s="12">
        <v>86.5</v>
      </c>
      <c r="Q515" s="9">
        <v>4</v>
      </c>
      <c r="R515" s="13">
        <v>6</v>
      </c>
      <c r="S515" s="13">
        <v>4</v>
      </c>
      <c r="T515" s="9">
        <v>29</v>
      </c>
      <c r="U515" s="13">
        <v>60</v>
      </c>
      <c r="V515" s="8" t="s">
        <v>31</v>
      </c>
      <c r="W515" s="8"/>
      <c r="X515" s="22">
        <f>IF(V515="Yes",1,0)</f>
        <v>0</v>
      </c>
      <c r="Y515" s="22">
        <f>IF(H515="Active",0,1)</f>
        <v>0</v>
      </c>
    </row>
    <row r="516" spans="1:25" ht="18" customHeight="1" x14ac:dyDescent="0.35">
      <c r="A516" s="14" t="s">
        <v>1538</v>
      </c>
      <c r="B516" s="14" t="s">
        <v>203</v>
      </c>
      <c r="C516" s="14" t="s">
        <v>25</v>
      </c>
      <c r="D516" s="15">
        <v>41</v>
      </c>
      <c r="E516" s="14" t="s">
        <v>109</v>
      </c>
      <c r="F516" s="14" t="s">
        <v>79</v>
      </c>
      <c r="G516" s="16">
        <v>45843</v>
      </c>
      <c r="H516" s="14" t="s">
        <v>26</v>
      </c>
      <c r="I516" s="14" t="s">
        <v>36</v>
      </c>
      <c r="J516" s="14" t="s">
        <v>2270</v>
      </c>
      <c r="K516" s="14" t="s">
        <v>73</v>
      </c>
      <c r="L516" s="14" t="s">
        <v>49</v>
      </c>
      <c r="M516" s="14" t="s">
        <v>39</v>
      </c>
      <c r="N516" s="17">
        <v>51682</v>
      </c>
      <c r="O516" s="17">
        <v>35012</v>
      </c>
      <c r="P516" s="18">
        <v>93.2</v>
      </c>
      <c r="Q516" s="15">
        <v>3</v>
      </c>
      <c r="R516" s="19">
        <v>20</v>
      </c>
      <c r="S516" s="19">
        <v>2</v>
      </c>
      <c r="T516" s="15">
        <v>18</v>
      </c>
      <c r="U516" s="19">
        <v>72</v>
      </c>
      <c r="V516" s="14" t="s">
        <v>31</v>
      </c>
      <c r="W516" s="14"/>
      <c r="X516" s="14">
        <f>IF(V516="Yes",1,0)</f>
        <v>0</v>
      </c>
      <c r="Y516" s="14">
        <f>IF(H516="Active",0,1)</f>
        <v>0</v>
      </c>
    </row>
    <row r="517" spans="1:25" ht="18" customHeight="1" x14ac:dyDescent="0.35">
      <c r="A517" s="8" t="s">
        <v>1619</v>
      </c>
      <c r="B517" s="8" t="s">
        <v>250</v>
      </c>
      <c r="C517" s="8" t="s">
        <v>25</v>
      </c>
      <c r="D517" s="9">
        <v>38</v>
      </c>
      <c r="E517" s="8" t="s">
        <v>109</v>
      </c>
      <c r="F517" s="8" t="s">
        <v>72</v>
      </c>
      <c r="G517" s="10">
        <v>45843</v>
      </c>
      <c r="H517" s="8" t="s">
        <v>26</v>
      </c>
      <c r="I517" s="8" t="s">
        <v>2267</v>
      </c>
      <c r="J517" s="8" t="s">
        <v>2270</v>
      </c>
      <c r="K517" s="8" t="s">
        <v>73</v>
      </c>
      <c r="L517" s="8" t="s">
        <v>49</v>
      </c>
      <c r="M517" s="8" t="s">
        <v>30</v>
      </c>
      <c r="N517" s="11">
        <v>245532</v>
      </c>
      <c r="O517" s="11">
        <v>25297</v>
      </c>
      <c r="P517" s="12">
        <v>83.8</v>
      </c>
      <c r="Q517" s="9">
        <v>7</v>
      </c>
      <c r="R517" s="13">
        <v>27</v>
      </c>
      <c r="S517" s="13">
        <v>3</v>
      </c>
      <c r="T517" s="9">
        <v>26</v>
      </c>
      <c r="U517" s="13">
        <v>93</v>
      </c>
      <c r="V517" s="8" t="s">
        <v>31</v>
      </c>
      <c r="W517" s="8"/>
      <c r="X517" s="22">
        <f>IF(V517="Yes",1,0)</f>
        <v>0</v>
      </c>
      <c r="Y517" s="22">
        <f>IF(H517="Active",0,1)</f>
        <v>0</v>
      </c>
    </row>
    <row r="518" spans="1:25" ht="18" customHeight="1" x14ac:dyDescent="0.35">
      <c r="A518" s="8" t="s">
        <v>133</v>
      </c>
      <c r="B518" s="8" t="s">
        <v>134</v>
      </c>
      <c r="C518" s="8" t="s">
        <v>34</v>
      </c>
      <c r="D518" s="9">
        <v>50</v>
      </c>
      <c r="E518" s="8" t="s">
        <v>109</v>
      </c>
      <c r="F518" s="8" t="s">
        <v>35</v>
      </c>
      <c r="G518" s="10">
        <v>45842</v>
      </c>
      <c r="H518" s="8" t="s">
        <v>26</v>
      </c>
      <c r="I518" s="8" t="s">
        <v>36</v>
      </c>
      <c r="J518" s="8" t="s">
        <v>48</v>
      </c>
      <c r="K518" s="8" t="s">
        <v>73</v>
      </c>
      <c r="L518" s="8" t="s">
        <v>44</v>
      </c>
      <c r="M518" s="8" t="s">
        <v>39</v>
      </c>
      <c r="N518" s="11">
        <v>207865</v>
      </c>
      <c r="O518" s="11">
        <v>48929</v>
      </c>
      <c r="P518" s="12">
        <v>93.1</v>
      </c>
      <c r="Q518" s="9">
        <v>6</v>
      </c>
      <c r="R518" s="13">
        <v>27</v>
      </c>
      <c r="S518" s="13">
        <v>3</v>
      </c>
      <c r="T518" s="9">
        <v>29</v>
      </c>
      <c r="U518" s="13">
        <v>70</v>
      </c>
      <c r="V518" s="8" t="s">
        <v>31</v>
      </c>
      <c r="W518" s="8"/>
      <c r="X518" s="22">
        <f>IF(V518="Yes",1,0)</f>
        <v>0</v>
      </c>
      <c r="Y518" s="22">
        <f>IF(H518="Active",0,1)</f>
        <v>0</v>
      </c>
    </row>
    <row r="519" spans="1:25" ht="18" customHeight="1" x14ac:dyDescent="0.35">
      <c r="A519" s="14" t="s">
        <v>530</v>
      </c>
      <c r="B519" s="14" t="s">
        <v>531</v>
      </c>
      <c r="C519" s="14" t="s">
        <v>25</v>
      </c>
      <c r="D519" s="15">
        <v>45</v>
      </c>
      <c r="E519" s="14" t="s">
        <v>2303</v>
      </c>
      <c r="F519" s="14" t="s">
        <v>72</v>
      </c>
      <c r="G519" s="16">
        <v>45841</v>
      </c>
      <c r="H519" s="14" t="s">
        <v>26</v>
      </c>
      <c r="I519" s="14" t="s">
        <v>2267</v>
      </c>
      <c r="J519" s="14" t="s">
        <v>2268</v>
      </c>
      <c r="K519" s="14" t="s">
        <v>55</v>
      </c>
      <c r="L519" s="14" t="s">
        <v>44</v>
      </c>
      <c r="M519" s="14" t="s">
        <v>60</v>
      </c>
      <c r="N519" s="17">
        <v>121856</v>
      </c>
      <c r="O519" s="17">
        <v>28712</v>
      </c>
      <c r="P519" s="18">
        <v>99.9</v>
      </c>
      <c r="Q519" s="15">
        <v>0</v>
      </c>
      <c r="R519" s="19">
        <v>25</v>
      </c>
      <c r="S519" s="19">
        <v>5</v>
      </c>
      <c r="T519" s="15">
        <v>39</v>
      </c>
      <c r="U519" s="19">
        <v>96</v>
      </c>
      <c r="V519" s="14" t="s">
        <v>31</v>
      </c>
      <c r="W519" s="14"/>
      <c r="X519" s="14">
        <f>IF(V519="Yes",1,0)</f>
        <v>0</v>
      </c>
      <c r="Y519" s="14">
        <f>IF(H519="Active",0,1)</f>
        <v>0</v>
      </c>
    </row>
    <row r="520" spans="1:25" ht="18" customHeight="1" x14ac:dyDescent="0.35">
      <c r="A520" s="8" t="s">
        <v>876</v>
      </c>
      <c r="B520" s="8" t="s">
        <v>877</v>
      </c>
      <c r="C520" s="8" t="s">
        <v>34</v>
      </c>
      <c r="D520" s="9">
        <v>55</v>
      </c>
      <c r="E520" s="8" t="s">
        <v>63</v>
      </c>
      <c r="F520" s="8" t="s">
        <v>53</v>
      </c>
      <c r="G520" s="10">
        <v>45841</v>
      </c>
      <c r="H520" s="8" t="s">
        <v>26</v>
      </c>
      <c r="I520" s="8" t="s">
        <v>27</v>
      </c>
      <c r="J520" s="8" t="s">
        <v>80</v>
      </c>
      <c r="K520" s="8" t="s">
        <v>55</v>
      </c>
      <c r="L520" s="8" t="s">
        <v>116</v>
      </c>
      <c r="M520" s="8" t="s">
        <v>39</v>
      </c>
      <c r="N520" s="11">
        <v>131249</v>
      </c>
      <c r="O520" s="11">
        <v>19514</v>
      </c>
      <c r="P520" s="12">
        <v>95</v>
      </c>
      <c r="Q520" s="9">
        <v>6</v>
      </c>
      <c r="R520" s="13">
        <v>24</v>
      </c>
      <c r="S520" s="13">
        <v>4</v>
      </c>
      <c r="T520" s="9">
        <v>11</v>
      </c>
      <c r="U520" s="13">
        <v>78</v>
      </c>
      <c r="V520" s="8" t="s">
        <v>31</v>
      </c>
      <c r="W520" s="8"/>
      <c r="X520" s="22">
        <f>IF(V520="Yes",1,0)</f>
        <v>0</v>
      </c>
      <c r="Y520" s="22">
        <f>IF(H520="Active",0,1)</f>
        <v>0</v>
      </c>
    </row>
    <row r="521" spans="1:25" ht="18" customHeight="1" x14ac:dyDescent="0.35">
      <c r="A521" s="8" t="s">
        <v>1051</v>
      </c>
      <c r="B521" s="8" t="s">
        <v>234</v>
      </c>
      <c r="C521" s="8" t="s">
        <v>34</v>
      </c>
      <c r="D521" s="9">
        <v>55</v>
      </c>
      <c r="E521" s="8" t="s">
        <v>52</v>
      </c>
      <c r="F521" s="8" t="s">
        <v>43</v>
      </c>
      <c r="G521" s="10">
        <v>45841</v>
      </c>
      <c r="H521" s="8" t="s">
        <v>26</v>
      </c>
      <c r="I521" s="8" t="s">
        <v>2267</v>
      </c>
      <c r="J521" s="8" t="s">
        <v>2268</v>
      </c>
      <c r="K521" s="8" t="s">
        <v>37</v>
      </c>
      <c r="L521" s="8" t="s">
        <v>87</v>
      </c>
      <c r="M521" s="8" t="s">
        <v>45</v>
      </c>
      <c r="N521" s="11">
        <v>73372</v>
      </c>
      <c r="O521" s="11">
        <v>29324</v>
      </c>
      <c r="P521" s="12">
        <v>84.1</v>
      </c>
      <c r="Q521" s="9">
        <v>1</v>
      </c>
      <c r="R521" s="13">
        <v>30</v>
      </c>
      <c r="S521" s="13">
        <v>1</v>
      </c>
      <c r="T521" s="9">
        <v>17</v>
      </c>
      <c r="U521" s="13">
        <v>86</v>
      </c>
      <c r="V521" s="8" t="s">
        <v>31</v>
      </c>
      <c r="W521" s="8"/>
      <c r="X521" s="22">
        <f>IF(V521="Yes",1,0)</f>
        <v>0</v>
      </c>
      <c r="Y521" s="22">
        <f>IF(H521="Active",0,1)</f>
        <v>0</v>
      </c>
    </row>
    <row r="522" spans="1:25" ht="18" customHeight="1" x14ac:dyDescent="0.35">
      <c r="A522" s="14" t="s">
        <v>1302</v>
      </c>
      <c r="B522" s="14" t="s">
        <v>458</v>
      </c>
      <c r="C522" s="14" t="s">
        <v>34</v>
      </c>
      <c r="D522" s="15">
        <v>28</v>
      </c>
      <c r="E522" s="14" t="s">
        <v>63</v>
      </c>
      <c r="F522" s="14" t="s">
        <v>90</v>
      </c>
      <c r="G522" s="16">
        <v>45841</v>
      </c>
      <c r="H522" s="14" t="s">
        <v>26</v>
      </c>
      <c r="I522" s="14" t="s">
        <v>36</v>
      </c>
      <c r="J522" s="14" t="s">
        <v>2270</v>
      </c>
      <c r="K522" s="14" t="s">
        <v>37</v>
      </c>
      <c r="L522" s="14" t="s">
        <v>44</v>
      </c>
      <c r="M522" s="14" t="s">
        <v>64</v>
      </c>
      <c r="N522" s="17">
        <v>86098</v>
      </c>
      <c r="O522" s="17">
        <v>10946</v>
      </c>
      <c r="P522" s="18">
        <v>98.8</v>
      </c>
      <c r="Q522" s="15">
        <v>5</v>
      </c>
      <c r="R522" s="19">
        <v>28</v>
      </c>
      <c r="S522" s="19">
        <v>2</v>
      </c>
      <c r="T522" s="15">
        <v>23</v>
      </c>
      <c r="U522" s="19">
        <v>87</v>
      </c>
      <c r="V522" s="14" t="s">
        <v>69</v>
      </c>
      <c r="W522" s="14"/>
      <c r="X522" s="14">
        <f>IF(V522="Yes",1,0)</f>
        <v>1</v>
      </c>
      <c r="Y522" s="14">
        <f>IF(H522="Active",0,1)</f>
        <v>0</v>
      </c>
    </row>
    <row r="523" spans="1:25" ht="18" customHeight="1" x14ac:dyDescent="0.35">
      <c r="A523" s="8" t="s">
        <v>522</v>
      </c>
      <c r="B523" s="8" t="s">
        <v>59</v>
      </c>
      <c r="C523" s="8" t="s">
        <v>25</v>
      </c>
      <c r="D523" s="9">
        <v>59</v>
      </c>
      <c r="E523" s="8" t="s">
        <v>63</v>
      </c>
      <c r="F523" s="8" t="s">
        <v>72</v>
      </c>
      <c r="G523" s="10">
        <v>45840</v>
      </c>
      <c r="H523" s="8" t="s">
        <v>26</v>
      </c>
      <c r="I523" s="8" t="s">
        <v>2267</v>
      </c>
      <c r="J523" s="8" t="s">
        <v>48</v>
      </c>
      <c r="K523" s="8" t="s">
        <v>55</v>
      </c>
      <c r="L523" s="8" t="s">
        <v>68</v>
      </c>
      <c r="M523" s="8" t="s">
        <v>30</v>
      </c>
      <c r="N523" s="11">
        <v>131713</v>
      </c>
      <c r="O523" s="11">
        <v>11769</v>
      </c>
      <c r="P523" s="12">
        <v>84.5</v>
      </c>
      <c r="Q523" s="9">
        <v>3</v>
      </c>
      <c r="R523" s="13">
        <v>16</v>
      </c>
      <c r="S523" s="13">
        <v>5</v>
      </c>
      <c r="T523" s="9">
        <v>6</v>
      </c>
      <c r="U523" s="13">
        <v>68</v>
      </c>
      <c r="V523" s="8" t="s">
        <v>31</v>
      </c>
      <c r="W523" s="8"/>
      <c r="X523" s="22">
        <f>IF(V523="Yes",1,0)</f>
        <v>0</v>
      </c>
      <c r="Y523" s="22">
        <f>IF(H523="Active",0,1)</f>
        <v>0</v>
      </c>
    </row>
    <row r="524" spans="1:25" ht="18" customHeight="1" x14ac:dyDescent="0.35">
      <c r="A524" s="8" t="s">
        <v>834</v>
      </c>
      <c r="B524" s="8" t="s">
        <v>75</v>
      </c>
      <c r="C524" s="8" t="s">
        <v>34</v>
      </c>
      <c r="D524" s="9">
        <v>44</v>
      </c>
      <c r="E524" s="8" t="s">
        <v>52</v>
      </c>
      <c r="F524" s="8" t="s">
        <v>72</v>
      </c>
      <c r="G524" s="10">
        <v>45840</v>
      </c>
      <c r="H524" s="8" t="s">
        <v>26</v>
      </c>
      <c r="I524" s="8" t="s">
        <v>36</v>
      </c>
      <c r="J524" s="8" t="s">
        <v>2268</v>
      </c>
      <c r="K524" s="8" t="s">
        <v>73</v>
      </c>
      <c r="L524" s="8" t="s">
        <v>44</v>
      </c>
      <c r="M524" s="8" t="s">
        <v>39</v>
      </c>
      <c r="N524" s="11">
        <v>245890</v>
      </c>
      <c r="O524" s="11">
        <v>28924</v>
      </c>
      <c r="P524" s="12">
        <v>92.2</v>
      </c>
      <c r="Q524" s="9">
        <v>9</v>
      </c>
      <c r="R524" s="13">
        <v>21</v>
      </c>
      <c r="S524" s="13">
        <v>4</v>
      </c>
      <c r="T524" s="9">
        <v>40</v>
      </c>
      <c r="U524" s="13">
        <v>75</v>
      </c>
      <c r="V524" s="8" t="s">
        <v>69</v>
      </c>
      <c r="W524" s="8"/>
      <c r="X524" s="22">
        <f>IF(V524="Yes",1,0)</f>
        <v>1</v>
      </c>
      <c r="Y524" s="22">
        <f>IF(H524="Active",0,1)</f>
        <v>0</v>
      </c>
    </row>
    <row r="525" spans="1:25" ht="18" customHeight="1" x14ac:dyDescent="0.35">
      <c r="A525" s="14" t="s">
        <v>2120</v>
      </c>
      <c r="B525" s="14" t="s">
        <v>234</v>
      </c>
      <c r="C525" s="14" t="s">
        <v>34</v>
      </c>
      <c r="D525" s="15">
        <v>26</v>
      </c>
      <c r="E525" s="14" t="s">
        <v>86</v>
      </c>
      <c r="F525" s="14" t="s">
        <v>35</v>
      </c>
      <c r="G525" s="16">
        <v>45840</v>
      </c>
      <c r="H525" s="14" t="s">
        <v>26</v>
      </c>
      <c r="I525" s="14" t="s">
        <v>27</v>
      </c>
      <c r="J525" s="14" t="s">
        <v>2268</v>
      </c>
      <c r="K525" s="14" t="s">
        <v>55</v>
      </c>
      <c r="L525" s="14" t="s">
        <v>44</v>
      </c>
      <c r="M525" s="14" t="s">
        <v>60</v>
      </c>
      <c r="N525" s="17">
        <v>174714</v>
      </c>
      <c r="O525" s="17">
        <v>24583</v>
      </c>
      <c r="P525" s="18">
        <v>83.7</v>
      </c>
      <c r="Q525" s="15">
        <v>10</v>
      </c>
      <c r="R525" s="19">
        <v>18</v>
      </c>
      <c r="S525" s="19">
        <v>1</v>
      </c>
      <c r="T525" s="15">
        <v>22</v>
      </c>
      <c r="U525" s="19">
        <v>81</v>
      </c>
      <c r="V525" s="14" t="s">
        <v>31</v>
      </c>
      <c r="W525" s="14"/>
      <c r="X525" s="14">
        <f>IF(V525="Yes",1,0)</f>
        <v>0</v>
      </c>
      <c r="Y525" s="14">
        <f>IF(H525="Active",0,1)</f>
        <v>0</v>
      </c>
    </row>
    <row r="526" spans="1:25" ht="18" customHeight="1" x14ac:dyDescent="0.35">
      <c r="A526" s="8" t="s">
        <v>325</v>
      </c>
      <c r="B526" s="8" t="s">
        <v>153</v>
      </c>
      <c r="C526" s="8" t="s">
        <v>25</v>
      </c>
      <c r="D526" s="9">
        <v>53</v>
      </c>
      <c r="E526" s="8" t="s">
        <v>93</v>
      </c>
      <c r="F526" s="8" t="s">
        <v>43</v>
      </c>
      <c r="G526" s="10">
        <v>45839</v>
      </c>
      <c r="H526" s="8" t="s">
        <v>26</v>
      </c>
      <c r="I526" s="8" t="s">
        <v>27</v>
      </c>
      <c r="J526" s="8" t="s">
        <v>80</v>
      </c>
      <c r="K526" s="8" t="s">
        <v>28</v>
      </c>
      <c r="L526" s="8" t="s">
        <v>87</v>
      </c>
      <c r="M526" s="8" t="s">
        <v>64</v>
      </c>
      <c r="N526" s="11">
        <v>195279</v>
      </c>
      <c r="O526" s="11">
        <v>25567</v>
      </c>
      <c r="P526" s="12">
        <v>87.2</v>
      </c>
      <c r="Q526" s="9">
        <v>5</v>
      </c>
      <c r="R526" s="13">
        <v>15</v>
      </c>
      <c r="S526" s="13">
        <v>4</v>
      </c>
      <c r="T526" s="9">
        <v>38</v>
      </c>
      <c r="U526" s="13">
        <v>76</v>
      </c>
      <c r="V526" s="8" t="s">
        <v>31</v>
      </c>
      <c r="W526" s="8"/>
      <c r="X526" s="22">
        <f>IF(V526="Yes",1,0)</f>
        <v>0</v>
      </c>
      <c r="Y526" s="22">
        <f>IF(H526="Active",0,1)</f>
        <v>0</v>
      </c>
    </row>
    <row r="527" spans="1:25" ht="18" customHeight="1" x14ac:dyDescent="0.35">
      <c r="A527" s="8" t="s">
        <v>1583</v>
      </c>
      <c r="B527" s="8" t="s">
        <v>181</v>
      </c>
      <c r="C527" s="8" t="s">
        <v>25</v>
      </c>
      <c r="D527" s="9">
        <v>59</v>
      </c>
      <c r="E527" s="8" t="s">
        <v>63</v>
      </c>
      <c r="F527" s="8" t="s">
        <v>72</v>
      </c>
      <c r="G527" s="10">
        <v>45839</v>
      </c>
      <c r="H527" s="8" t="s">
        <v>26</v>
      </c>
      <c r="I527" s="8" t="s">
        <v>36</v>
      </c>
      <c r="J527" s="8" t="s">
        <v>2268</v>
      </c>
      <c r="K527" s="8" t="s">
        <v>73</v>
      </c>
      <c r="L527" s="8" t="s">
        <v>68</v>
      </c>
      <c r="M527" s="8" t="s">
        <v>45</v>
      </c>
      <c r="N527" s="11">
        <v>202273</v>
      </c>
      <c r="O527" s="11">
        <v>23353</v>
      </c>
      <c r="P527" s="12">
        <v>84.7</v>
      </c>
      <c r="Q527" s="9">
        <v>1</v>
      </c>
      <c r="R527" s="13">
        <v>2</v>
      </c>
      <c r="S527" s="13">
        <v>3</v>
      </c>
      <c r="T527" s="9">
        <v>17</v>
      </c>
      <c r="U527" s="13">
        <v>97</v>
      </c>
      <c r="V527" s="8" t="s">
        <v>31</v>
      </c>
      <c r="W527" s="8"/>
      <c r="X527" s="22">
        <f>IF(V527="Yes",1,0)</f>
        <v>0</v>
      </c>
      <c r="Y527" s="22">
        <f>IF(H527="Active",0,1)</f>
        <v>0</v>
      </c>
    </row>
    <row r="528" spans="1:25" ht="18" customHeight="1" x14ac:dyDescent="0.35">
      <c r="A528" s="8" t="s">
        <v>847</v>
      </c>
      <c r="B528" s="8" t="s">
        <v>254</v>
      </c>
      <c r="C528" s="8" t="s">
        <v>34</v>
      </c>
      <c r="D528" s="9">
        <v>30</v>
      </c>
      <c r="E528" s="8" t="s">
        <v>42</v>
      </c>
      <c r="F528" s="8" t="s">
        <v>79</v>
      </c>
      <c r="G528" s="10">
        <v>45838</v>
      </c>
      <c r="H528" s="8" t="s">
        <v>26</v>
      </c>
      <c r="I528" s="8" t="s">
        <v>27</v>
      </c>
      <c r="J528" s="8" t="s">
        <v>80</v>
      </c>
      <c r="K528" s="8" t="s">
        <v>55</v>
      </c>
      <c r="L528" s="8" t="s">
        <v>49</v>
      </c>
      <c r="M528" s="8" t="s">
        <v>30</v>
      </c>
      <c r="N528" s="11">
        <v>233208</v>
      </c>
      <c r="O528" s="11">
        <v>27571</v>
      </c>
      <c r="P528" s="12">
        <v>82.3</v>
      </c>
      <c r="Q528" s="9">
        <v>7</v>
      </c>
      <c r="R528" s="13">
        <v>20</v>
      </c>
      <c r="S528" s="13">
        <v>2</v>
      </c>
      <c r="T528" s="9">
        <v>28</v>
      </c>
      <c r="U528" s="13">
        <v>68</v>
      </c>
      <c r="V528" s="8" t="s">
        <v>69</v>
      </c>
      <c r="W528" s="8"/>
      <c r="X528" s="22">
        <f>IF(V528="Yes",1,0)</f>
        <v>1</v>
      </c>
      <c r="Y528" s="22">
        <f>IF(H528="Active",0,1)</f>
        <v>0</v>
      </c>
    </row>
    <row r="529" spans="1:25" ht="18" customHeight="1" x14ac:dyDescent="0.35">
      <c r="A529" s="14" t="s">
        <v>704</v>
      </c>
      <c r="B529" s="14" t="s">
        <v>151</v>
      </c>
      <c r="C529" s="14" t="s">
        <v>25</v>
      </c>
      <c r="D529" s="15">
        <v>32</v>
      </c>
      <c r="E529" s="14" t="s">
        <v>2303</v>
      </c>
      <c r="F529" s="14" t="s">
        <v>76</v>
      </c>
      <c r="G529" s="16">
        <v>45837</v>
      </c>
      <c r="H529" s="14" t="s">
        <v>26</v>
      </c>
      <c r="I529" s="14" t="s">
        <v>27</v>
      </c>
      <c r="J529" s="14" t="s">
        <v>2270</v>
      </c>
      <c r="K529" s="14" t="s">
        <v>73</v>
      </c>
      <c r="L529" s="14" t="s">
        <v>44</v>
      </c>
      <c r="M529" s="14" t="s">
        <v>60</v>
      </c>
      <c r="N529" s="17">
        <v>160984</v>
      </c>
      <c r="O529" s="17">
        <v>36119</v>
      </c>
      <c r="P529" s="18">
        <v>98.4</v>
      </c>
      <c r="Q529" s="15">
        <v>9</v>
      </c>
      <c r="R529" s="19">
        <v>17</v>
      </c>
      <c r="S529" s="19">
        <v>3</v>
      </c>
      <c r="T529" s="15">
        <v>12</v>
      </c>
      <c r="U529" s="19">
        <v>79</v>
      </c>
      <c r="V529" s="14" t="s">
        <v>31</v>
      </c>
      <c r="W529" s="14"/>
      <c r="X529" s="14">
        <f>IF(V529="Yes",1,0)</f>
        <v>0</v>
      </c>
      <c r="Y529" s="14">
        <f>IF(H529="Active",0,1)</f>
        <v>0</v>
      </c>
    </row>
    <row r="530" spans="1:25" ht="18" customHeight="1" x14ac:dyDescent="0.35">
      <c r="A530" s="8" t="s">
        <v>1293</v>
      </c>
      <c r="B530" s="8" t="s">
        <v>386</v>
      </c>
      <c r="C530" s="8" t="s">
        <v>25</v>
      </c>
      <c r="D530" s="9">
        <v>43</v>
      </c>
      <c r="E530" s="8" t="s">
        <v>93</v>
      </c>
      <c r="F530" s="8" t="s">
        <v>72</v>
      </c>
      <c r="G530" s="10">
        <v>45837</v>
      </c>
      <c r="H530" s="8" t="s">
        <v>26</v>
      </c>
      <c r="I530" s="8" t="s">
        <v>2267</v>
      </c>
      <c r="J530" s="8" t="s">
        <v>48</v>
      </c>
      <c r="K530" s="8" t="s">
        <v>37</v>
      </c>
      <c r="L530" s="8" t="s">
        <v>44</v>
      </c>
      <c r="M530" s="8" t="s">
        <v>30</v>
      </c>
      <c r="N530" s="11">
        <v>246543</v>
      </c>
      <c r="O530" s="11">
        <v>31928</v>
      </c>
      <c r="P530" s="12">
        <v>92.1</v>
      </c>
      <c r="Q530" s="9">
        <v>10</v>
      </c>
      <c r="R530" s="13">
        <v>21</v>
      </c>
      <c r="S530" s="13">
        <v>4</v>
      </c>
      <c r="T530" s="9">
        <v>34</v>
      </c>
      <c r="U530" s="13">
        <v>92</v>
      </c>
      <c r="V530" s="8" t="s">
        <v>31</v>
      </c>
      <c r="W530" s="8"/>
      <c r="X530" s="22">
        <f>IF(V530="Yes",1,0)</f>
        <v>0</v>
      </c>
      <c r="Y530" s="22">
        <f>IF(H530="Active",0,1)</f>
        <v>0</v>
      </c>
    </row>
    <row r="531" spans="1:25" ht="18" customHeight="1" x14ac:dyDescent="0.35">
      <c r="A531" s="14" t="s">
        <v>862</v>
      </c>
      <c r="B531" s="14" t="s">
        <v>497</v>
      </c>
      <c r="C531" s="14" t="s">
        <v>34</v>
      </c>
      <c r="D531" s="15">
        <v>56</v>
      </c>
      <c r="E531" s="14" t="s">
        <v>86</v>
      </c>
      <c r="F531" s="14" t="s">
        <v>72</v>
      </c>
      <c r="G531" s="16">
        <v>45836</v>
      </c>
      <c r="H531" s="14" t="s">
        <v>54</v>
      </c>
      <c r="I531" s="14" t="s">
        <v>2267</v>
      </c>
      <c r="J531" s="14" t="s">
        <v>2270</v>
      </c>
      <c r="K531" s="14" t="s">
        <v>2271</v>
      </c>
      <c r="L531" s="14" t="s">
        <v>68</v>
      </c>
      <c r="M531" s="14" t="s">
        <v>39</v>
      </c>
      <c r="N531" s="17">
        <v>56245</v>
      </c>
      <c r="O531" s="17">
        <v>38755</v>
      </c>
      <c r="P531" s="18">
        <v>96.6</v>
      </c>
      <c r="Q531" s="15">
        <v>8</v>
      </c>
      <c r="R531" s="19">
        <v>24</v>
      </c>
      <c r="S531" s="19">
        <v>4</v>
      </c>
      <c r="T531" s="15">
        <v>11</v>
      </c>
      <c r="U531" s="19">
        <v>65</v>
      </c>
      <c r="V531" s="14" t="s">
        <v>31</v>
      </c>
      <c r="W531" s="14" t="s">
        <v>83</v>
      </c>
      <c r="X531" s="14">
        <f>IF(V531="Yes",1,0)</f>
        <v>0</v>
      </c>
      <c r="Y531" s="14">
        <f>IF(H531="Active",0,1)</f>
        <v>1</v>
      </c>
    </row>
    <row r="532" spans="1:25" ht="18" customHeight="1" x14ac:dyDescent="0.35">
      <c r="A532" s="14" t="s">
        <v>992</v>
      </c>
      <c r="B532" s="14" t="s">
        <v>556</v>
      </c>
      <c r="C532" s="14" t="s">
        <v>34</v>
      </c>
      <c r="D532" s="15">
        <v>23</v>
      </c>
      <c r="E532" s="14" t="s">
        <v>86</v>
      </c>
      <c r="F532" s="14" t="s">
        <v>35</v>
      </c>
      <c r="G532" s="16">
        <v>45836</v>
      </c>
      <c r="H532" s="14" t="s">
        <v>54</v>
      </c>
      <c r="I532" s="14" t="s">
        <v>2267</v>
      </c>
      <c r="J532" s="14" t="s">
        <v>80</v>
      </c>
      <c r="K532" s="14" t="s">
        <v>73</v>
      </c>
      <c r="L532" s="14" t="s">
        <v>49</v>
      </c>
      <c r="M532" s="14" t="s">
        <v>64</v>
      </c>
      <c r="N532" s="17">
        <v>74489</v>
      </c>
      <c r="O532" s="17">
        <v>33742</v>
      </c>
      <c r="P532" s="18">
        <v>97.3</v>
      </c>
      <c r="Q532" s="15">
        <v>7</v>
      </c>
      <c r="R532" s="19">
        <v>13</v>
      </c>
      <c r="S532" s="19">
        <v>2</v>
      </c>
      <c r="T532" s="15">
        <v>29</v>
      </c>
      <c r="U532" s="19">
        <v>94</v>
      </c>
      <c r="V532" s="14" t="s">
        <v>31</v>
      </c>
      <c r="W532" s="14" t="s">
        <v>205</v>
      </c>
      <c r="X532" s="14">
        <f>IF(V532="Yes",1,0)</f>
        <v>0</v>
      </c>
      <c r="Y532" s="14">
        <f>IF(H532="Active",0,1)</f>
        <v>1</v>
      </c>
    </row>
    <row r="533" spans="1:25" ht="18" customHeight="1" x14ac:dyDescent="0.35">
      <c r="A533" s="8" t="s">
        <v>1109</v>
      </c>
      <c r="B533" s="8" t="s">
        <v>244</v>
      </c>
      <c r="C533" s="8" t="s">
        <v>34</v>
      </c>
      <c r="D533" s="9">
        <v>22</v>
      </c>
      <c r="E533" s="8" t="s">
        <v>52</v>
      </c>
      <c r="F533" s="8" t="s">
        <v>90</v>
      </c>
      <c r="G533" s="10">
        <v>45836</v>
      </c>
      <c r="H533" s="8" t="s">
        <v>26</v>
      </c>
      <c r="I533" s="8" t="s">
        <v>27</v>
      </c>
      <c r="J533" s="8" t="s">
        <v>2270</v>
      </c>
      <c r="K533" s="8" t="s">
        <v>37</v>
      </c>
      <c r="L533" s="8" t="s">
        <v>38</v>
      </c>
      <c r="M533" s="8" t="s">
        <v>30</v>
      </c>
      <c r="N533" s="11">
        <v>144314</v>
      </c>
      <c r="O533" s="11">
        <v>34034</v>
      </c>
      <c r="P533" s="12">
        <v>97.9</v>
      </c>
      <c r="Q533" s="9">
        <v>0</v>
      </c>
      <c r="R533" s="13">
        <v>1</v>
      </c>
      <c r="S533" s="13">
        <v>4</v>
      </c>
      <c r="T533" s="9">
        <v>18</v>
      </c>
      <c r="U533" s="13">
        <v>60</v>
      </c>
      <c r="V533" s="8" t="s">
        <v>69</v>
      </c>
      <c r="W533" s="8"/>
      <c r="X533" s="22">
        <f>IF(V533="Yes",1,0)</f>
        <v>1</v>
      </c>
      <c r="Y533" s="22">
        <f>IF(H533="Active",0,1)</f>
        <v>0</v>
      </c>
    </row>
    <row r="534" spans="1:25" ht="18" customHeight="1" x14ac:dyDescent="0.35">
      <c r="A534" s="14" t="s">
        <v>1812</v>
      </c>
      <c r="B534" s="14" t="s">
        <v>222</v>
      </c>
      <c r="C534" s="14" t="s">
        <v>25</v>
      </c>
      <c r="D534" s="15">
        <v>60</v>
      </c>
      <c r="E534" s="14" t="s">
        <v>109</v>
      </c>
      <c r="F534" s="14" t="s">
        <v>53</v>
      </c>
      <c r="G534" s="16">
        <v>45836</v>
      </c>
      <c r="H534" s="14" t="s">
        <v>26</v>
      </c>
      <c r="I534" s="14" t="s">
        <v>36</v>
      </c>
      <c r="J534" s="14" t="s">
        <v>2268</v>
      </c>
      <c r="K534" s="14" t="s">
        <v>2271</v>
      </c>
      <c r="L534" s="14" t="s">
        <v>56</v>
      </c>
      <c r="M534" s="14" t="s">
        <v>30</v>
      </c>
      <c r="N534" s="17">
        <v>125695</v>
      </c>
      <c r="O534" s="17">
        <v>35154</v>
      </c>
      <c r="P534" s="18">
        <v>86.3</v>
      </c>
      <c r="Q534" s="15">
        <v>3</v>
      </c>
      <c r="R534" s="19">
        <v>29</v>
      </c>
      <c r="S534" s="19">
        <v>4</v>
      </c>
      <c r="T534" s="15">
        <v>18</v>
      </c>
      <c r="U534" s="19">
        <v>99</v>
      </c>
      <c r="V534" s="14" t="s">
        <v>31</v>
      </c>
      <c r="W534" s="14"/>
      <c r="X534" s="14">
        <f>IF(V534="Yes",1,0)</f>
        <v>0</v>
      </c>
      <c r="Y534" s="14">
        <f>IF(H534="Active",0,1)</f>
        <v>0</v>
      </c>
    </row>
    <row r="535" spans="1:25" ht="18" customHeight="1" x14ac:dyDescent="0.35">
      <c r="A535" s="14" t="s">
        <v>287</v>
      </c>
      <c r="B535" s="14" t="s">
        <v>288</v>
      </c>
      <c r="C535" s="14" t="s">
        <v>25</v>
      </c>
      <c r="D535" s="15">
        <v>23</v>
      </c>
      <c r="E535" s="14" t="s">
        <v>2304</v>
      </c>
      <c r="F535" s="14" t="s">
        <v>43</v>
      </c>
      <c r="G535" s="16">
        <v>45835</v>
      </c>
      <c r="H535" s="14" t="s">
        <v>26</v>
      </c>
      <c r="I535" s="14" t="s">
        <v>2267</v>
      </c>
      <c r="J535" s="14" t="s">
        <v>2268</v>
      </c>
      <c r="K535" s="14" t="s">
        <v>73</v>
      </c>
      <c r="L535" s="14" t="s">
        <v>116</v>
      </c>
      <c r="M535" s="14" t="s">
        <v>64</v>
      </c>
      <c r="N535" s="17">
        <v>116202</v>
      </c>
      <c r="O535" s="17">
        <v>36506</v>
      </c>
      <c r="P535" s="18">
        <v>85.6</v>
      </c>
      <c r="Q535" s="15">
        <v>0</v>
      </c>
      <c r="R535" s="19">
        <v>3</v>
      </c>
      <c r="S535" s="19">
        <v>2</v>
      </c>
      <c r="T535" s="15">
        <v>39</v>
      </c>
      <c r="U535" s="19">
        <v>87</v>
      </c>
      <c r="V535" s="14" t="s">
        <v>31</v>
      </c>
      <c r="W535" s="14"/>
      <c r="X535" s="14">
        <f>IF(V535="Yes",1,0)</f>
        <v>0</v>
      </c>
      <c r="Y535" s="14">
        <f>IF(H535="Active",0,1)</f>
        <v>0</v>
      </c>
    </row>
    <row r="536" spans="1:25" ht="18" customHeight="1" x14ac:dyDescent="0.35">
      <c r="A536" s="14" t="s">
        <v>963</v>
      </c>
      <c r="B536" s="14" t="s">
        <v>106</v>
      </c>
      <c r="C536" s="14" t="s">
        <v>34</v>
      </c>
      <c r="D536" s="15">
        <v>36</v>
      </c>
      <c r="E536" s="14" t="s">
        <v>2303</v>
      </c>
      <c r="F536" s="14" t="s">
        <v>76</v>
      </c>
      <c r="G536" s="16">
        <v>45835</v>
      </c>
      <c r="H536" s="14" t="s">
        <v>26</v>
      </c>
      <c r="I536" s="14" t="s">
        <v>36</v>
      </c>
      <c r="J536" s="14" t="s">
        <v>2270</v>
      </c>
      <c r="K536" s="14" t="s">
        <v>55</v>
      </c>
      <c r="L536" s="14" t="s">
        <v>56</v>
      </c>
      <c r="M536" s="14" t="s">
        <v>64</v>
      </c>
      <c r="N536" s="17">
        <v>103919</v>
      </c>
      <c r="O536" s="17">
        <v>36619</v>
      </c>
      <c r="P536" s="18">
        <v>83.4</v>
      </c>
      <c r="Q536" s="15">
        <v>7</v>
      </c>
      <c r="R536" s="19">
        <v>4</v>
      </c>
      <c r="S536" s="19">
        <v>2</v>
      </c>
      <c r="T536" s="15">
        <v>23</v>
      </c>
      <c r="U536" s="19">
        <v>99</v>
      </c>
      <c r="V536" s="14" t="s">
        <v>31</v>
      </c>
      <c r="W536" s="14"/>
      <c r="X536" s="14">
        <f>IF(V536="Yes",1,0)</f>
        <v>0</v>
      </c>
      <c r="Y536" s="14">
        <f>IF(H536="Active",0,1)</f>
        <v>0</v>
      </c>
    </row>
    <row r="537" spans="1:25" ht="18" customHeight="1" x14ac:dyDescent="0.35">
      <c r="A537" s="14" t="s">
        <v>1524</v>
      </c>
      <c r="B537" s="14" t="s">
        <v>341</v>
      </c>
      <c r="C537" s="14" t="s">
        <v>34</v>
      </c>
      <c r="D537" s="15">
        <v>25</v>
      </c>
      <c r="E537" s="14" t="s">
        <v>2304</v>
      </c>
      <c r="F537" s="14" t="s">
        <v>76</v>
      </c>
      <c r="G537" s="16">
        <v>45834</v>
      </c>
      <c r="H537" s="14" t="s">
        <v>26</v>
      </c>
      <c r="I537" s="14" t="s">
        <v>2267</v>
      </c>
      <c r="J537" s="14" t="s">
        <v>80</v>
      </c>
      <c r="K537" s="14" t="s">
        <v>28</v>
      </c>
      <c r="L537" s="14" t="s">
        <v>87</v>
      </c>
      <c r="M537" s="14" t="s">
        <v>64</v>
      </c>
      <c r="N537" s="17">
        <v>180556</v>
      </c>
      <c r="O537" s="17">
        <v>9751</v>
      </c>
      <c r="P537" s="18">
        <v>89.7</v>
      </c>
      <c r="Q537" s="15">
        <v>2</v>
      </c>
      <c r="R537" s="19">
        <v>27</v>
      </c>
      <c r="S537" s="19">
        <v>4</v>
      </c>
      <c r="T537" s="15">
        <v>26</v>
      </c>
      <c r="U537" s="19">
        <v>87</v>
      </c>
      <c r="V537" s="14" t="s">
        <v>31</v>
      </c>
      <c r="W537" s="14"/>
      <c r="X537" s="14">
        <f>IF(V537="Yes",1,0)</f>
        <v>0</v>
      </c>
      <c r="Y537" s="14">
        <f>IF(H537="Active",0,1)</f>
        <v>0</v>
      </c>
    </row>
    <row r="538" spans="1:25" ht="18" customHeight="1" x14ac:dyDescent="0.35">
      <c r="A538" s="14" t="s">
        <v>431</v>
      </c>
      <c r="B538" s="14" t="s">
        <v>432</v>
      </c>
      <c r="C538" s="14" t="s">
        <v>25</v>
      </c>
      <c r="D538" s="15">
        <v>56</v>
      </c>
      <c r="E538" s="14" t="s">
        <v>42</v>
      </c>
      <c r="F538" s="14" t="s">
        <v>90</v>
      </c>
      <c r="G538" s="16">
        <v>45833</v>
      </c>
      <c r="H538" s="14" t="s">
        <v>26</v>
      </c>
      <c r="I538" s="14" t="s">
        <v>2267</v>
      </c>
      <c r="J538" s="14" t="s">
        <v>80</v>
      </c>
      <c r="K538" s="14" t="s">
        <v>37</v>
      </c>
      <c r="L538" s="14" t="s">
        <v>68</v>
      </c>
      <c r="M538" s="14" t="s">
        <v>64</v>
      </c>
      <c r="N538" s="17">
        <v>197088</v>
      </c>
      <c r="O538" s="17">
        <v>34976</v>
      </c>
      <c r="P538" s="18">
        <v>82.4</v>
      </c>
      <c r="Q538" s="15">
        <v>4</v>
      </c>
      <c r="R538" s="19">
        <v>18</v>
      </c>
      <c r="S538" s="19">
        <v>3</v>
      </c>
      <c r="T538" s="15">
        <v>32</v>
      </c>
      <c r="U538" s="19">
        <v>68</v>
      </c>
      <c r="V538" s="14" t="s">
        <v>69</v>
      </c>
      <c r="W538" s="14"/>
      <c r="X538" s="14">
        <f>IF(V538="Yes",1,0)</f>
        <v>1</v>
      </c>
      <c r="Y538" s="14">
        <f>IF(H538="Active",0,1)</f>
        <v>0</v>
      </c>
    </row>
    <row r="539" spans="1:25" ht="18" customHeight="1" x14ac:dyDescent="0.35">
      <c r="A539" s="8" t="s">
        <v>1059</v>
      </c>
      <c r="B539" s="8" t="s">
        <v>222</v>
      </c>
      <c r="C539" s="8" t="s">
        <v>25</v>
      </c>
      <c r="D539" s="9">
        <v>56</v>
      </c>
      <c r="E539" s="8" t="s">
        <v>52</v>
      </c>
      <c r="F539" s="8" t="s">
        <v>76</v>
      </c>
      <c r="G539" s="10">
        <v>45833</v>
      </c>
      <c r="H539" s="8" t="s">
        <v>26</v>
      </c>
      <c r="I539" s="8" t="s">
        <v>36</v>
      </c>
      <c r="J539" s="8" t="s">
        <v>2268</v>
      </c>
      <c r="K539" s="8" t="s">
        <v>73</v>
      </c>
      <c r="L539" s="8" t="s">
        <v>68</v>
      </c>
      <c r="M539" s="8" t="s">
        <v>60</v>
      </c>
      <c r="N539" s="11">
        <v>191930</v>
      </c>
      <c r="O539" s="11">
        <v>13872</v>
      </c>
      <c r="P539" s="12">
        <v>93.3</v>
      </c>
      <c r="Q539" s="9">
        <v>10</v>
      </c>
      <c r="R539" s="13">
        <v>2</v>
      </c>
      <c r="S539" s="13">
        <v>4</v>
      </c>
      <c r="T539" s="9">
        <v>38</v>
      </c>
      <c r="U539" s="13">
        <v>96</v>
      </c>
      <c r="V539" s="8" t="s">
        <v>31</v>
      </c>
      <c r="W539" s="8"/>
      <c r="X539" s="22">
        <f>IF(V539="Yes",1,0)</f>
        <v>0</v>
      </c>
      <c r="Y539" s="22">
        <f>IF(H539="Active",0,1)</f>
        <v>0</v>
      </c>
    </row>
    <row r="540" spans="1:25" ht="18" customHeight="1" x14ac:dyDescent="0.35">
      <c r="A540" s="14" t="s">
        <v>1676</v>
      </c>
      <c r="B540" s="14" t="s">
        <v>92</v>
      </c>
      <c r="C540" s="14" t="s">
        <v>25</v>
      </c>
      <c r="D540" s="15">
        <v>39</v>
      </c>
      <c r="E540" s="14" t="s">
        <v>2304</v>
      </c>
      <c r="F540" s="14" t="s">
        <v>72</v>
      </c>
      <c r="G540" s="16">
        <v>45833</v>
      </c>
      <c r="H540" s="14" t="s">
        <v>26</v>
      </c>
      <c r="I540" s="14" t="s">
        <v>36</v>
      </c>
      <c r="J540" s="14" t="s">
        <v>2270</v>
      </c>
      <c r="K540" s="14" t="s">
        <v>2271</v>
      </c>
      <c r="L540" s="14" t="s">
        <v>68</v>
      </c>
      <c r="M540" s="14" t="s">
        <v>60</v>
      </c>
      <c r="N540" s="17">
        <v>121546</v>
      </c>
      <c r="O540" s="17">
        <v>10019</v>
      </c>
      <c r="P540" s="18">
        <v>95.1</v>
      </c>
      <c r="Q540" s="15">
        <v>3</v>
      </c>
      <c r="R540" s="19">
        <v>12</v>
      </c>
      <c r="S540" s="19">
        <v>3</v>
      </c>
      <c r="T540" s="15">
        <v>22</v>
      </c>
      <c r="U540" s="19">
        <v>85</v>
      </c>
      <c r="V540" s="14" t="s">
        <v>31</v>
      </c>
      <c r="W540" s="14"/>
      <c r="X540" s="14">
        <f>IF(V540="Yes",1,0)</f>
        <v>0</v>
      </c>
      <c r="Y540" s="14">
        <f>IF(H540="Active",0,1)</f>
        <v>0</v>
      </c>
    </row>
    <row r="541" spans="1:25" ht="18" customHeight="1" x14ac:dyDescent="0.35">
      <c r="A541" s="8" t="s">
        <v>503</v>
      </c>
      <c r="B541" s="8" t="s">
        <v>129</v>
      </c>
      <c r="C541" s="8" t="s">
        <v>25</v>
      </c>
      <c r="D541" s="9">
        <v>23</v>
      </c>
      <c r="E541" s="8" t="s">
        <v>67</v>
      </c>
      <c r="F541" s="8" t="s">
        <v>90</v>
      </c>
      <c r="G541" s="10">
        <v>45832</v>
      </c>
      <c r="H541" s="8" t="s">
        <v>26</v>
      </c>
      <c r="I541" s="8" t="s">
        <v>27</v>
      </c>
      <c r="J541" s="8" t="s">
        <v>2268</v>
      </c>
      <c r="K541" s="8" t="s">
        <v>37</v>
      </c>
      <c r="L541" s="8" t="s">
        <v>116</v>
      </c>
      <c r="M541" s="8" t="s">
        <v>60</v>
      </c>
      <c r="N541" s="11">
        <v>227611</v>
      </c>
      <c r="O541" s="11">
        <v>26695</v>
      </c>
      <c r="P541" s="12">
        <v>94.4</v>
      </c>
      <c r="Q541" s="9">
        <v>5</v>
      </c>
      <c r="R541" s="13">
        <v>8</v>
      </c>
      <c r="S541" s="13">
        <v>2</v>
      </c>
      <c r="T541" s="9">
        <v>38</v>
      </c>
      <c r="U541" s="13">
        <v>92</v>
      </c>
      <c r="V541" s="8" t="s">
        <v>31</v>
      </c>
      <c r="W541" s="8"/>
      <c r="X541" s="22">
        <f>IF(V541="Yes",1,0)</f>
        <v>0</v>
      </c>
      <c r="Y541" s="22">
        <f>IF(H541="Active",0,1)</f>
        <v>0</v>
      </c>
    </row>
    <row r="542" spans="1:25" ht="18" customHeight="1" x14ac:dyDescent="0.35">
      <c r="A542" s="14" t="s">
        <v>719</v>
      </c>
      <c r="B542" s="14" t="s">
        <v>258</v>
      </c>
      <c r="C542" s="14" t="s">
        <v>34</v>
      </c>
      <c r="D542" s="15">
        <v>49</v>
      </c>
      <c r="E542" s="14" t="s">
        <v>2303</v>
      </c>
      <c r="F542" s="14" t="s">
        <v>43</v>
      </c>
      <c r="G542" s="16">
        <v>45832</v>
      </c>
      <c r="H542" s="14" t="s">
        <v>26</v>
      </c>
      <c r="I542" s="14" t="s">
        <v>27</v>
      </c>
      <c r="J542" s="14" t="s">
        <v>2268</v>
      </c>
      <c r="K542" s="14" t="s">
        <v>28</v>
      </c>
      <c r="L542" s="14" t="s">
        <v>56</v>
      </c>
      <c r="M542" s="14" t="s">
        <v>60</v>
      </c>
      <c r="N542" s="17">
        <v>79583</v>
      </c>
      <c r="O542" s="17">
        <v>37502</v>
      </c>
      <c r="P542" s="18">
        <v>91.6</v>
      </c>
      <c r="Q542" s="15">
        <v>5</v>
      </c>
      <c r="R542" s="19">
        <v>5</v>
      </c>
      <c r="S542" s="19">
        <v>3</v>
      </c>
      <c r="T542" s="15">
        <v>37</v>
      </c>
      <c r="U542" s="19">
        <v>73</v>
      </c>
      <c r="V542" s="14" t="s">
        <v>31</v>
      </c>
      <c r="W542" s="14"/>
      <c r="X542" s="14">
        <f>IF(V542="Yes",1,0)</f>
        <v>0</v>
      </c>
      <c r="Y542" s="14">
        <f>IF(H542="Active",0,1)</f>
        <v>0</v>
      </c>
    </row>
    <row r="543" spans="1:25" ht="18" customHeight="1" x14ac:dyDescent="0.35">
      <c r="A543" s="14" t="s">
        <v>1330</v>
      </c>
      <c r="B543" s="14" t="s">
        <v>59</v>
      </c>
      <c r="C543" s="14" t="s">
        <v>25</v>
      </c>
      <c r="D543" s="15">
        <v>25</v>
      </c>
      <c r="E543" s="14" t="s">
        <v>42</v>
      </c>
      <c r="F543" s="14" t="s">
        <v>79</v>
      </c>
      <c r="G543" s="16">
        <v>45832</v>
      </c>
      <c r="H543" s="14" t="s">
        <v>26</v>
      </c>
      <c r="I543" s="14" t="s">
        <v>36</v>
      </c>
      <c r="J543" s="14" t="s">
        <v>48</v>
      </c>
      <c r="K543" s="14" t="s">
        <v>28</v>
      </c>
      <c r="L543" s="14" t="s">
        <v>29</v>
      </c>
      <c r="M543" s="14" t="s">
        <v>60</v>
      </c>
      <c r="N543" s="17">
        <v>73349</v>
      </c>
      <c r="O543" s="17">
        <v>8593</v>
      </c>
      <c r="P543" s="18">
        <v>97.4</v>
      </c>
      <c r="Q543" s="15">
        <v>9</v>
      </c>
      <c r="R543" s="19">
        <v>8</v>
      </c>
      <c r="S543" s="19">
        <v>5</v>
      </c>
      <c r="T543" s="15">
        <v>23</v>
      </c>
      <c r="U543" s="19">
        <v>92</v>
      </c>
      <c r="V543" s="14" t="s">
        <v>31</v>
      </c>
      <c r="W543" s="14"/>
      <c r="X543" s="14">
        <f>IF(V543="Yes",1,0)</f>
        <v>0</v>
      </c>
      <c r="Y543" s="14">
        <f>IF(H543="Active",0,1)</f>
        <v>0</v>
      </c>
    </row>
    <row r="544" spans="1:25" ht="18" customHeight="1" x14ac:dyDescent="0.35">
      <c r="A544" s="14" t="s">
        <v>46</v>
      </c>
      <c r="B544" s="14" t="s">
        <v>47</v>
      </c>
      <c r="C544" s="14" t="s">
        <v>34</v>
      </c>
      <c r="D544" s="15">
        <v>38</v>
      </c>
      <c r="E544" s="14" t="s">
        <v>2303</v>
      </c>
      <c r="F544" s="14" t="s">
        <v>43</v>
      </c>
      <c r="G544" s="16">
        <v>45831</v>
      </c>
      <c r="H544" s="14" t="s">
        <v>26</v>
      </c>
      <c r="I544" s="14" t="s">
        <v>2267</v>
      </c>
      <c r="J544" s="14" t="s">
        <v>48</v>
      </c>
      <c r="K544" s="14" t="s">
        <v>28</v>
      </c>
      <c r="L544" s="14" t="s">
        <v>49</v>
      </c>
      <c r="M544" s="14" t="s">
        <v>45</v>
      </c>
      <c r="N544" s="17">
        <v>124400</v>
      </c>
      <c r="O544" s="17">
        <v>5610</v>
      </c>
      <c r="P544" s="18">
        <v>87.3</v>
      </c>
      <c r="Q544" s="15">
        <v>8</v>
      </c>
      <c r="R544" s="19">
        <v>8</v>
      </c>
      <c r="S544" s="19">
        <v>3</v>
      </c>
      <c r="T544" s="15">
        <v>39</v>
      </c>
      <c r="U544" s="19">
        <v>62</v>
      </c>
      <c r="V544" s="14" t="s">
        <v>31</v>
      </c>
      <c r="W544" s="14"/>
      <c r="X544" s="14">
        <f>IF(V544="Yes",1,0)</f>
        <v>0</v>
      </c>
      <c r="Y544" s="14">
        <f>IF(H544="Active",0,1)</f>
        <v>0</v>
      </c>
    </row>
    <row r="545" spans="1:25" ht="18" customHeight="1" x14ac:dyDescent="0.35">
      <c r="A545" s="8" t="s">
        <v>272</v>
      </c>
      <c r="B545" s="8" t="s">
        <v>186</v>
      </c>
      <c r="C545" s="8" t="s">
        <v>34</v>
      </c>
      <c r="D545" s="9">
        <v>24</v>
      </c>
      <c r="E545" s="8" t="s">
        <v>42</v>
      </c>
      <c r="F545" s="8" t="s">
        <v>12</v>
      </c>
      <c r="G545" s="10">
        <v>45831</v>
      </c>
      <c r="H545" s="8" t="s">
        <v>26</v>
      </c>
      <c r="I545" s="8" t="s">
        <v>36</v>
      </c>
      <c r="J545" s="8" t="s">
        <v>80</v>
      </c>
      <c r="K545" s="8" t="s">
        <v>73</v>
      </c>
      <c r="L545" s="8" t="s">
        <v>49</v>
      </c>
      <c r="M545" s="8" t="s">
        <v>64</v>
      </c>
      <c r="N545" s="11">
        <v>93712</v>
      </c>
      <c r="O545" s="11">
        <v>5409</v>
      </c>
      <c r="P545" s="12">
        <v>85.3</v>
      </c>
      <c r="Q545" s="9">
        <v>8</v>
      </c>
      <c r="R545" s="13">
        <v>7</v>
      </c>
      <c r="S545" s="13">
        <v>5</v>
      </c>
      <c r="T545" s="9">
        <v>14</v>
      </c>
      <c r="U545" s="13">
        <v>67</v>
      </c>
      <c r="V545" s="8" t="s">
        <v>69</v>
      </c>
      <c r="W545" s="8"/>
      <c r="X545" s="22">
        <f>IF(V545="Yes",1,0)</f>
        <v>1</v>
      </c>
      <c r="Y545" s="22">
        <f>IF(H545="Active",0,1)</f>
        <v>0</v>
      </c>
    </row>
    <row r="546" spans="1:25" ht="18" customHeight="1" x14ac:dyDescent="0.35">
      <c r="A546" s="8" t="s">
        <v>552</v>
      </c>
      <c r="B546" s="8" t="s">
        <v>553</v>
      </c>
      <c r="C546" s="8" t="s">
        <v>34</v>
      </c>
      <c r="D546" s="9">
        <v>28</v>
      </c>
      <c r="E546" s="8" t="s">
        <v>93</v>
      </c>
      <c r="F546" s="8" t="s">
        <v>90</v>
      </c>
      <c r="G546" s="10">
        <v>45831</v>
      </c>
      <c r="H546" s="8" t="s">
        <v>26</v>
      </c>
      <c r="I546" s="8" t="s">
        <v>36</v>
      </c>
      <c r="J546" s="8" t="s">
        <v>2269</v>
      </c>
      <c r="K546" s="8" t="s">
        <v>37</v>
      </c>
      <c r="L546" s="8" t="s">
        <v>44</v>
      </c>
      <c r="M546" s="8" t="s">
        <v>45</v>
      </c>
      <c r="N546" s="11">
        <v>124222</v>
      </c>
      <c r="O546" s="11">
        <v>38454</v>
      </c>
      <c r="P546" s="12">
        <v>80.2</v>
      </c>
      <c r="Q546" s="9">
        <v>5</v>
      </c>
      <c r="R546" s="13">
        <v>0</v>
      </c>
      <c r="S546" s="13">
        <v>5</v>
      </c>
      <c r="T546" s="9">
        <v>22</v>
      </c>
      <c r="U546" s="13">
        <v>84</v>
      </c>
      <c r="V546" s="8" t="s">
        <v>31</v>
      </c>
      <c r="W546" s="8"/>
      <c r="X546" s="22">
        <f>IF(V546="Yes",1,0)</f>
        <v>0</v>
      </c>
      <c r="Y546" s="22">
        <f>IF(H546="Active",0,1)</f>
        <v>0</v>
      </c>
    </row>
    <row r="547" spans="1:25" ht="18" customHeight="1" x14ac:dyDescent="0.35">
      <c r="A547" s="14" t="s">
        <v>1142</v>
      </c>
      <c r="B547" s="14" t="s">
        <v>142</v>
      </c>
      <c r="C547" s="14" t="s">
        <v>34</v>
      </c>
      <c r="D547" s="15">
        <v>50</v>
      </c>
      <c r="E547" s="14" t="s">
        <v>86</v>
      </c>
      <c r="F547" s="14" t="s">
        <v>53</v>
      </c>
      <c r="G547" s="16">
        <v>45831</v>
      </c>
      <c r="H547" s="14" t="s">
        <v>26</v>
      </c>
      <c r="I547" s="14" t="s">
        <v>2267</v>
      </c>
      <c r="J547" s="14" t="s">
        <v>2270</v>
      </c>
      <c r="K547" s="14" t="s">
        <v>37</v>
      </c>
      <c r="L547" s="14" t="s">
        <v>49</v>
      </c>
      <c r="M547" s="14" t="s">
        <v>64</v>
      </c>
      <c r="N547" s="17">
        <v>158637</v>
      </c>
      <c r="O547" s="17">
        <v>17741</v>
      </c>
      <c r="P547" s="18">
        <v>91</v>
      </c>
      <c r="Q547" s="15">
        <v>7</v>
      </c>
      <c r="R547" s="19">
        <v>15</v>
      </c>
      <c r="S547" s="19">
        <v>2</v>
      </c>
      <c r="T547" s="15">
        <v>37</v>
      </c>
      <c r="U547" s="19">
        <v>65</v>
      </c>
      <c r="V547" s="14" t="s">
        <v>31</v>
      </c>
      <c r="W547" s="14"/>
      <c r="X547" s="14">
        <f>IF(V547="Yes",1,0)</f>
        <v>0</v>
      </c>
      <c r="Y547" s="14">
        <f>IF(H547="Active",0,1)</f>
        <v>0</v>
      </c>
    </row>
    <row r="548" spans="1:25" ht="18" customHeight="1" x14ac:dyDescent="0.35">
      <c r="A548" s="8" t="s">
        <v>871</v>
      </c>
      <c r="B548" s="8" t="s">
        <v>872</v>
      </c>
      <c r="C548" s="8" t="s">
        <v>25</v>
      </c>
      <c r="D548" s="9">
        <v>33</v>
      </c>
      <c r="E548" s="8" t="s">
        <v>86</v>
      </c>
      <c r="F548" s="8" t="s">
        <v>35</v>
      </c>
      <c r="G548" s="10">
        <v>45829</v>
      </c>
      <c r="H548" s="8" t="s">
        <v>26</v>
      </c>
      <c r="I548" s="8" t="s">
        <v>36</v>
      </c>
      <c r="J548" s="8" t="s">
        <v>80</v>
      </c>
      <c r="K548" s="8" t="s">
        <v>2271</v>
      </c>
      <c r="L548" s="8" t="s">
        <v>38</v>
      </c>
      <c r="M548" s="8" t="s">
        <v>64</v>
      </c>
      <c r="N548" s="11">
        <v>215249</v>
      </c>
      <c r="O548" s="11">
        <v>44520</v>
      </c>
      <c r="P548" s="12">
        <v>95</v>
      </c>
      <c r="Q548" s="9">
        <v>10</v>
      </c>
      <c r="R548" s="13">
        <v>6</v>
      </c>
      <c r="S548" s="13">
        <v>4</v>
      </c>
      <c r="T548" s="9">
        <v>29</v>
      </c>
      <c r="U548" s="13">
        <v>60</v>
      </c>
      <c r="V548" s="8" t="s">
        <v>69</v>
      </c>
      <c r="W548" s="8"/>
      <c r="X548" s="22">
        <f>IF(V548="Yes",1,0)</f>
        <v>1</v>
      </c>
      <c r="Y548" s="22">
        <f>IF(H548="Active",0,1)</f>
        <v>0</v>
      </c>
    </row>
    <row r="549" spans="1:25" ht="18" customHeight="1" x14ac:dyDescent="0.35">
      <c r="A549" s="14" t="s">
        <v>750</v>
      </c>
      <c r="B549" s="14" t="s">
        <v>742</v>
      </c>
      <c r="C549" s="14" t="s">
        <v>25</v>
      </c>
      <c r="D549" s="15">
        <v>49</v>
      </c>
      <c r="E549" s="14" t="s">
        <v>42</v>
      </c>
      <c r="F549" s="14" t="s">
        <v>72</v>
      </c>
      <c r="G549" s="16">
        <v>45828</v>
      </c>
      <c r="H549" s="14" t="s">
        <v>26</v>
      </c>
      <c r="I549" s="14" t="s">
        <v>27</v>
      </c>
      <c r="J549" s="14" t="s">
        <v>2270</v>
      </c>
      <c r="K549" s="14" t="s">
        <v>28</v>
      </c>
      <c r="L549" s="14" t="s">
        <v>56</v>
      </c>
      <c r="M549" s="14" t="s">
        <v>30</v>
      </c>
      <c r="N549" s="17">
        <v>137277</v>
      </c>
      <c r="O549" s="17">
        <v>31561</v>
      </c>
      <c r="P549" s="18">
        <v>96.5</v>
      </c>
      <c r="Q549" s="15">
        <v>6</v>
      </c>
      <c r="R549" s="19">
        <v>21</v>
      </c>
      <c r="S549" s="19">
        <v>3</v>
      </c>
      <c r="T549" s="15">
        <v>11</v>
      </c>
      <c r="U549" s="19">
        <v>98</v>
      </c>
      <c r="V549" s="14" t="s">
        <v>69</v>
      </c>
      <c r="W549" s="14"/>
      <c r="X549" s="14">
        <f>IF(V549="Yes",1,0)</f>
        <v>1</v>
      </c>
      <c r="Y549" s="14">
        <f>IF(H549="Active",0,1)</f>
        <v>0</v>
      </c>
    </row>
    <row r="550" spans="1:25" ht="18" customHeight="1" x14ac:dyDescent="0.35">
      <c r="A550" s="8" t="s">
        <v>991</v>
      </c>
      <c r="B550" s="8" t="s">
        <v>118</v>
      </c>
      <c r="C550" s="8" t="s">
        <v>34</v>
      </c>
      <c r="D550" s="9">
        <v>28</v>
      </c>
      <c r="E550" s="8" t="s">
        <v>52</v>
      </c>
      <c r="F550" s="8" t="s">
        <v>12</v>
      </c>
      <c r="G550" s="10">
        <v>45828</v>
      </c>
      <c r="H550" s="8" t="s">
        <v>26</v>
      </c>
      <c r="I550" s="8" t="s">
        <v>36</v>
      </c>
      <c r="J550" s="8" t="s">
        <v>80</v>
      </c>
      <c r="K550" s="8" t="s">
        <v>73</v>
      </c>
      <c r="L550" s="8" t="s">
        <v>56</v>
      </c>
      <c r="M550" s="8" t="s">
        <v>39</v>
      </c>
      <c r="N550" s="11">
        <v>182777</v>
      </c>
      <c r="O550" s="11">
        <v>39002</v>
      </c>
      <c r="P550" s="12">
        <v>91.5</v>
      </c>
      <c r="Q550" s="9">
        <v>1</v>
      </c>
      <c r="R550" s="13">
        <v>17</v>
      </c>
      <c r="S550" s="13">
        <v>3</v>
      </c>
      <c r="T550" s="9">
        <v>5</v>
      </c>
      <c r="U550" s="13">
        <v>91</v>
      </c>
      <c r="V550" s="8" t="s">
        <v>31</v>
      </c>
      <c r="W550" s="8"/>
      <c r="X550" s="22">
        <f>IF(V550="Yes",1,0)</f>
        <v>0</v>
      </c>
      <c r="Y550" s="22">
        <f>IF(H550="Active",0,1)</f>
        <v>0</v>
      </c>
    </row>
    <row r="551" spans="1:25" ht="18" customHeight="1" x14ac:dyDescent="0.35">
      <c r="A551" s="14" t="s">
        <v>2204</v>
      </c>
      <c r="B551" s="14" t="s">
        <v>701</v>
      </c>
      <c r="C551" s="14" t="s">
        <v>34</v>
      </c>
      <c r="D551" s="15">
        <v>34</v>
      </c>
      <c r="E551" s="14" t="s">
        <v>109</v>
      </c>
      <c r="F551" s="14" t="s">
        <v>79</v>
      </c>
      <c r="G551" s="16">
        <v>45828</v>
      </c>
      <c r="H551" s="14" t="s">
        <v>26</v>
      </c>
      <c r="I551" s="14" t="s">
        <v>2267</v>
      </c>
      <c r="J551" s="14" t="s">
        <v>2270</v>
      </c>
      <c r="K551" s="14" t="s">
        <v>28</v>
      </c>
      <c r="L551" s="14" t="s">
        <v>116</v>
      </c>
      <c r="M551" s="14" t="s">
        <v>30</v>
      </c>
      <c r="N551" s="17">
        <v>152060</v>
      </c>
      <c r="O551" s="17">
        <v>35838</v>
      </c>
      <c r="P551" s="18">
        <v>99</v>
      </c>
      <c r="Q551" s="15">
        <v>4</v>
      </c>
      <c r="R551" s="19">
        <v>24</v>
      </c>
      <c r="S551" s="19">
        <v>4</v>
      </c>
      <c r="T551" s="15">
        <v>18</v>
      </c>
      <c r="U551" s="19">
        <v>73</v>
      </c>
      <c r="V551" s="14" t="s">
        <v>31</v>
      </c>
      <c r="W551" s="14"/>
      <c r="X551" s="14">
        <f>IF(V551="Yes",1,0)</f>
        <v>0</v>
      </c>
      <c r="Y551" s="14">
        <f>IF(H551="Active",0,1)</f>
        <v>0</v>
      </c>
    </row>
    <row r="552" spans="1:25" ht="18" customHeight="1" x14ac:dyDescent="0.35">
      <c r="A552" s="14" t="s">
        <v>498</v>
      </c>
      <c r="B552" s="14" t="s">
        <v>413</v>
      </c>
      <c r="C552" s="14" t="s">
        <v>25</v>
      </c>
      <c r="D552" s="15">
        <v>30</v>
      </c>
      <c r="E552" s="14" t="s">
        <v>52</v>
      </c>
      <c r="F552" s="14" t="s">
        <v>12</v>
      </c>
      <c r="G552" s="16">
        <v>45827</v>
      </c>
      <c r="H552" s="14" t="s">
        <v>26</v>
      </c>
      <c r="I552" s="14" t="s">
        <v>36</v>
      </c>
      <c r="J552" s="14" t="s">
        <v>2270</v>
      </c>
      <c r="K552" s="14" t="s">
        <v>28</v>
      </c>
      <c r="L552" s="14" t="s">
        <v>44</v>
      </c>
      <c r="M552" s="14" t="s">
        <v>64</v>
      </c>
      <c r="N552" s="17">
        <v>125041</v>
      </c>
      <c r="O552" s="17">
        <v>18439</v>
      </c>
      <c r="P552" s="18">
        <v>99.7</v>
      </c>
      <c r="Q552" s="15">
        <v>9</v>
      </c>
      <c r="R552" s="19">
        <v>13</v>
      </c>
      <c r="S552" s="19">
        <v>1</v>
      </c>
      <c r="T552" s="15">
        <v>28</v>
      </c>
      <c r="U552" s="19">
        <v>78</v>
      </c>
      <c r="V552" s="14" t="s">
        <v>31</v>
      </c>
      <c r="W552" s="14"/>
      <c r="X552" s="14">
        <f>IF(V552="Yes",1,0)</f>
        <v>0</v>
      </c>
      <c r="Y552" s="14">
        <f>IF(H552="Active",0,1)</f>
        <v>0</v>
      </c>
    </row>
    <row r="553" spans="1:25" ht="18" customHeight="1" x14ac:dyDescent="0.35">
      <c r="A553" s="14" t="s">
        <v>744</v>
      </c>
      <c r="B553" s="14" t="s">
        <v>300</v>
      </c>
      <c r="C553" s="14" t="s">
        <v>25</v>
      </c>
      <c r="D553" s="15">
        <v>48</v>
      </c>
      <c r="E553" s="14" t="s">
        <v>52</v>
      </c>
      <c r="F553" s="14" t="s">
        <v>72</v>
      </c>
      <c r="G553" s="16">
        <v>45827</v>
      </c>
      <c r="H553" s="14" t="s">
        <v>26</v>
      </c>
      <c r="I553" s="14" t="s">
        <v>27</v>
      </c>
      <c r="J553" s="14" t="s">
        <v>2269</v>
      </c>
      <c r="K553" s="14" t="s">
        <v>55</v>
      </c>
      <c r="L553" s="14" t="s">
        <v>56</v>
      </c>
      <c r="M553" s="14" t="s">
        <v>60</v>
      </c>
      <c r="N553" s="17">
        <v>227799</v>
      </c>
      <c r="O553" s="17">
        <v>28651</v>
      </c>
      <c r="P553" s="18">
        <v>83.8</v>
      </c>
      <c r="Q553" s="15">
        <v>9</v>
      </c>
      <c r="R553" s="19">
        <v>27</v>
      </c>
      <c r="S553" s="19">
        <v>2</v>
      </c>
      <c r="T553" s="15">
        <v>26</v>
      </c>
      <c r="U553" s="19">
        <v>91</v>
      </c>
      <c r="V553" s="14" t="s">
        <v>69</v>
      </c>
      <c r="W553" s="14"/>
      <c r="X553" s="14">
        <f>IF(V553="Yes",1,0)</f>
        <v>1</v>
      </c>
      <c r="Y553" s="14">
        <f>IF(H553="Active",0,1)</f>
        <v>0</v>
      </c>
    </row>
    <row r="554" spans="1:25" ht="18" customHeight="1" x14ac:dyDescent="0.35">
      <c r="A554" s="8" t="s">
        <v>1249</v>
      </c>
      <c r="B554" s="8" t="s">
        <v>341</v>
      </c>
      <c r="C554" s="8" t="s">
        <v>34</v>
      </c>
      <c r="D554" s="9">
        <v>40</v>
      </c>
      <c r="E554" s="8" t="s">
        <v>42</v>
      </c>
      <c r="F554" s="8" t="s">
        <v>12</v>
      </c>
      <c r="G554" s="10">
        <v>45827</v>
      </c>
      <c r="H554" s="8" t="s">
        <v>26</v>
      </c>
      <c r="I554" s="8" t="s">
        <v>2267</v>
      </c>
      <c r="J554" s="8" t="s">
        <v>2270</v>
      </c>
      <c r="K554" s="8" t="s">
        <v>55</v>
      </c>
      <c r="L554" s="8" t="s">
        <v>38</v>
      </c>
      <c r="M554" s="8" t="s">
        <v>64</v>
      </c>
      <c r="N554" s="11">
        <v>98748</v>
      </c>
      <c r="O554" s="11">
        <v>49488</v>
      </c>
      <c r="P554" s="12">
        <v>81.3</v>
      </c>
      <c r="Q554" s="9">
        <v>0</v>
      </c>
      <c r="R554" s="13">
        <v>6</v>
      </c>
      <c r="S554" s="13">
        <v>2</v>
      </c>
      <c r="T554" s="9">
        <v>22</v>
      </c>
      <c r="U554" s="13">
        <v>62</v>
      </c>
      <c r="V554" s="8" t="s">
        <v>69</v>
      </c>
      <c r="W554" s="8"/>
      <c r="X554" s="22">
        <f>IF(V554="Yes",1,0)</f>
        <v>1</v>
      </c>
      <c r="Y554" s="22">
        <f>IF(H554="Active",0,1)</f>
        <v>0</v>
      </c>
    </row>
    <row r="555" spans="1:25" ht="18" customHeight="1" x14ac:dyDescent="0.35">
      <c r="A555" s="8" t="s">
        <v>722</v>
      </c>
      <c r="B555" s="8" t="s">
        <v>443</v>
      </c>
      <c r="C555" s="8" t="s">
        <v>34</v>
      </c>
      <c r="D555" s="9">
        <v>50</v>
      </c>
      <c r="E555" s="8" t="s">
        <v>2304</v>
      </c>
      <c r="F555" s="8" t="s">
        <v>53</v>
      </c>
      <c r="G555" s="10">
        <v>45826</v>
      </c>
      <c r="H555" s="8" t="s">
        <v>26</v>
      </c>
      <c r="I555" s="8" t="s">
        <v>2267</v>
      </c>
      <c r="J555" s="8" t="s">
        <v>2268</v>
      </c>
      <c r="K555" s="8" t="s">
        <v>37</v>
      </c>
      <c r="L555" s="8" t="s">
        <v>29</v>
      </c>
      <c r="M555" s="8" t="s">
        <v>60</v>
      </c>
      <c r="N555" s="11">
        <v>81506</v>
      </c>
      <c r="O555" s="11">
        <v>42500</v>
      </c>
      <c r="P555" s="12">
        <v>92.5</v>
      </c>
      <c r="Q555" s="9">
        <v>7</v>
      </c>
      <c r="R555" s="13">
        <v>14</v>
      </c>
      <c r="S555" s="13">
        <v>1</v>
      </c>
      <c r="T555" s="9">
        <v>6</v>
      </c>
      <c r="U555" s="13">
        <v>67</v>
      </c>
      <c r="V555" s="8" t="s">
        <v>31</v>
      </c>
      <c r="W555" s="8"/>
      <c r="X555" s="22">
        <f>IF(V555="Yes",1,0)</f>
        <v>0</v>
      </c>
      <c r="Y555" s="22">
        <f>IF(H555="Active",0,1)</f>
        <v>0</v>
      </c>
    </row>
    <row r="556" spans="1:25" ht="18" customHeight="1" x14ac:dyDescent="0.35">
      <c r="A556" s="14" t="s">
        <v>891</v>
      </c>
      <c r="B556" s="14" t="s">
        <v>226</v>
      </c>
      <c r="C556" s="14" t="s">
        <v>34</v>
      </c>
      <c r="D556" s="15">
        <v>36</v>
      </c>
      <c r="E556" s="14" t="s">
        <v>93</v>
      </c>
      <c r="F556" s="14" t="s">
        <v>76</v>
      </c>
      <c r="G556" s="16">
        <v>45826</v>
      </c>
      <c r="H556" s="14" t="s">
        <v>26</v>
      </c>
      <c r="I556" s="14" t="s">
        <v>2267</v>
      </c>
      <c r="J556" s="14" t="s">
        <v>2269</v>
      </c>
      <c r="K556" s="14" t="s">
        <v>28</v>
      </c>
      <c r="L556" s="14" t="s">
        <v>38</v>
      </c>
      <c r="M556" s="14" t="s">
        <v>39</v>
      </c>
      <c r="N556" s="17">
        <v>107459</v>
      </c>
      <c r="O556" s="17">
        <v>26250</v>
      </c>
      <c r="P556" s="18">
        <v>88.4</v>
      </c>
      <c r="Q556" s="15">
        <v>0</v>
      </c>
      <c r="R556" s="19">
        <v>29</v>
      </c>
      <c r="S556" s="19">
        <v>1</v>
      </c>
      <c r="T556" s="15">
        <v>20</v>
      </c>
      <c r="U556" s="19">
        <v>87</v>
      </c>
      <c r="V556" s="14" t="s">
        <v>31</v>
      </c>
      <c r="W556" s="14"/>
      <c r="X556" s="14">
        <f>IF(V556="Yes",1,0)</f>
        <v>0</v>
      </c>
      <c r="Y556" s="14">
        <f>IF(H556="Active",0,1)</f>
        <v>0</v>
      </c>
    </row>
    <row r="557" spans="1:25" ht="18" customHeight="1" x14ac:dyDescent="0.35">
      <c r="A557" s="8" t="s">
        <v>1014</v>
      </c>
      <c r="B557" s="8" t="s">
        <v>1015</v>
      </c>
      <c r="C557" s="8" t="s">
        <v>34</v>
      </c>
      <c r="D557" s="9">
        <v>48</v>
      </c>
      <c r="E557" s="8" t="s">
        <v>2303</v>
      </c>
      <c r="F557" s="8" t="s">
        <v>12</v>
      </c>
      <c r="G557" s="10">
        <v>45826</v>
      </c>
      <c r="H557" s="8" t="s">
        <v>26</v>
      </c>
      <c r="I557" s="8" t="s">
        <v>27</v>
      </c>
      <c r="J557" s="8" t="s">
        <v>2269</v>
      </c>
      <c r="K557" s="8" t="s">
        <v>55</v>
      </c>
      <c r="L557" s="8" t="s">
        <v>56</v>
      </c>
      <c r="M557" s="8" t="s">
        <v>45</v>
      </c>
      <c r="N557" s="11">
        <v>239557</v>
      </c>
      <c r="O557" s="11">
        <v>15250</v>
      </c>
      <c r="P557" s="12">
        <v>93.8</v>
      </c>
      <c r="Q557" s="9">
        <v>9</v>
      </c>
      <c r="R557" s="13">
        <v>29</v>
      </c>
      <c r="S557" s="13">
        <v>1</v>
      </c>
      <c r="T557" s="9">
        <v>32</v>
      </c>
      <c r="U557" s="13">
        <v>64</v>
      </c>
      <c r="V557" s="8" t="s">
        <v>69</v>
      </c>
      <c r="W557" s="8"/>
      <c r="X557" s="22">
        <f>IF(V557="Yes",1,0)</f>
        <v>1</v>
      </c>
      <c r="Y557" s="22">
        <f>IF(H557="Active",0,1)</f>
        <v>0</v>
      </c>
    </row>
    <row r="558" spans="1:25" ht="18" customHeight="1" x14ac:dyDescent="0.35">
      <c r="A558" s="14" t="s">
        <v>1516</v>
      </c>
      <c r="B558" s="14" t="s">
        <v>347</v>
      </c>
      <c r="C558" s="14" t="s">
        <v>25</v>
      </c>
      <c r="D558" s="15">
        <v>23</v>
      </c>
      <c r="E558" s="14" t="s">
        <v>63</v>
      </c>
      <c r="F558" s="14" t="s">
        <v>79</v>
      </c>
      <c r="G558" s="16">
        <v>45826</v>
      </c>
      <c r="H558" s="14" t="s">
        <v>26</v>
      </c>
      <c r="I558" s="14" t="s">
        <v>27</v>
      </c>
      <c r="J558" s="14" t="s">
        <v>80</v>
      </c>
      <c r="K558" s="14" t="s">
        <v>28</v>
      </c>
      <c r="L558" s="14" t="s">
        <v>29</v>
      </c>
      <c r="M558" s="14" t="s">
        <v>60</v>
      </c>
      <c r="N558" s="17">
        <v>220624</v>
      </c>
      <c r="O558" s="17">
        <v>19733</v>
      </c>
      <c r="P558" s="18">
        <v>90.3</v>
      </c>
      <c r="Q558" s="15">
        <v>1</v>
      </c>
      <c r="R558" s="19">
        <v>13</v>
      </c>
      <c r="S558" s="19">
        <v>5</v>
      </c>
      <c r="T558" s="15">
        <v>25</v>
      </c>
      <c r="U558" s="19">
        <v>69</v>
      </c>
      <c r="V558" s="14" t="s">
        <v>31</v>
      </c>
      <c r="W558" s="14"/>
      <c r="X558" s="14">
        <f>IF(V558="Yes",1,0)</f>
        <v>0</v>
      </c>
      <c r="Y558" s="14">
        <f>IF(H558="Active",0,1)</f>
        <v>0</v>
      </c>
    </row>
    <row r="559" spans="1:25" ht="18" customHeight="1" x14ac:dyDescent="0.35">
      <c r="A559" s="14" t="s">
        <v>225</v>
      </c>
      <c r="B559" s="14" t="s">
        <v>226</v>
      </c>
      <c r="C559" s="14" t="s">
        <v>25</v>
      </c>
      <c r="D559" s="15">
        <v>58</v>
      </c>
      <c r="E559" s="14" t="s">
        <v>2304</v>
      </c>
      <c r="F559" s="14" t="s">
        <v>35</v>
      </c>
      <c r="G559" s="16">
        <v>45825</v>
      </c>
      <c r="H559" s="14" t="s">
        <v>26</v>
      </c>
      <c r="I559" s="14" t="s">
        <v>27</v>
      </c>
      <c r="J559" s="14" t="s">
        <v>48</v>
      </c>
      <c r="K559" s="14" t="s">
        <v>37</v>
      </c>
      <c r="L559" s="14" t="s">
        <v>44</v>
      </c>
      <c r="M559" s="14" t="s">
        <v>45</v>
      </c>
      <c r="N559" s="17">
        <v>66824</v>
      </c>
      <c r="O559" s="17">
        <v>25967</v>
      </c>
      <c r="P559" s="18">
        <v>84.7</v>
      </c>
      <c r="Q559" s="15">
        <v>9</v>
      </c>
      <c r="R559" s="19">
        <v>15</v>
      </c>
      <c r="S559" s="19">
        <v>4</v>
      </c>
      <c r="T559" s="15">
        <v>20</v>
      </c>
      <c r="U559" s="19">
        <v>76</v>
      </c>
      <c r="V559" s="14" t="s">
        <v>69</v>
      </c>
      <c r="W559" s="14"/>
      <c r="X559" s="14">
        <f>IF(V559="Yes",1,0)</f>
        <v>1</v>
      </c>
      <c r="Y559" s="14">
        <f>IF(H559="Active",0,1)</f>
        <v>0</v>
      </c>
    </row>
    <row r="560" spans="1:25" ht="18" customHeight="1" x14ac:dyDescent="0.35">
      <c r="A560" s="14" t="s">
        <v>706</v>
      </c>
      <c r="B560" s="14" t="s">
        <v>314</v>
      </c>
      <c r="C560" s="14" t="s">
        <v>34</v>
      </c>
      <c r="D560" s="15">
        <v>51</v>
      </c>
      <c r="E560" s="14" t="s">
        <v>109</v>
      </c>
      <c r="F560" s="14" t="s">
        <v>90</v>
      </c>
      <c r="G560" s="16">
        <v>45824</v>
      </c>
      <c r="H560" s="14" t="s">
        <v>54</v>
      </c>
      <c r="I560" s="14" t="s">
        <v>36</v>
      </c>
      <c r="J560" s="14" t="s">
        <v>2269</v>
      </c>
      <c r="K560" s="14" t="s">
        <v>55</v>
      </c>
      <c r="L560" s="14" t="s">
        <v>44</v>
      </c>
      <c r="M560" s="14" t="s">
        <v>30</v>
      </c>
      <c r="N560" s="17">
        <v>153763</v>
      </c>
      <c r="O560" s="17">
        <v>28693</v>
      </c>
      <c r="P560" s="18">
        <v>87.4</v>
      </c>
      <c r="Q560" s="15">
        <v>2</v>
      </c>
      <c r="R560" s="19">
        <v>7</v>
      </c>
      <c r="S560" s="19">
        <v>1</v>
      </c>
      <c r="T560" s="15">
        <v>36</v>
      </c>
      <c r="U560" s="19">
        <v>92</v>
      </c>
      <c r="V560" s="14" t="s">
        <v>31</v>
      </c>
      <c r="W560" s="14" t="s">
        <v>123</v>
      </c>
      <c r="X560" s="14">
        <f>IF(V560="Yes",1,0)</f>
        <v>0</v>
      </c>
      <c r="Y560" s="14">
        <f>IF(H560="Active",0,1)</f>
        <v>1</v>
      </c>
    </row>
    <row r="561" spans="1:25" ht="18" customHeight="1" x14ac:dyDescent="0.35">
      <c r="A561" s="14" t="s">
        <v>2042</v>
      </c>
      <c r="B561" s="14" t="s">
        <v>199</v>
      </c>
      <c r="C561" s="14" t="s">
        <v>34</v>
      </c>
      <c r="D561" s="15">
        <v>53</v>
      </c>
      <c r="E561" s="14" t="s">
        <v>109</v>
      </c>
      <c r="F561" s="14" t="s">
        <v>35</v>
      </c>
      <c r="G561" s="16">
        <v>45824</v>
      </c>
      <c r="H561" s="14" t="s">
        <v>26</v>
      </c>
      <c r="I561" s="14" t="s">
        <v>2267</v>
      </c>
      <c r="J561" s="14" t="s">
        <v>80</v>
      </c>
      <c r="K561" s="14" t="s">
        <v>73</v>
      </c>
      <c r="L561" s="14" t="s">
        <v>87</v>
      </c>
      <c r="M561" s="14" t="s">
        <v>30</v>
      </c>
      <c r="N561" s="17">
        <v>202554</v>
      </c>
      <c r="O561" s="17">
        <v>7017</v>
      </c>
      <c r="P561" s="18">
        <v>87</v>
      </c>
      <c r="Q561" s="15">
        <v>9</v>
      </c>
      <c r="R561" s="19">
        <v>20</v>
      </c>
      <c r="S561" s="19">
        <v>3</v>
      </c>
      <c r="T561" s="15">
        <v>24</v>
      </c>
      <c r="U561" s="19">
        <v>98</v>
      </c>
      <c r="V561" s="14" t="s">
        <v>69</v>
      </c>
      <c r="W561" s="14"/>
      <c r="X561" s="14">
        <f>IF(V561="Yes",1,0)</f>
        <v>1</v>
      </c>
      <c r="Y561" s="14">
        <f>IF(H561="Active",0,1)</f>
        <v>0</v>
      </c>
    </row>
    <row r="562" spans="1:25" ht="18" customHeight="1" x14ac:dyDescent="0.35">
      <c r="A562" s="14" t="s">
        <v>414</v>
      </c>
      <c r="B562" s="14" t="s">
        <v>111</v>
      </c>
      <c r="C562" s="14" t="s">
        <v>25</v>
      </c>
      <c r="D562" s="15">
        <v>52</v>
      </c>
      <c r="E562" s="14" t="s">
        <v>93</v>
      </c>
      <c r="F562" s="14" t="s">
        <v>79</v>
      </c>
      <c r="G562" s="16">
        <v>45823</v>
      </c>
      <c r="H562" s="14" t="s">
        <v>26</v>
      </c>
      <c r="I562" s="14" t="s">
        <v>27</v>
      </c>
      <c r="J562" s="14" t="s">
        <v>80</v>
      </c>
      <c r="K562" s="14" t="s">
        <v>37</v>
      </c>
      <c r="L562" s="14" t="s">
        <v>87</v>
      </c>
      <c r="M562" s="14" t="s">
        <v>64</v>
      </c>
      <c r="N562" s="17">
        <v>160046</v>
      </c>
      <c r="O562" s="17">
        <v>14107</v>
      </c>
      <c r="P562" s="18">
        <v>92.2</v>
      </c>
      <c r="Q562" s="15">
        <v>5</v>
      </c>
      <c r="R562" s="19">
        <v>11</v>
      </c>
      <c r="S562" s="19">
        <v>4</v>
      </c>
      <c r="T562" s="15">
        <v>21</v>
      </c>
      <c r="U562" s="19">
        <v>61</v>
      </c>
      <c r="V562" s="14" t="s">
        <v>31</v>
      </c>
      <c r="W562" s="14"/>
      <c r="X562" s="14">
        <f>IF(V562="Yes",1,0)</f>
        <v>0</v>
      </c>
      <c r="Y562" s="14">
        <f>IF(H562="Active",0,1)</f>
        <v>0</v>
      </c>
    </row>
    <row r="563" spans="1:25" ht="18" customHeight="1" x14ac:dyDescent="0.35">
      <c r="A563" s="14" t="s">
        <v>1462</v>
      </c>
      <c r="B563" s="14" t="s">
        <v>353</v>
      </c>
      <c r="C563" s="14" t="s">
        <v>34</v>
      </c>
      <c r="D563" s="15">
        <v>41</v>
      </c>
      <c r="E563" s="14" t="s">
        <v>86</v>
      </c>
      <c r="F563" s="14" t="s">
        <v>72</v>
      </c>
      <c r="G563" s="16">
        <v>45823</v>
      </c>
      <c r="H563" s="14" t="s">
        <v>26</v>
      </c>
      <c r="I563" s="14" t="s">
        <v>2267</v>
      </c>
      <c r="J563" s="14" t="s">
        <v>2270</v>
      </c>
      <c r="K563" s="14" t="s">
        <v>55</v>
      </c>
      <c r="L563" s="14" t="s">
        <v>56</v>
      </c>
      <c r="M563" s="14" t="s">
        <v>45</v>
      </c>
      <c r="N563" s="17">
        <v>216026</v>
      </c>
      <c r="O563" s="17">
        <v>12985</v>
      </c>
      <c r="P563" s="18">
        <v>92.3</v>
      </c>
      <c r="Q563" s="15">
        <v>7</v>
      </c>
      <c r="R563" s="19">
        <v>19</v>
      </c>
      <c r="S563" s="19">
        <v>2</v>
      </c>
      <c r="T563" s="15">
        <v>6</v>
      </c>
      <c r="U563" s="19">
        <v>100</v>
      </c>
      <c r="V563" s="14" t="s">
        <v>31</v>
      </c>
      <c r="W563" s="14"/>
      <c r="X563" s="14">
        <f>IF(V563="Yes",1,0)</f>
        <v>0</v>
      </c>
      <c r="Y563" s="14">
        <f>IF(H563="Active",0,1)</f>
        <v>0</v>
      </c>
    </row>
    <row r="564" spans="1:25" ht="18" customHeight="1" x14ac:dyDescent="0.35">
      <c r="A564" s="14" t="s">
        <v>2052</v>
      </c>
      <c r="B564" s="14" t="s">
        <v>120</v>
      </c>
      <c r="C564" s="14" t="s">
        <v>34</v>
      </c>
      <c r="D564" s="15">
        <v>50</v>
      </c>
      <c r="E564" s="14" t="s">
        <v>109</v>
      </c>
      <c r="F564" s="14" t="s">
        <v>53</v>
      </c>
      <c r="G564" s="16">
        <v>45823</v>
      </c>
      <c r="H564" s="14" t="s">
        <v>54</v>
      </c>
      <c r="I564" s="14" t="s">
        <v>2267</v>
      </c>
      <c r="J564" s="14" t="s">
        <v>80</v>
      </c>
      <c r="K564" s="14" t="s">
        <v>2271</v>
      </c>
      <c r="L564" s="14" t="s">
        <v>38</v>
      </c>
      <c r="M564" s="14" t="s">
        <v>45</v>
      </c>
      <c r="N564" s="17">
        <v>51623</v>
      </c>
      <c r="O564" s="17">
        <v>14778</v>
      </c>
      <c r="P564" s="18">
        <v>91.8</v>
      </c>
      <c r="Q564" s="15">
        <v>2</v>
      </c>
      <c r="R564" s="19">
        <v>27</v>
      </c>
      <c r="S564" s="19">
        <v>3</v>
      </c>
      <c r="T564" s="15">
        <v>11</v>
      </c>
      <c r="U564" s="19">
        <v>95</v>
      </c>
      <c r="V564" s="14" t="s">
        <v>31</v>
      </c>
      <c r="W564" s="14" t="s">
        <v>57</v>
      </c>
      <c r="X564" s="14">
        <f>IF(V564="Yes",1,0)</f>
        <v>0</v>
      </c>
      <c r="Y564" s="14">
        <f>IF(H564="Active",0,1)</f>
        <v>1</v>
      </c>
    </row>
    <row r="565" spans="1:25" ht="18" customHeight="1" x14ac:dyDescent="0.35">
      <c r="A565" s="8" t="s">
        <v>1499</v>
      </c>
      <c r="B565" s="8" t="s">
        <v>167</v>
      </c>
      <c r="C565" s="8" t="s">
        <v>34</v>
      </c>
      <c r="D565" s="9">
        <v>27</v>
      </c>
      <c r="E565" s="8" t="s">
        <v>63</v>
      </c>
      <c r="F565" s="8" t="s">
        <v>35</v>
      </c>
      <c r="G565" s="10">
        <v>45822</v>
      </c>
      <c r="H565" s="8" t="s">
        <v>26</v>
      </c>
      <c r="I565" s="8" t="s">
        <v>36</v>
      </c>
      <c r="J565" s="8" t="s">
        <v>2269</v>
      </c>
      <c r="K565" s="8" t="s">
        <v>55</v>
      </c>
      <c r="L565" s="8" t="s">
        <v>49</v>
      </c>
      <c r="M565" s="8" t="s">
        <v>45</v>
      </c>
      <c r="N565" s="11">
        <v>83279</v>
      </c>
      <c r="O565" s="11">
        <v>29839</v>
      </c>
      <c r="P565" s="12">
        <v>91.9</v>
      </c>
      <c r="Q565" s="9">
        <v>0</v>
      </c>
      <c r="R565" s="13">
        <v>1</v>
      </c>
      <c r="S565" s="13">
        <v>2</v>
      </c>
      <c r="T565" s="9">
        <v>17</v>
      </c>
      <c r="U565" s="13">
        <v>91</v>
      </c>
      <c r="V565" s="8" t="s">
        <v>31</v>
      </c>
      <c r="W565" s="8"/>
      <c r="X565" s="22">
        <f>IF(V565="Yes",1,0)</f>
        <v>0</v>
      </c>
      <c r="Y565" s="22">
        <f>IF(H565="Active",0,1)</f>
        <v>0</v>
      </c>
    </row>
    <row r="566" spans="1:25" ht="18" customHeight="1" x14ac:dyDescent="0.35">
      <c r="A566" s="14" t="s">
        <v>1360</v>
      </c>
      <c r="B566" s="14" t="s">
        <v>467</v>
      </c>
      <c r="C566" s="14" t="s">
        <v>25</v>
      </c>
      <c r="D566" s="15">
        <v>40</v>
      </c>
      <c r="E566" s="14" t="s">
        <v>2303</v>
      </c>
      <c r="F566" s="14" t="s">
        <v>53</v>
      </c>
      <c r="G566" s="16">
        <v>45821</v>
      </c>
      <c r="H566" s="14" t="s">
        <v>26</v>
      </c>
      <c r="I566" s="14" t="s">
        <v>27</v>
      </c>
      <c r="J566" s="14" t="s">
        <v>48</v>
      </c>
      <c r="K566" s="14" t="s">
        <v>2271</v>
      </c>
      <c r="L566" s="14" t="s">
        <v>68</v>
      </c>
      <c r="M566" s="14" t="s">
        <v>64</v>
      </c>
      <c r="N566" s="17">
        <v>62468</v>
      </c>
      <c r="O566" s="17">
        <v>17453</v>
      </c>
      <c r="P566" s="18">
        <v>83.5</v>
      </c>
      <c r="Q566" s="15">
        <v>6</v>
      </c>
      <c r="R566" s="19">
        <v>24</v>
      </c>
      <c r="S566" s="19">
        <v>2</v>
      </c>
      <c r="T566" s="15">
        <v>18</v>
      </c>
      <c r="U566" s="19">
        <v>72</v>
      </c>
      <c r="V566" s="14" t="s">
        <v>31</v>
      </c>
      <c r="W566" s="14"/>
      <c r="X566" s="14">
        <f>IF(V566="Yes",1,0)</f>
        <v>0</v>
      </c>
      <c r="Y566" s="14">
        <f>IF(H566="Active",0,1)</f>
        <v>0</v>
      </c>
    </row>
    <row r="567" spans="1:25" ht="18" customHeight="1" x14ac:dyDescent="0.35">
      <c r="A567" s="14" t="s">
        <v>1658</v>
      </c>
      <c r="B567" s="14" t="s">
        <v>302</v>
      </c>
      <c r="C567" s="14" t="s">
        <v>25</v>
      </c>
      <c r="D567" s="15">
        <v>54</v>
      </c>
      <c r="E567" s="14" t="s">
        <v>93</v>
      </c>
      <c r="F567" s="14" t="s">
        <v>43</v>
      </c>
      <c r="G567" s="16">
        <v>45821</v>
      </c>
      <c r="H567" s="14" t="s">
        <v>26</v>
      </c>
      <c r="I567" s="14" t="s">
        <v>2267</v>
      </c>
      <c r="J567" s="14" t="s">
        <v>2269</v>
      </c>
      <c r="K567" s="14" t="s">
        <v>73</v>
      </c>
      <c r="L567" s="14" t="s">
        <v>116</v>
      </c>
      <c r="M567" s="14" t="s">
        <v>60</v>
      </c>
      <c r="N567" s="17">
        <v>80111</v>
      </c>
      <c r="O567" s="17">
        <v>31098</v>
      </c>
      <c r="P567" s="18">
        <v>83.9</v>
      </c>
      <c r="Q567" s="15">
        <v>0</v>
      </c>
      <c r="R567" s="19">
        <v>28</v>
      </c>
      <c r="S567" s="19">
        <v>1</v>
      </c>
      <c r="T567" s="15">
        <v>15</v>
      </c>
      <c r="U567" s="19">
        <v>78</v>
      </c>
      <c r="V567" s="14" t="s">
        <v>31</v>
      </c>
      <c r="W567" s="14"/>
      <c r="X567" s="14">
        <f>IF(V567="Yes",1,0)</f>
        <v>0</v>
      </c>
      <c r="Y567" s="14">
        <f>IF(H567="Active",0,1)</f>
        <v>0</v>
      </c>
    </row>
    <row r="568" spans="1:25" ht="18" customHeight="1" x14ac:dyDescent="0.35">
      <c r="A568" s="8" t="s">
        <v>1843</v>
      </c>
      <c r="B568" s="8" t="s">
        <v>215</v>
      </c>
      <c r="C568" s="8" t="s">
        <v>34</v>
      </c>
      <c r="D568" s="9">
        <v>54</v>
      </c>
      <c r="E568" s="8" t="s">
        <v>93</v>
      </c>
      <c r="F568" s="8" t="s">
        <v>53</v>
      </c>
      <c r="G568" s="10">
        <v>45821</v>
      </c>
      <c r="H568" s="8" t="s">
        <v>26</v>
      </c>
      <c r="I568" s="8" t="s">
        <v>2267</v>
      </c>
      <c r="J568" s="8" t="s">
        <v>80</v>
      </c>
      <c r="K568" s="8" t="s">
        <v>37</v>
      </c>
      <c r="L568" s="8" t="s">
        <v>44</v>
      </c>
      <c r="M568" s="8" t="s">
        <v>45</v>
      </c>
      <c r="N568" s="11">
        <v>238783</v>
      </c>
      <c r="O568" s="11">
        <v>6648</v>
      </c>
      <c r="P568" s="12">
        <v>88.3</v>
      </c>
      <c r="Q568" s="9">
        <v>8</v>
      </c>
      <c r="R568" s="13">
        <v>11</v>
      </c>
      <c r="S568" s="13">
        <v>4</v>
      </c>
      <c r="T568" s="9">
        <v>17</v>
      </c>
      <c r="U568" s="13">
        <v>78</v>
      </c>
      <c r="V568" s="8" t="s">
        <v>31</v>
      </c>
      <c r="W568" s="8"/>
      <c r="X568" s="22">
        <f>IF(V568="Yes",1,0)</f>
        <v>0</v>
      </c>
      <c r="Y568" s="22">
        <f>IF(H568="Active",0,1)</f>
        <v>0</v>
      </c>
    </row>
    <row r="569" spans="1:25" ht="18" customHeight="1" x14ac:dyDescent="0.35">
      <c r="A569" s="14" t="s">
        <v>1742</v>
      </c>
      <c r="B569" s="14" t="s">
        <v>300</v>
      </c>
      <c r="C569" s="14" t="s">
        <v>34</v>
      </c>
      <c r="D569" s="15">
        <v>48</v>
      </c>
      <c r="E569" s="14" t="s">
        <v>2304</v>
      </c>
      <c r="F569" s="14" t="s">
        <v>90</v>
      </c>
      <c r="G569" s="16">
        <v>45820</v>
      </c>
      <c r="H569" s="14" t="s">
        <v>26</v>
      </c>
      <c r="I569" s="14" t="s">
        <v>36</v>
      </c>
      <c r="J569" s="14" t="s">
        <v>2269</v>
      </c>
      <c r="K569" s="14" t="s">
        <v>73</v>
      </c>
      <c r="L569" s="14" t="s">
        <v>49</v>
      </c>
      <c r="M569" s="14" t="s">
        <v>45</v>
      </c>
      <c r="N569" s="17">
        <v>145225</v>
      </c>
      <c r="O569" s="17">
        <v>34369</v>
      </c>
      <c r="P569" s="18">
        <v>95</v>
      </c>
      <c r="Q569" s="15">
        <v>7</v>
      </c>
      <c r="R569" s="19">
        <v>8</v>
      </c>
      <c r="S569" s="19">
        <v>2</v>
      </c>
      <c r="T569" s="15">
        <v>32</v>
      </c>
      <c r="U569" s="19">
        <v>93</v>
      </c>
      <c r="V569" s="14" t="s">
        <v>31</v>
      </c>
      <c r="W569" s="14"/>
      <c r="X569" s="14">
        <f>IF(V569="Yes",1,0)</f>
        <v>0</v>
      </c>
      <c r="Y569" s="14">
        <f>IF(H569="Active",0,1)</f>
        <v>0</v>
      </c>
    </row>
    <row r="570" spans="1:25" ht="18" customHeight="1" x14ac:dyDescent="0.35">
      <c r="A570" s="14" t="s">
        <v>1998</v>
      </c>
      <c r="B570" s="14" t="s">
        <v>300</v>
      </c>
      <c r="C570" s="14" t="s">
        <v>34</v>
      </c>
      <c r="D570" s="15">
        <v>35</v>
      </c>
      <c r="E570" s="14" t="s">
        <v>67</v>
      </c>
      <c r="F570" s="14" t="s">
        <v>53</v>
      </c>
      <c r="G570" s="16">
        <v>45820</v>
      </c>
      <c r="H570" s="14" t="s">
        <v>26</v>
      </c>
      <c r="I570" s="14" t="s">
        <v>27</v>
      </c>
      <c r="J570" s="14" t="s">
        <v>2269</v>
      </c>
      <c r="K570" s="14" t="s">
        <v>37</v>
      </c>
      <c r="L570" s="14" t="s">
        <v>38</v>
      </c>
      <c r="M570" s="14" t="s">
        <v>30</v>
      </c>
      <c r="N570" s="17">
        <v>82130</v>
      </c>
      <c r="O570" s="17">
        <v>44092</v>
      </c>
      <c r="P570" s="18">
        <v>86.1</v>
      </c>
      <c r="Q570" s="15">
        <v>8</v>
      </c>
      <c r="R570" s="19">
        <v>1</v>
      </c>
      <c r="S570" s="19">
        <v>2</v>
      </c>
      <c r="T570" s="15">
        <v>29</v>
      </c>
      <c r="U570" s="19">
        <v>81</v>
      </c>
      <c r="V570" s="14" t="s">
        <v>69</v>
      </c>
      <c r="W570" s="14"/>
      <c r="X570" s="14">
        <f>IF(V570="Yes",1,0)</f>
        <v>1</v>
      </c>
      <c r="Y570" s="14">
        <f>IF(H570="Active",0,1)</f>
        <v>0</v>
      </c>
    </row>
    <row r="571" spans="1:25" ht="18" customHeight="1" x14ac:dyDescent="0.35">
      <c r="A571" s="14" t="s">
        <v>2230</v>
      </c>
      <c r="B571" s="14" t="s">
        <v>250</v>
      </c>
      <c r="C571" s="14" t="s">
        <v>34</v>
      </c>
      <c r="D571" s="15">
        <v>54</v>
      </c>
      <c r="E571" s="14" t="s">
        <v>86</v>
      </c>
      <c r="F571" s="14" t="s">
        <v>72</v>
      </c>
      <c r="G571" s="16">
        <v>45820</v>
      </c>
      <c r="H571" s="14" t="s">
        <v>26</v>
      </c>
      <c r="I571" s="14" t="s">
        <v>2267</v>
      </c>
      <c r="J571" s="14" t="s">
        <v>2270</v>
      </c>
      <c r="K571" s="14" t="s">
        <v>28</v>
      </c>
      <c r="L571" s="14" t="s">
        <v>49</v>
      </c>
      <c r="M571" s="14" t="s">
        <v>45</v>
      </c>
      <c r="N571" s="17">
        <v>228972</v>
      </c>
      <c r="O571" s="17">
        <v>33708</v>
      </c>
      <c r="P571" s="18">
        <v>94.5</v>
      </c>
      <c r="Q571" s="15">
        <v>8</v>
      </c>
      <c r="R571" s="19">
        <v>10</v>
      </c>
      <c r="S571" s="19">
        <v>2</v>
      </c>
      <c r="T571" s="15">
        <v>0</v>
      </c>
      <c r="U571" s="19">
        <v>84</v>
      </c>
      <c r="V571" s="14" t="s">
        <v>31</v>
      </c>
      <c r="W571" s="14"/>
      <c r="X571" s="14">
        <f>IF(V571="Yes",1,0)</f>
        <v>0</v>
      </c>
      <c r="Y571" s="14">
        <f>IF(H571="Active",0,1)</f>
        <v>0</v>
      </c>
    </row>
    <row r="572" spans="1:25" ht="18" customHeight="1" x14ac:dyDescent="0.35">
      <c r="A572" s="14" t="s">
        <v>764</v>
      </c>
      <c r="B572" s="14" t="s">
        <v>327</v>
      </c>
      <c r="C572" s="14" t="s">
        <v>25</v>
      </c>
      <c r="D572" s="15">
        <v>52</v>
      </c>
      <c r="E572" s="14" t="s">
        <v>2303</v>
      </c>
      <c r="F572" s="14" t="s">
        <v>79</v>
      </c>
      <c r="G572" s="16">
        <v>45819</v>
      </c>
      <c r="H572" s="14" t="s">
        <v>54</v>
      </c>
      <c r="I572" s="14" t="s">
        <v>2267</v>
      </c>
      <c r="J572" s="14" t="s">
        <v>48</v>
      </c>
      <c r="K572" s="14" t="s">
        <v>73</v>
      </c>
      <c r="L572" s="14" t="s">
        <v>56</v>
      </c>
      <c r="M572" s="14" t="s">
        <v>39</v>
      </c>
      <c r="N572" s="17">
        <v>49399</v>
      </c>
      <c r="O572" s="17">
        <v>20623</v>
      </c>
      <c r="P572" s="18">
        <v>92.2</v>
      </c>
      <c r="Q572" s="15">
        <v>7</v>
      </c>
      <c r="R572" s="19">
        <v>20</v>
      </c>
      <c r="S572" s="19">
        <v>4</v>
      </c>
      <c r="T572" s="15">
        <v>25</v>
      </c>
      <c r="U572" s="19">
        <v>60</v>
      </c>
      <c r="V572" s="14" t="s">
        <v>69</v>
      </c>
      <c r="W572" s="14" t="s">
        <v>83</v>
      </c>
      <c r="X572" s="14">
        <f>IF(V572="Yes",1,0)</f>
        <v>1</v>
      </c>
      <c r="Y572" s="14">
        <f>IF(H572="Active",0,1)</f>
        <v>1</v>
      </c>
    </row>
    <row r="573" spans="1:25" ht="18" customHeight="1" x14ac:dyDescent="0.35">
      <c r="A573" s="8" t="s">
        <v>1347</v>
      </c>
      <c r="B573" s="8" t="s">
        <v>254</v>
      </c>
      <c r="C573" s="8" t="s">
        <v>34</v>
      </c>
      <c r="D573" s="9">
        <v>36</v>
      </c>
      <c r="E573" s="8" t="s">
        <v>86</v>
      </c>
      <c r="F573" s="8" t="s">
        <v>76</v>
      </c>
      <c r="G573" s="10">
        <v>45819</v>
      </c>
      <c r="H573" s="8" t="s">
        <v>26</v>
      </c>
      <c r="I573" s="8" t="s">
        <v>27</v>
      </c>
      <c r="J573" s="8" t="s">
        <v>2269</v>
      </c>
      <c r="K573" s="8" t="s">
        <v>55</v>
      </c>
      <c r="L573" s="8" t="s">
        <v>44</v>
      </c>
      <c r="M573" s="8" t="s">
        <v>39</v>
      </c>
      <c r="N573" s="11">
        <v>67244</v>
      </c>
      <c r="O573" s="11">
        <v>31334</v>
      </c>
      <c r="P573" s="12">
        <v>97.8</v>
      </c>
      <c r="Q573" s="9">
        <v>9</v>
      </c>
      <c r="R573" s="13">
        <v>10</v>
      </c>
      <c r="S573" s="13">
        <v>5</v>
      </c>
      <c r="T573" s="9">
        <v>17</v>
      </c>
      <c r="U573" s="13">
        <v>96</v>
      </c>
      <c r="V573" s="8" t="s">
        <v>31</v>
      </c>
      <c r="W573" s="8"/>
      <c r="X573" s="22">
        <f>IF(V573="Yes",1,0)</f>
        <v>0</v>
      </c>
      <c r="Y573" s="22">
        <f>IF(H573="Active",0,1)</f>
        <v>0</v>
      </c>
    </row>
    <row r="574" spans="1:25" ht="18" customHeight="1" x14ac:dyDescent="0.35">
      <c r="A574" s="8" t="s">
        <v>1575</v>
      </c>
      <c r="B574" s="8" t="s">
        <v>85</v>
      </c>
      <c r="C574" s="8" t="s">
        <v>25</v>
      </c>
      <c r="D574" s="9">
        <v>41</v>
      </c>
      <c r="E574" s="8" t="s">
        <v>2304</v>
      </c>
      <c r="F574" s="8" t="s">
        <v>79</v>
      </c>
      <c r="G574" s="10">
        <v>45819</v>
      </c>
      <c r="H574" s="8" t="s">
        <v>54</v>
      </c>
      <c r="I574" s="8" t="s">
        <v>27</v>
      </c>
      <c r="J574" s="8" t="s">
        <v>2268</v>
      </c>
      <c r="K574" s="8" t="s">
        <v>2271</v>
      </c>
      <c r="L574" s="8" t="s">
        <v>29</v>
      </c>
      <c r="M574" s="8" t="s">
        <v>30</v>
      </c>
      <c r="N574" s="11">
        <v>230218</v>
      </c>
      <c r="O574" s="11">
        <v>10361</v>
      </c>
      <c r="P574" s="12">
        <v>98.3</v>
      </c>
      <c r="Q574" s="9">
        <v>7</v>
      </c>
      <c r="R574" s="13">
        <v>17</v>
      </c>
      <c r="S574" s="13">
        <v>5</v>
      </c>
      <c r="T574" s="9">
        <v>40</v>
      </c>
      <c r="U574" s="13">
        <v>65</v>
      </c>
      <c r="V574" s="8" t="s">
        <v>31</v>
      </c>
      <c r="W574" s="8" t="s">
        <v>205</v>
      </c>
      <c r="X574" s="22">
        <f>IF(V574="Yes",1,0)</f>
        <v>0</v>
      </c>
      <c r="Y574" s="22">
        <f>IF(H574="Active",0,1)</f>
        <v>1</v>
      </c>
    </row>
    <row r="575" spans="1:25" ht="18" customHeight="1" x14ac:dyDescent="0.35">
      <c r="A575" s="8" t="s">
        <v>1697</v>
      </c>
      <c r="B575" s="8" t="s">
        <v>146</v>
      </c>
      <c r="C575" s="8" t="s">
        <v>34</v>
      </c>
      <c r="D575" s="9">
        <v>52</v>
      </c>
      <c r="E575" s="8" t="s">
        <v>109</v>
      </c>
      <c r="F575" s="8" t="s">
        <v>43</v>
      </c>
      <c r="G575" s="10">
        <v>45819</v>
      </c>
      <c r="H575" s="8" t="s">
        <v>26</v>
      </c>
      <c r="I575" s="8" t="s">
        <v>36</v>
      </c>
      <c r="J575" s="8" t="s">
        <v>80</v>
      </c>
      <c r="K575" s="8" t="s">
        <v>2271</v>
      </c>
      <c r="L575" s="8" t="s">
        <v>44</v>
      </c>
      <c r="M575" s="8" t="s">
        <v>39</v>
      </c>
      <c r="N575" s="11">
        <v>144035</v>
      </c>
      <c r="O575" s="11">
        <v>7844</v>
      </c>
      <c r="P575" s="12">
        <v>82.9</v>
      </c>
      <c r="Q575" s="9">
        <v>9</v>
      </c>
      <c r="R575" s="13">
        <v>14</v>
      </c>
      <c r="S575" s="13">
        <v>2</v>
      </c>
      <c r="T575" s="9">
        <v>1</v>
      </c>
      <c r="U575" s="13">
        <v>87</v>
      </c>
      <c r="V575" s="8" t="s">
        <v>31</v>
      </c>
      <c r="W575" s="8"/>
      <c r="X575" s="22">
        <f>IF(V575="Yes",1,0)</f>
        <v>0</v>
      </c>
      <c r="Y575" s="22">
        <f>IF(H575="Active",0,1)</f>
        <v>0</v>
      </c>
    </row>
    <row r="576" spans="1:25" ht="18" customHeight="1" x14ac:dyDescent="0.35">
      <c r="A576" s="8" t="s">
        <v>1773</v>
      </c>
      <c r="B576" s="8" t="s">
        <v>358</v>
      </c>
      <c r="C576" s="8" t="s">
        <v>34</v>
      </c>
      <c r="D576" s="9">
        <v>24</v>
      </c>
      <c r="E576" s="8" t="s">
        <v>42</v>
      </c>
      <c r="F576" s="8" t="s">
        <v>72</v>
      </c>
      <c r="G576" s="10">
        <v>45819</v>
      </c>
      <c r="H576" s="8" t="s">
        <v>26</v>
      </c>
      <c r="I576" s="8" t="s">
        <v>2267</v>
      </c>
      <c r="J576" s="8" t="s">
        <v>80</v>
      </c>
      <c r="K576" s="8" t="s">
        <v>55</v>
      </c>
      <c r="L576" s="8" t="s">
        <v>116</v>
      </c>
      <c r="M576" s="8" t="s">
        <v>30</v>
      </c>
      <c r="N576" s="11">
        <v>109759</v>
      </c>
      <c r="O576" s="11">
        <v>7845</v>
      </c>
      <c r="P576" s="12">
        <v>92.7</v>
      </c>
      <c r="Q576" s="9">
        <v>9</v>
      </c>
      <c r="R576" s="13">
        <v>9</v>
      </c>
      <c r="S576" s="13">
        <v>4</v>
      </c>
      <c r="T576" s="9">
        <v>30</v>
      </c>
      <c r="U576" s="13">
        <v>75</v>
      </c>
      <c r="V576" s="8" t="s">
        <v>31</v>
      </c>
      <c r="W576" s="8"/>
      <c r="X576" s="22">
        <f>IF(V576="Yes",1,0)</f>
        <v>0</v>
      </c>
      <c r="Y576" s="22">
        <f>IF(H576="Active",0,1)</f>
        <v>0</v>
      </c>
    </row>
    <row r="577" spans="1:25" ht="18" customHeight="1" x14ac:dyDescent="0.35">
      <c r="A577" s="8" t="s">
        <v>1879</v>
      </c>
      <c r="B577" s="8" t="s">
        <v>226</v>
      </c>
      <c r="C577" s="8" t="s">
        <v>25</v>
      </c>
      <c r="D577" s="9">
        <v>55</v>
      </c>
      <c r="E577" s="8" t="s">
        <v>2304</v>
      </c>
      <c r="F577" s="8" t="s">
        <v>76</v>
      </c>
      <c r="G577" s="10">
        <v>45819</v>
      </c>
      <c r="H577" s="8" t="s">
        <v>26</v>
      </c>
      <c r="I577" s="8" t="s">
        <v>2267</v>
      </c>
      <c r="J577" s="8" t="s">
        <v>2268</v>
      </c>
      <c r="K577" s="8" t="s">
        <v>55</v>
      </c>
      <c r="L577" s="8" t="s">
        <v>68</v>
      </c>
      <c r="M577" s="8" t="s">
        <v>39</v>
      </c>
      <c r="N577" s="11">
        <v>137442</v>
      </c>
      <c r="O577" s="11">
        <v>25637</v>
      </c>
      <c r="P577" s="12">
        <v>91.1</v>
      </c>
      <c r="Q577" s="9">
        <v>7</v>
      </c>
      <c r="R577" s="13">
        <v>8</v>
      </c>
      <c r="S577" s="13">
        <v>4</v>
      </c>
      <c r="T577" s="9">
        <v>37</v>
      </c>
      <c r="U577" s="13">
        <v>88</v>
      </c>
      <c r="V577" s="8" t="s">
        <v>69</v>
      </c>
      <c r="W577" s="8"/>
      <c r="X577" s="22">
        <f>IF(V577="Yes",1,0)</f>
        <v>1</v>
      </c>
      <c r="Y577" s="22">
        <f>IF(H577="Active",0,1)</f>
        <v>0</v>
      </c>
    </row>
    <row r="578" spans="1:25" ht="18" customHeight="1" x14ac:dyDescent="0.35">
      <c r="A578" s="14" t="s">
        <v>198</v>
      </c>
      <c r="B578" s="14" t="s">
        <v>199</v>
      </c>
      <c r="C578" s="14" t="s">
        <v>34</v>
      </c>
      <c r="D578" s="15">
        <v>38</v>
      </c>
      <c r="E578" s="14" t="s">
        <v>86</v>
      </c>
      <c r="F578" s="14" t="s">
        <v>12</v>
      </c>
      <c r="G578" s="16">
        <v>45818</v>
      </c>
      <c r="H578" s="14" t="s">
        <v>54</v>
      </c>
      <c r="I578" s="14" t="s">
        <v>27</v>
      </c>
      <c r="J578" s="14" t="s">
        <v>80</v>
      </c>
      <c r="K578" s="14" t="s">
        <v>37</v>
      </c>
      <c r="L578" s="14" t="s">
        <v>49</v>
      </c>
      <c r="M578" s="14" t="s">
        <v>60</v>
      </c>
      <c r="N578" s="17">
        <v>153963</v>
      </c>
      <c r="O578" s="17">
        <v>5527</v>
      </c>
      <c r="P578" s="18">
        <v>92.5</v>
      </c>
      <c r="Q578" s="15">
        <v>4</v>
      </c>
      <c r="R578" s="19">
        <v>5</v>
      </c>
      <c r="S578" s="19">
        <v>4</v>
      </c>
      <c r="T578" s="15">
        <v>12</v>
      </c>
      <c r="U578" s="19">
        <v>63</v>
      </c>
      <c r="V578" s="14" t="s">
        <v>31</v>
      </c>
      <c r="W578" s="14" t="s">
        <v>83</v>
      </c>
      <c r="X578" s="14">
        <f>IF(V578="Yes",1,0)</f>
        <v>0</v>
      </c>
      <c r="Y578" s="14">
        <f>IF(H578="Active",0,1)</f>
        <v>1</v>
      </c>
    </row>
    <row r="579" spans="1:25" ht="18" customHeight="1" x14ac:dyDescent="0.35">
      <c r="A579" s="8" t="s">
        <v>277</v>
      </c>
      <c r="B579" s="8" t="s">
        <v>278</v>
      </c>
      <c r="C579" s="8" t="s">
        <v>25</v>
      </c>
      <c r="D579" s="9">
        <v>30</v>
      </c>
      <c r="E579" s="8" t="s">
        <v>93</v>
      </c>
      <c r="F579" s="8" t="s">
        <v>53</v>
      </c>
      <c r="G579" s="10">
        <v>45818</v>
      </c>
      <c r="H579" s="8" t="s">
        <v>26</v>
      </c>
      <c r="I579" s="8" t="s">
        <v>2267</v>
      </c>
      <c r="J579" s="8" t="s">
        <v>2269</v>
      </c>
      <c r="K579" s="8" t="s">
        <v>73</v>
      </c>
      <c r="L579" s="8" t="s">
        <v>49</v>
      </c>
      <c r="M579" s="8" t="s">
        <v>64</v>
      </c>
      <c r="N579" s="11">
        <v>97007</v>
      </c>
      <c r="O579" s="11">
        <v>38936</v>
      </c>
      <c r="P579" s="12">
        <v>89</v>
      </c>
      <c r="Q579" s="9">
        <v>1</v>
      </c>
      <c r="R579" s="13">
        <v>1</v>
      </c>
      <c r="S579" s="13">
        <v>4</v>
      </c>
      <c r="T579" s="9">
        <v>36</v>
      </c>
      <c r="U579" s="13">
        <v>67</v>
      </c>
      <c r="V579" s="8" t="s">
        <v>31</v>
      </c>
      <c r="W579" s="8"/>
      <c r="X579" s="22">
        <f>IF(V579="Yes",1,0)</f>
        <v>0</v>
      </c>
      <c r="Y579" s="22">
        <f>IF(H579="Active",0,1)</f>
        <v>0</v>
      </c>
    </row>
    <row r="580" spans="1:25" ht="18" customHeight="1" x14ac:dyDescent="0.35">
      <c r="A580" s="8" t="s">
        <v>466</v>
      </c>
      <c r="B580" s="8" t="s">
        <v>467</v>
      </c>
      <c r="C580" s="8" t="s">
        <v>34</v>
      </c>
      <c r="D580" s="9">
        <v>26</v>
      </c>
      <c r="E580" s="8" t="s">
        <v>52</v>
      </c>
      <c r="F580" s="8" t="s">
        <v>53</v>
      </c>
      <c r="G580" s="10">
        <v>45818</v>
      </c>
      <c r="H580" s="8" t="s">
        <v>26</v>
      </c>
      <c r="I580" s="8" t="s">
        <v>27</v>
      </c>
      <c r="J580" s="8" t="s">
        <v>2268</v>
      </c>
      <c r="K580" s="8" t="s">
        <v>37</v>
      </c>
      <c r="L580" s="8" t="s">
        <v>49</v>
      </c>
      <c r="M580" s="8" t="s">
        <v>39</v>
      </c>
      <c r="N580" s="11">
        <v>165986</v>
      </c>
      <c r="O580" s="11">
        <v>15605</v>
      </c>
      <c r="P580" s="12">
        <v>84.6</v>
      </c>
      <c r="Q580" s="9">
        <v>4</v>
      </c>
      <c r="R580" s="13">
        <v>0</v>
      </c>
      <c r="S580" s="13">
        <v>4</v>
      </c>
      <c r="T580" s="9">
        <v>34</v>
      </c>
      <c r="U580" s="13">
        <v>69</v>
      </c>
      <c r="V580" s="8" t="s">
        <v>31</v>
      </c>
      <c r="W580" s="8"/>
      <c r="X580" s="22">
        <f>IF(V580="Yes",1,0)</f>
        <v>0</v>
      </c>
      <c r="Y580" s="22">
        <f>IF(H580="Active",0,1)</f>
        <v>0</v>
      </c>
    </row>
    <row r="581" spans="1:25" ht="18" customHeight="1" x14ac:dyDescent="0.35">
      <c r="A581" s="8" t="s">
        <v>539</v>
      </c>
      <c r="B581" s="8" t="s">
        <v>540</v>
      </c>
      <c r="C581" s="8" t="s">
        <v>34</v>
      </c>
      <c r="D581" s="9">
        <v>36</v>
      </c>
      <c r="E581" s="8" t="s">
        <v>2304</v>
      </c>
      <c r="F581" s="8" t="s">
        <v>43</v>
      </c>
      <c r="G581" s="10">
        <v>45818</v>
      </c>
      <c r="H581" s="8" t="s">
        <v>26</v>
      </c>
      <c r="I581" s="8" t="s">
        <v>27</v>
      </c>
      <c r="J581" s="8" t="s">
        <v>2270</v>
      </c>
      <c r="K581" s="8" t="s">
        <v>2271</v>
      </c>
      <c r="L581" s="8" t="s">
        <v>44</v>
      </c>
      <c r="M581" s="8" t="s">
        <v>60</v>
      </c>
      <c r="N581" s="11">
        <v>160387</v>
      </c>
      <c r="O581" s="11">
        <v>17491</v>
      </c>
      <c r="P581" s="12">
        <v>80.3</v>
      </c>
      <c r="Q581" s="9">
        <v>6</v>
      </c>
      <c r="R581" s="13">
        <v>12</v>
      </c>
      <c r="S581" s="13">
        <v>4</v>
      </c>
      <c r="T581" s="9">
        <v>26</v>
      </c>
      <c r="U581" s="13">
        <v>66</v>
      </c>
      <c r="V581" s="8" t="s">
        <v>31</v>
      </c>
      <c r="W581" s="8"/>
      <c r="X581" s="22">
        <f>IF(V581="Yes",1,0)</f>
        <v>0</v>
      </c>
      <c r="Y581" s="22">
        <f>IF(H581="Active",0,1)</f>
        <v>0</v>
      </c>
    </row>
    <row r="582" spans="1:25" ht="18" customHeight="1" x14ac:dyDescent="0.35">
      <c r="A582" s="8" t="s">
        <v>589</v>
      </c>
      <c r="B582" s="8" t="s">
        <v>111</v>
      </c>
      <c r="C582" s="8" t="s">
        <v>34</v>
      </c>
      <c r="D582" s="9">
        <v>21</v>
      </c>
      <c r="E582" s="8" t="s">
        <v>86</v>
      </c>
      <c r="F582" s="8" t="s">
        <v>43</v>
      </c>
      <c r="G582" s="10">
        <v>45818</v>
      </c>
      <c r="H582" s="8" t="s">
        <v>26</v>
      </c>
      <c r="I582" s="8" t="s">
        <v>2267</v>
      </c>
      <c r="J582" s="8" t="s">
        <v>2269</v>
      </c>
      <c r="K582" s="8" t="s">
        <v>73</v>
      </c>
      <c r="L582" s="8" t="s">
        <v>38</v>
      </c>
      <c r="M582" s="8" t="s">
        <v>64</v>
      </c>
      <c r="N582" s="11">
        <v>48273</v>
      </c>
      <c r="O582" s="11">
        <v>17020</v>
      </c>
      <c r="P582" s="12">
        <v>91.3</v>
      </c>
      <c r="Q582" s="9">
        <v>4</v>
      </c>
      <c r="R582" s="13">
        <v>2</v>
      </c>
      <c r="S582" s="13">
        <v>4</v>
      </c>
      <c r="T582" s="9">
        <v>23</v>
      </c>
      <c r="U582" s="13">
        <v>81</v>
      </c>
      <c r="V582" s="8" t="s">
        <v>31</v>
      </c>
      <c r="W582" s="8"/>
      <c r="X582" s="22">
        <f>IF(V582="Yes",1,0)</f>
        <v>0</v>
      </c>
      <c r="Y582" s="22">
        <f>IF(H582="Active",0,1)</f>
        <v>0</v>
      </c>
    </row>
    <row r="583" spans="1:25" ht="18" customHeight="1" x14ac:dyDescent="0.35">
      <c r="A583" s="8" t="s">
        <v>1305</v>
      </c>
      <c r="B583" s="8" t="s">
        <v>806</v>
      </c>
      <c r="C583" s="8" t="s">
        <v>34</v>
      </c>
      <c r="D583" s="9">
        <v>32</v>
      </c>
      <c r="E583" s="8" t="s">
        <v>42</v>
      </c>
      <c r="F583" s="8" t="s">
        <v>35</v>
      </c>
      <c r="G583" s="10">
        <v>45818</v>
      </c>
      <c r="H583" s="8" t="s">
        <v>26</v>
      </c>
      <c r="I583" s="8" t="s">
        <v>27</v>
      </c>
      <c r="J583" s="8" t="s">
        <v>2269</v>
      </c>
      <c r="K583" s="8" t="s">
        <v>37</v>
      </c>
      <c r="L583" s="8" t="s">
        <v>38</v>
      </c>
      <c r="M583" s="8" t="s">
        <v>30</v>
      </c>
      <c r="N583" s="11">
        <v>212350</v>
      </c>
      <c r="O583" s="11">
        <v>21290</v>
      </c>
      <c r="P583" s="12">
        <v>96.2</v>
      </c>
      <c r="Q583" s="9">
        <v>9</v>
      </c>
      <c r="R583" s="13">
        <v>13</v>
      </c>
      <c r="S583" s="13">
        <v>1</v>
      </c>
      <c r="T583" s="9">
        <v>11</v>
      </c>
      <c r="U583" s="13">
        <v>61</v>
      </c>
      <c r="V583" s="8" t="s">
        <v>31</v>
      </c>
      <c r="W583" s="8"/>
      <c r="X583" s="22">
        <f>IF(V583="Yes",1,0)</f>
        <v>0</v>
      </c>
      <c r="Y583" s="22">
        <f>IF(H583="Active",0,1)</f>
        <v>0</v>
      </c>
    </row>
    <row r="584" spans="1:25" ht="18" customHeight="1" x14ac:dyDescent="0.35">
      <c r="A584" s="8" t="s">
        <v>2263</v>
      </c>
      <c r="B584" s="8" t="s">
        <v>349</v>
      </c>
      <c r="C584" s="8" t="s">
        <v>25</v>
      </c>
      <c r="D584" s="9">
        <v>39</v>
      </c>
      <c r="E584" s="8" t="s">
        <v>52</v>
      </c>
      <c r="F584" s="8" t="s">
        <v>35</v>
      </c>
      <c r="G584" s="10">
        <v>45818</v>
      </c>
      <c r="H584" s="8" t="s">
        <v>26</v>
      </c>
      <c r="I584" s="8" t="s">
        <v>36</v>
      </c>
      <c r="J584" s="8" t="s">
        <v>2270</v>
      </c>
      <c r="K584" s="8" t="s">
        <v>37</v>
      </c>
      <c r="L584" s="8" t="s">
        <v>56</v>
      </c>
      <c r="M584" s="8" t="s">
        <v>60</v>
      </c>
      <c r="N584" s="11">
        <v>171781</v>
      </c>
      <c r="O584" s="11">
        <v>17224</v>
      </c>
      <c r="P584" s="12">
        <v>80.7</v>
      </c>
      <c r="Q584" s="9">
        <v>4</v>
      </c>
      <c r="R584" s="13">
        <v>7</v>
      </c>
      <c r="S584" s="13">
        <v>4</v>
      </c>
      <c r="T584" s="9">
        <v>23</v>
      </c>
      <c r="U584" s="13">
        <v>85</v>
      </c>
      <c r="V584" s="8" t="s">
        <v>31</v>
      </c>
      <c r="W584" s="8"/>
      <c r="X584" s="22">
        <f>IF(V584="Yes",1,0)</f>
        <v>0</v>
      </c>
      <c r="Y584" s="22">
        <f>IF(H584="Active",0,1)</f>
        <v>0</v>
      </c>
    </row>
    <row r="585" spans="1:25" ht="18" customHeight="1" x14ac:dyDescent="0.35">
      <c r="A585" s="14" t="s">
        <v>794</v>
      </c>
      <c r="B585" s="14" t="s">
        <v>718</v>
      </c>
      <c r="C585" s="14" t="s">
        <v>34</v>
      </c>
      <c r="D585" s="15">
        <v>33</v>
      </c>
      <c r="E585" s="14" t="s">
        <v>93</v>
      </c>
      <c r="F585" s="14" t="s">
        <v>35</v>
      </c>
      <c r="G585" s="16">
        <v>45817</v>
      </c>
      <c r="H585" s="14" t="s">
        <v>26</v>
      </c>
      <c r="I585" s="14" t="s">
        <v>2267</v>
      </c>
      <c r="J585" s="14" t="s">
        <v>2269</v>
      </c>
      <c r="K585" s="14" t="s">
        <v>73</v>
      </c>
      <c r="L585" s="14" t="s">
        <v>68</v>
      </c>
      <c r="M585" s="14" t="s">
        <v>30</v>
      </c>
      <c r="N585" s="17">
        <v>192613</v>
      </c>
      <c r="O585" s="17">
        <v>16091</v>
      </c>
      <c r="P585" s="18">
        <v>88.7</v>
      </c>
      <c r="Q585" s="15">
        <v>9</v>
      </c>
      <c r="R585" s="19">
        <v>13</v>
      </c>
      <c r="S585" s="19">
        <v>3</v>
      </c>
      <c r="T585" s="15">
        <v>25</v>
      </c>
      <c r="U585" s="19">
        <v>71</v>
      </c>
      <c r="V585" s="14" t="s">
        <v>31</v>
      </c>
      <c r="W585" s="14"/>
      <c r="X585" s="14">
        <f>IF(V585="Yes",1,0)</f>
        <v>0</v>
      </c>
      <c r="Y585" s="14">
        <f>IF(H585="Active",0,1)</f>
        <v>0</v>
      </c>
    </row>
    <row r="586" spans="1:25" ht="18" customHeight="1" x14ac:dyDescent="0.35">
      <c r="A586" s="14" t="s">
        <v>2034</v>
      </c>
      <c r="B586" s="14" t="s">
        <v>1015</v>
      </c>
      <c r="C586" s="14" t="s">
        <v>25</v>
      </c>
      <c r="D586" s="15">
        <v>41</v>
      </c>
      <c r="E586" s="14" t="s">
        <v>2303</v>
      </c>
      <c r="F586" s="14" t="s">
        <v>79</v>
      </c>
      <c r="G586" s="16">
        <v>45817</v>
      </c>
      <c r="H586" s="14" t="s">
        <v>26</v>
      </c>
      <c r="I586" s="14" t="s">
        <v>27</v>
      </c>
      <c r="J586" s="14" t="s">
        <v>80</v>
      </c>
      <c r="K586" s="14" t="s">
        <v>73</v>
      </c>
      <c r="L586" s="14" t="s">
        <v>29</v>
      </c>
      <c r="M586" s="14" t="s">
        <v>64</v>
      </c>
      <c r="N586" s="17">
        <v>227721</v>
      </c>
      <c r="O586" s="17">
        <v>34311</v>
      </c>
      <c r="P586" s="18">
        <v>88.8</v>
      </c>
      <c r="Q586" s="15">
        <v>7</v>
      </c>
      <c r="R586" s="19">
        <v>29</v>
      </c>
      <c r="S586" s="19">
        <v>5</v>
      </c>
      <c r="T586" s="15">
        <v>40</v>
      </c>
      <c r="U586" s="19">
        <v>75</v>
      </c>
      <c r="V586" s="14" t="s">
        <v>31</v>
      </c>
      <c r="W586" s="14"/>
      <c r="X586" s="14">
        <f>IF(V586="Yes",1,0)</f>
        <v>0</v>
      </c>
      <c r="Y586" s="14">
        <f>IF(H586="Active",0,1)</f>
        <v>0</v>
      </c>
    </row>
    <row r="587" spans="1:25" ht="18" customHeight="1" x14ac:dyDescent="0.35">
      <c r="A587" s="8" t="s">
        <v>2129</v>
      </c>
      <c r="B587" s="8" t="s">
        <v>244</v>
      </c>
      <c r="C587" s="8" t="s">
        <v>25</v>
      </c>
      <c r="D587" s="9">
        <v>26</v>
      </c>
      <c r="E587" s="8" t="s">
        <v>67</v>
      </c>
      <c r="F587" s="8" t="s">
        <v>72</v>
      </c>
      <c r="G587" s="10">
        <v>45817</v>
      </c>
      <c r="H587" s="8" t="s">
        <v>26</v>
      </c>
      <c r="I587" s="8" t="s">
        <v>2267</v>
      </c>
      <c r="J587" s="8" t="s">
        <v>2268</v>
      </c>
      <c r="K587" s="8" t="s">
        <v>28</v>
      </c>
      <c r="L587" s="8" t="s">
        <v>56</v>
      </c>
      <c r="M587" s="8" t="s">
        <v>60</v>
      </c>
      <c r="N587" s="11">
        <v>134551</v>
      </c>
      <c r="O587" s="11">
        <v>32988</v>
      </c>
      <c r="P587" s="12">
        <v>84.5</v>
      </c>
      <c r="Q587" s="9">
        <v>9</v>
      </c>
      <c r="R587" s="13">
        <v>13</v>
      </c>
      <c r="S587" s="13">
        <v>1</v>
      </c>
      <c r="T587" s="9">
        <v>7</v>
      </c>
      <c r="U587" s="13">
        <v>82</v>
      </c>
      <c r="V587" s="8" t="s">
        <v>31</v>
      </c>
      <c r="W587" s="8"/>
      <c r="X587" s="22">
        <f>IF(V587="Yes",1,0)</f>
        <v>0</v>
      </c>
      <c r="Y587" s="22">
        <f>IF(H587="Active",0,1)</f>
        <v>0</v>
      </c>
    </row>
    <row r="588" spans="1:25" ht="18" customHeight="1" x14ac:dyDescent="0.35">
      <c r="A588" s="14" t="s">
        <v>94</v>
      </c>
      <c r="B588" s="14" t="s">
        <v>95</v>
      </c>
      <c r="C588" s="14" t="s">
        <v>25</v>
      </c>
      <c r="D588" s="15">
        <v>48</v>
      </c>
      <c r="E588" s="14" t="s">
        <v>2304</v>
      </c>
      <c r="F588" s="14" t="s">
        <v>90</v>
      </c>
      <c r="G588" s="16">
        <v>45815</v>
      </c>
      <c r="H588" s="14" t="s">
        <v>54</v>
      </c>
      <c r="I588" s="14" t="s">
        <v>27</v>
      </c>
      <c r="J588" s="14" t="s">
        <v>2270</v>
      </c>
      <c r="K588" s="14" t="s">
        <v>37</v>
      </c>
      <c r="L588" s="14" t="s">
        <v>38</v>
      </c>
      <c r="M588" s="14" t="s">
        <v>45</v>
      </c>
      <c r="N588" s="17">
        <v>210556</v>
      </c>
      <c r="O588" s="17">
        <v>44428</v>
      </c>
      <c r="P588" s="18">
        <v>99.2</v>
      </c>
      <c r="Q588" s="15">
        <v>7</v>
      </c>
      <c r="R588" s="19">
        <v>9</v>
      </c>
      <c r="S588" s="19">
        <v>5</v>
      </c>
      <c r="T588" s="15">
        <v>22</v>
      </c>
      <c r="U588" s="19">
        <v>67</v>
      </c>
      <c r="V588" s="14" t="s">
        <v>69</v>
      </c>
      <c r="W588" s="14" t="s">
        <v>96</v>
      </c>
      <c r="X588" s="14">
        <f>IF(V588="Yes",1,0)</f>
        <v>1</v>
      </c>
      <c r="Y588" s="14">
        <f>IF(H588="Active",0,1)</f>
        <v>1</v>
      </c>
    </row>
    <row r="589" spans="1:25" ht="18" customHeight="1" x14ac:dyDescent="0.35">
      <c r="A589" s="14" t="s">
        <v>695</v>
      </c>
      <c r="B589" s="14" t="s">
        <v>435</v>
      </c>
      <c r="C589" s="14" t="s">
        <v>34</v>
      </c>
      <c r="D589" s="15">
        <v>55</v>
      </c>
      <c r="E589" s="14" t="s">
        <v>52</v>
      </c>
      <c r="F589" s="14" t="s">
        <v>79</v>
      </c>
      <c r="G589" s="16">
        <v>45815</v>
      </c>
      <c r="H589" s="14" t="s">
        <v>26</v>
      </c>
      <c r="I589" s="14" t="s">
        <v>2267</v>
      </c>
      <c r="J589" s="14" t="s">
        <v>2268</v>
      </c>
      <c r="K589" s="14" t="s">
        <v>37</v>
      </c>
      <c r="L589" s="14" t="s">
        <v>87</v>
      </c>
      <c r="M589" s="14" t="s">
        <v>64</v>
      </c>
      <c r="N589" s="17">
        <v>160335</v>
      </c>
      <c r="O589" s="17">
        <v>38967</v>
      </c>
      <c r="P589" s="18">
        <v>90.8</v>
      </c>
      <c r="Q589" s="15">
        <v>6</v>
      </c>
      <c r="R589" s="19">
        <v>26</v>
      </c>
      <c r="S589" s="19">
        <v>5</v>
      </c>
      <c r="T589" s="15">
        <v>24</v>
      </c>
      <c r="U589" s="19">
        <v>83</v>
      </c>
      <c r="V589" s="14" t="s">
        <v>31</v>
      </c>
      <c r="W589" s="14"/>
      <c r="X589" s="14">
        <f>IF(V589="Yes",1,0)</f>
        <v>0</v>
      </c>
      <c r="Y589" s="14">
        <f>IF(H589="Active",0,1)</f>
        <v>0</v>
      </c>
    </row>
    <row r="590" spans="1:25" ht="18" customHeight="1" x14ac:dyDescent="0.35">
      <c r="A590" s="8" t="s">
        <v>1431</v>
      </c>
      <c r="B590" s="8" t="s">
        <v>278</v>
      </c>
      <c r="C590" s="8" t="s">
        <v>25</v>
      </c>
      <c r="D590" s="9">
        <v>33</v>
      </c>
      <c r="E590" s="8" t="s">
        <v>86</v>
      </c>
      <c r="F590" s="8" t="s">
        <v>72</v>
      </c>
      <c r="G590" s="10">
        <v>45815</v>
      </c>
      <c r="H590" s="8" t="s">
        <v>26</v>
      </c>
      <c r="I590" s="8" t="s">
        <v>27</v>
      </c>
      <c r="J590" s="8" t="s">
        <v>2268</v>
      </c>
      <c r="K590" s="8" t="s">
        <v>73</v>
      </c>
      <c r="L590" s="8" t="s">
        <v>87</v>
      </c>
      <c r="M590" s="8" t="s">
        <v>45</v>
      </c>
      <c r="N590" s="11">
        <v>137097</v>
      </c>
      <c r="O590" s="11">
        <v>45557</v>
      </c>
      <c r="P590" s="12">
        <v>98.4</v>
      </c>
      <c r="Q590" s="9">
        <v>9</v>
      </c>
      <c r="R590" s="13">
        <v>22</v>
      </c>
      <c r="S590" s="13">
        <v>4</v>
      </c>
      <c r="T590" s="9">
        <v>21</v>
      </c>
      <c r="U590" s="13">
        <v>95</v>
      </c>
      <c r="V590" s="8" t="s">
        <v>69</v>
      </c>
      <c r="W590" s="8"/>
      <c r="X590" s="22">
        <f>IF(V590="Yes",1,0)</f>
        <v>1</v>
      </c>
      <c r="Y590" s="22">
        <f>IF(H590="Active",0,1)</f>
        <v>0</v>
      </c>
    </row>
    <row r="591" spans="1:25" ht="18" customHeight="1" x14ac:dyDescent="0.35">
      <c r="A591" s="8" t="s">
        <v>1905</v>
      </c>
      <c r="B591" s="8" t="s">
        <v>1235</v>
      </c>
      <c r="C591" s="8" t="s">
        <v>25</v>
      </c>
      <c r="D591" s="9">
        <v>36</v>
      </c>
      <c r="E591" s="8" t="s">
        <v>52</v>
      </c>
      <c r="F591" s="8" t="s">
        <v>79</v>
      </c>
      <c r="G591" s="10">
        <v>45815</v>
      </c>
      <c r="H591" s="8" t="s">
        <v>54</v>
      </c>
      <c r="I591" s="8" t="s">
        <v>2267</v>
      </c>
      <c r="J591" s="8" t="s">
        <v>2270</v>
      </c>
      <c r="K591" s="8" t="s">
        <v>2271</v>
      </c>
      <c r="L591" s="8" t="s">
        <v>49</v>
      </c>
      <c r="M591" s="8" t="s">
        <v>39</v>
      </c>
      <c r="N591" s="11">
        <v>181145</v>
      </c>
      <c r="O591" s="11">
        <v>43138</v>
      </c>
      <c r="P591" s="12">
        <v>94.4</v>
      </c>
      <c r="Q591" s="9">
        <v>6</v>
      </c>
      <c r="R591" s="13">
        <v>12</v>
      </c>
      <c r="S591" s="13">
        <v>4</v>
      </c>
      <c r="T591" s="9">
        <v>24</v>
      </c>
      <c r="U591" s="13">
        <v>93</v>
      </c>
      <c r="V591" s="8" t="s">
        <v>31</v>
      </c>
      <c r="W591" s="8" t="s">
        <v>96</v>
      </c>
      <c r="X591" s="22">
        <f>IF(V591="Yes",1,0)</f>
        <v>0</v>
      </c>
      <c r="Y591" s="22">
        <f>IF(H591="Active",0,1)</f>
        <v>1</v>
      </c>
    </row>
    <row r="592" spans="1:25" ht="18" customHeight="1" x14ac:dyDescent="0.35">
      <c r="A592" s="14" t="s">
        <v>380</v>
      </c>
      <c r="B592" s="14" t="s">
        <v>171</v>
      </c>
      <c r="C592" s="14" t="s">
        <v>25</v>
      </c>
      <c r="D592" s="15">
        <v>59</v>
      </c>
      <c r="E592" s="14" t="s">
        <v>2303</v>
      </c>
      <c r="F592" s="14" t="s">
        <v>53</v>
      </c>
      <c r="G592" s="16">
        <v>45814</v>
      </c>
      <c r="H592" s="14" t="s">
        <v>26</v>
      </c>
      <c r="I592" s="14" t="s">
        <v>2267</v>
      </c>
      <c r="J592" s="14" t="s">
        <v>80</v>
      </c>
      <c r="K592" s="14" t="s">
        <v>2271</v>
      </c>
      <c r="L592" s="14" t="s">
        <v>56</v>
      </c>
      <c r="M592" s="14" t="s">
        <v>60</v>
      </c>
      <c r="N592" s="17">
        <v>164454</v>
      </c>
      <c r="O592" s="17">
        <v>18329</v>
      </c>
      <c r="P592" s="18">
        <v>92.9</v>
      </c>
      <c r="Q592" s="15">
        <v>8</v>
      </c>
      <c r="R592" s="19">
        <v>11</v>
      </c>
      <c r="S592" s="19">
        <v>1</v>
      </c>
      <c r="T592" s="15">
        <v>18</v>
      </c>
      <c r="U592" s="19">
        <v>72</v>
      </c>
      <c r="V592" s="14" t="s">
        <v>31</v>
      </c>
      <c r="W592" s="14"/>
      <c r="X592" s="14">
        <f>IF(V592="Yes",1,0)</f>
        <v>0</v>
      </c>
      <c r="Y592" s="14">
        <f>IF(H592="Active",0,1)</f>
        <v>0</v>
      </c>
    </row>
    <row r="593" spans="1:25" ht="18" customHeight="1" x14ac:dyDescent="0.35">
      <c r="A593" s="8" t="s">
        <v>606</v>
      </c>
      <c r="B593" s="8" t="s">
        <v>587</v>
      </c>
      <c r="C593" s="8" t="s">
        <v>25</v>
      </c>
      <c r="D593" s="9">
        <v>26</v>
      </c>
      <c r="E593" s="8" t="s">
        <v>109</v>
      </c>
      <c r="F593" s="8" t="s">
        <v>79</v>
      </c>
      <c r="G593" s="10">
        <v>45814</v>
      </c>
      <c r="H593" s="8" t="s">
        <v>26</v>
      </c>
      <c r="I593" s="8" t="s">
        <v>2267</v>
      </c>
      <c r="J593" s="8" t="s">
        <v>2268</v>
      </c>
      <c r="K593" s="8" t="s">
        <v>73</v>
      </c>
      <c r="L593" s="8" t="s">
        <v>44</v>
      </c>
      <c r="M593" s="8" t="s">
        <v>45</v>
      </c>
      <c r="N593" s="11">
        <v>96849</v>
      </c>
      <c r="O593" s="11">
        <v>42631</v>
      </c>
      <c r="P593" s="12">
        <v>83.6</v>
      </c>
      <c r="Q593" s="9">
        <v>7</v>
      </c>
      <c r="R593" s="13">
        <v>17</v>
      </c>
      <c r="S593" s="13">
        <v>2</v>
      </c>
      <c r="T593" s="9">
        <v>28</v>
      </c>
      <c r="U593" s="13">
        <v>83</v>
      </c>
      <c r="V593" s="8" t="s">
        <v>31</v>
      </c>
      <c r="W593" s="8"/>
      <c r="X593" s="22">
        <f>IF(V593="Yes",1,0)</f>
        <v>0</v>
      </c>
      <c r="Y593" s="22">
        <f>IF(H593="Active",0,1)</f>
        <v>0</v>
      </c>
    </row>
    <row r="594" spans="1:25" ht="18" customHeight="1" x14ac:dyDescent="0.35">
      <c r="A594" s="8" t="s">
        <v>1805</v>
      </c>
      <c r="B594" s="8" t="s">
        <v>556</v>
      </c>
      <c r="C594" s="8" t="s">
        <v>25</v>
      </c>
      <c r="D594" s="9">
        <v>29</v>
      </c>
      <c r="E594" s="8" t="s">
        <v>93</v>
      </c>
      <c r="F594" s="8" t="s">
        <v>90</v>
      </c>
      <c r="G594" s="10">
        <v>45814</v>
      </c>
      <c r="H594" s="8" t="s">
        <v>26</v>
      </c>
      <c r="I594" s="8" t="s">
        <v>36</v>
      </c>
      <c r="J594" s="8" t="s">
        <v>2270</v>
      </c>
      <c r="K594" s="8" t="s">
        <v>2271</v>
      </c>
      <c r="L594" s="8" t="s">
        <v>56</v>
      </c>
      <c r="M594" s="8" t="s">
        <v>39</v>
      </c>
      <c r="N594" s="11">
        <v>207704</v>
      </c>
      <c r="O594" s="11">
        <v>24963</v>
      </c>
      <c r="P594" s="12">
        <v>83.2</v>
      </c>
      <c r="Q594" s="9">
        <v>9</v>
      </c>
      <c r="R594" s="13">
        <v>7</v>
      </c>
      <c r="S594" s="13">
        <v>2</v>
      </c>
      <c r="T594" s="9">
        <v>12</v>
      </c>
      <c r="U594" s="13">
        <v>69</v>
      </c>
      <c r="V594" s="8" t="s">
        <v>69</v>
      </c>
      <c r="W594" s="8"/>
      <c r="X594" s="22">
        <f>IF(V594="Yes",1,0)</f>
        <v>1</v>
      </c>
      <c r="Y594" s="22">
        <f>IF(H594="Active",0,1)</f>
        <v>0</v>
      </c>
    </row>
    <row r="595" spans="1:25" ht="18" customHeight="1" x14ac:dyDescent="0.35">
      <c r="A595" s="14" t="s">
        <v>1936</v>
      </c>
      <c r="B595" s="14" t="s">
        <v>305</v>
      </c>
      <c r="C595" s="14" t="s">
        <v>34</v>
      </c>
      <c r="D595" s="15">
        <v>51</v>
      </c>
      <c r="E595" s="14" t="s">
        <v>2303</v>
      </c>
      <c r="F595" s="14" t="s">
        <v>79</v>
      </c>
      <c r="G595" s="16">
        <v>45814</v>
      </c>
      <c r="H595" s="14" t="s">
        <v>26</v>
      </c>
      <c r="I595" s="14" t="s">
        <v>36</v>
      </c>
      <c r="J595" s="14" t="s">
        <v>80</v>
      </c>
      <c r="K595" s="14" t="s">
        <v>55</v>
      </c>
      <c r="L595" s="14" t="s">
        <v>29</v>
      </c>
      <c r="M595" s="14" t="s">
        <v>64</v>
      </c>
      <c r="N595" s="17">
        <v>241030</v>
      </c>
      <c r="O595" s="17">
        <v>31063</v>
      </c>
      <c r="P595" s="18">
        <v>89.5</v>
      </c>
      <c r="Q595" s="15">
        <v>8</v>
      </c>
      <c r="R595" s="19">
        <v>7</v>
      </c>
      <c r="S595" s="19">
        <v>2</v>
      </c>
      <c r="T595" s="15">
        <v>13</v>
      </c>
      <c r="U595" s="19">
        <v>78</v>
      </c>
      <c r="V595" s="14" t="s">
        <v>69</v>
      </c>
      <c r="W595" s="14"/>
      <c r="X595" s="14">
        <f>IF(V595="Yes",1,0)</f>
        <v>1</v>
      </c>
      <c r="Y595" s="14">
        <f>IF(H595="Active",0,1)</f>
        <v>0</v>
      </c>
    </row>
    <row r="596" spans="1:25" ht="18" customHeight="1" x14ac:dyDescent="0.35">
      <c r="A596" s="14" t="s">
        <v>1640</v>
      </c>
      <c r="B596" s="14" t="s">
        <v>47</v>
      </c>
      <c r="C596" s="14" t="s">
        <v>25</v>
      </c>
      <c r="D596" s="15">
        <v>36</v>
      </c>
      <c r="E596" s="14" t="s">
        <v>52</v>
      </c>
      <c r="F596" s="14" t="s">
        <v>43</v>
      </c>
      <c r="G596" s="16">
        <v>45813</v>
      </c>
      <c r="H596" s="14" t="s">
        <v>26</v>
      </c>
      <c r="I596" s="14" t="s">
        <v>2267</v>
      </c>
      <c r="J596" s="14" t="s">
        <v>2268</v>
      </c>
      <c r="K596" s="14" t="s">
        <v>28</v>
      </c>
      <c r="L596" s="14" t="s">
        <v>116</v>
      </c>
      <c r="M596" s="14" t="s">
        <v>64</v>
      </c>
      <c r="N596" s="17">
        <v>68944</v>
      </c>
      <c r="O596" s="17">
        <v>18838</v>
      </c>
      <c r="P596" s="18">
        <v>95</v>
      </c>
      <c r="Q596" s="15">
        <v>6</v>
      </c>
      <c r="R596" s="19">
        <v>2</v>
      </c>
      <c r="S596" s="19">
        <v>3</v>
      </c>
      <c r="T596" s="15">
        <v>39</v>
      </c>
      <c r="U596" s="19">
        <v>71</v>
      </c>
      <c r="V596" s="14" t="s">
        <v>31</v>
      </c>
      <c r="W596" s="14"/>
      <c r="X596" s="14">
        <f>IF(V596="Yes",1,0)</f>
        <v>0</v>
      </c>
      <c r="Y596" s="14">
        <f>IF(H596="Active",0,1)</f>
        <v>0</v>
      </c>
    </row>
    <row r="597" spans="1:25" ht="18" customHeight="1" x14ac:dyDescent="0.35">
      <c r="A597" s="14" t="s">
        <v>420</v>
      </c>
      <c r="B597" s="14" t="s">
        <v>234</v>
      </c>
      <c r="C597" s="14" t="s">
        <v>25</v>
      </c>
      <c r="D597" s="15">
        <v>34</v>
      </c>
      <c r="E597" s="14" t="s">
        <v>109</v>
      </c>
      <c r="F597" s="14" t="s">
        <v>12</v>
      </c>
      <c r="G597" s="16">
        <v>45812</v>
      </c>
      <c r="H597" s="14" t="s">
        <v>26</v>
      </c>
      <c r="I597" s="14" t="s">
        <v>2267</v>
      </c>
      <c r="J597" s="14" t="s">
        <v>2268</v>
      </c>
      <c r="K597" s="14" t="s">
        <v>73</v>
      </c>
      <c r="L597" s="14" t="s">
        <v>38</v>
      </c>
      <c r="M597" s="14" t="s">
        <v>60</v>
      </c>
      <c r="N597" s="17">
        <v>221759</v>
      </c>
      <c r="O597" s="17">
        <v>42496</v>
      </c>
      <c r="P597" s="18">
        <v>92.6</v>
      </c>
      <c r="Q597" s="15">
        <v>2</v>
      </c>
      <c r="R597" s="19">
        <v>26</v>
      </c>
      <c r="S597" s="19">
        <v>3</v>
      </c>
      <c r="T597" s="15">
        <v>0</v>
      </c>
      <c r="U597" s="19">
        <v>98</v>
      </c>
      <c r="V597" s="14" t="s">
        <v>69</v>
      </c>
      <c r="W597" s="14"/>
      <c r="X597" s="14">
        <f>IF(V597="Yes",1,0)</f>
        <v>1</v>
      </c>
      <c r="Y597" s="14">
        <f>IF(H597="Active",0,1)</f>
        <v>0</v>
      </c>
    </row>
    <row r="598" spans="1:25" ht="18" customHeight="1" x14ac:dyDescent="0.35">
      <c r="A598" s="14" t="s">
        <v>1770</v>
      </c>
      <c r="B598" s="14" t="s">
        <v>551</v>
      </c>
      <c r="C598" s="14" t="s">
        <v>34</v>
      </c>
      <c r="D598" s="15">
        <v>40</v>
      </c>
      <c r="E598" s="14" t="s">
        <v>63</v>
      </c>
      <c r="F598" s="14" t="s">
        <v>43</v>
      </c>
      <c r="G598" s="16">
        <v>45812</v>
      </c>
      <c r="H598" s="14" t="s">
        <v>26</v>
      </c>
      <c r="I598" s="14" t="s">
        <v>36</v>
      </c>
      <c r="J598" s="14" t="s">
        <v>48</v>
      </c>
      <c r="K598" s="14" t="s">
        <v>28</v>
      </c>
      <c r="L598" s="14" t="s">
        <v>38</v>
      </c>
      <c r="M598" s="14" t="s">
        <v>64</v>
      </c>
      <c r="N598" s="17">
        <v>218704</v>
      </c>
      <c r="O598" s="17">
        <v>13061</v>
      </c>
      <c r="P598" s="18">
        <v>88</v>
      </c>
      <c r="Q598" s="15">
        <v>6</v>
      </c>
      <c r="R598" s="19">
        <v>26</v>
      </c>
      <c r="S598" s="19">
        <v>3</v>
      </c>
      <c r="T598" s="15">
        <v>0</v>
      </c>
      <c r="U598" s="19">
        <v>88</v>
      </c>
      <c r="V598" s="14" t="s">
        <v>31</v>
      </c>
      <c r="W598" s="14"/>
      <c r="X598" s="14">
        <f>IF(V598="Yes",1,0)</f>
        <v>0</v>
      </c>
      <c r="Y598" s="14">
        <f>IF(H598="Active",0,1)</f>
        <v>0</v>
      </c>
    </row>
    <row r="599" spans="1:25" ht="18" customHeight="1" x14ac:dyDescent="0.35">
      <c r="A599" s="8" t="s">
        <v>1989</v>
      </c>
      <c r="B599" s="8" t="s">
        <v>41</v>
      </c>
      <c r="C599" s="8" t="s">
        <v>25</v>
      </c>
      <c r="D599" s="9">
        <v>34</v>
      </c>
      <c r="E599" s="8" t="s">
        <v>109</v>
      </c>
      <c r="F599" s="8" t="s">
        <v>90</v>
      </c>
      <c r="G599" s="10">
        <v>45812</v>
      </c>
      <c r="H599" s="8" t="s">
        <v>54</v>
      </c>
      <c r="I599" s="8" t="s">
        <v>27</v>
      </c>
      <c r="J599" s="8" t="s">
        <v>2270</v>
      </c>
      <c r="K599" s="8" t="s">
        <v>37</v>
      </c>
      <c r="L599" s="8" t="s">
        <v>49</v>
      </c>
      <c r="M599" s="8" t="s">
        <v>60</v>
      </c>
      <c r="N599" s="11">
        <v>89489</v>
      </c>
      <c r="O599" s="11">
        <v>21190</v>
      </c>
      <c r="P599" s="12">
        <v>97.7</v>
      </c>
      <c r="Q599" s="9">
        <v>3</v>
      </c>
      <c r="R599" s="13">
        <v>27</v>
      </c>
      <c r="S599" s="13">
        <v>2</v>
      </c>
      <c r="T599" s="9">
        <v>8</v>
      </c>
      <c r="U599" s="13">
        <v>98</v>
      </c>
      <c r="V599" s="8" t="s">
        <v>31</v>
      </c>
      <c r="W599" s="8" t="s">
        <v>205</v>
      </c>
      <c r="X599" s="22">
        <f>IF(V599="Yes",1,0)</f>
        <v>0</v>
      </c>
      <c r="Y599" s="22">
        <f>IF(H599="Active",0,1)</f>
        <v>1</v>
      </c>
    </row>
    <row r="600" spans="1:25" ht="18" customHeight="1" x14ac:dyDescent="0.35">
      <c r="A600" s="8" t="s">
        <v>317</v>
      </c>
      <c r="B600" s="8" t="s">
        <v>318</v>
      </c>
      <c r="C600" s="8" t="s">
        <v>34</v>
      </c>
      <c r="D600" s="9">
        <v>47</v>
      </c>
      <c r="E600" s="8" t="s">
        <v>109</v>
      </c>
      <c r="F600" s="8" t="s">
        <v>35</v>
      </c>
      <c r="G600" s="10">
        <v>45811</v>
      </c>
      <c r="H600" s="8" t="s">
        <v>26</v>
      </c>
      <c r="I600" s="8" t="s">
        <v>36</v>
      </c>
      <c r="J600" s="8" t="s">
        <v>80</v>
      </c>
      <c r="K600" s="8" t="s">
        <v>28</v>
      </c>
      <c r="L600" s="8" t="s">
        <v>49</v>
      </c>
      <c r="M600" s="8" t="s">
        <v>39</v>
      </c>
      <c r="N600" s="11">
        <v>105624</v>
      </c>
      <c r="O600" s="11">
        <v>20081</v>
      </c>
      <c r="P600" s="12">
        <v>92.4</v>
      </c>
      <c r="Q600" s="9">
        <v>6</v>
      </c>
      <c r="R600" s="13">
        <v>13</v>
      </c>
      <c r="S600" s="13">
        <v>2</v>
      </c>
      <c r="T600" s="9">
        <v>25</v>
      </c>
      <c r="U600" s="13">
        <v>99</v>
      </c>
      <c r="V600" s="8" t="s">
        <v>31</v>
      </c>
      <c r="W600" s="8"/>
      <c r="X600" s="22">
        <f>IF(V600="Yes",1,0)</f>
        <v>0</v>
      </c>
      <c r="Y600" s="22">
        <f>IF(H600="Active",0,1)</f>
        <v>0</v>
      </c>
    </row>
    <row r="601" spans="1:25" ht="18" customHeight="1" x14ac:dyDescent="0.35">
      <c r="A601" s="8" t="s">
        <v>378</v>
      </c>
      <c r="B601" s="8" t="s">
        <v>379</v>
      </c>
      <c r="C601" s="8" t="s">
        <v>34</v>
      </c>
      <c r="D601" s="9">
        <v>33</v>
      </c>
      <c r="E601" s="8" t="s">
        <v>2304</v>
      </c>
      <c r="F601" s="8" t="s">
        <v>90</v>
      </c>
      <c r="G601" s="10">
        <v>45811</v>
      </c>
      <c r="H601" s="8" t="s">
        <v>26</v>
      </c>
      <c r="I601" s="8" t="s">
        <v>2267</v>
      </c>
      <c r="J601" s="8" t="s">
        <v>80</v>
      </c>
      <c r="K601" s="8" t="s">
        <v>73</v>
      </c>
      <c r="L601" s="8" t="s">
        <v>68</v>
      </c>
      <c r="M601" s="8" t="s">
        <v>45</v>
      </c>
      <c r="N601" s="11">
        <v>168579</v>
      </c>
      <c r="O601" s="11">
        <v>6605</v>
      </c>
      <c r="P601" s="12">
        <v>99.3</v>
      </c>
      <c r="Q601" s="9">
        <v>2</v>
      </c>
      <c r="R601" s="13">
        <v>2</v>
      </c>
      <c r="S601" s="13">
        <v>5</v>
      </c>
      <c r="T601" s="9">
        <v>15</v>
      </c>
      <c r="U601" s="13">
        <v>74</v>
      </c>
      <c r="V601" s="8" t="s">
        <v>69</v>
      </c>
      <c r="W601" s="8"/>
      <c r="X601" s="22">
        <f>IF(V601="Yes",1,0)</f>
        <v>1</v>
      </c>
      <c r="Y601" s="22">
        <f>IF(H601="Active",0,1)</f>
        <v>0</v>
      </c>
    </row>
    <row r="602" spans="1:25" ht="18" customHeight="1" x14ac:dyDescent="0.35">
      <c r="A602" s="8" t="s">
        <v>1691</v>
      </c>
      <c r="B602" s="8" t="s">
        <v>248</v>
      </c>
      <c r="C602" s="8" t="s">
        <v>25</v>
      </c>
      <c r="D602" s="9">
        <v>54</v>
      </c>
      <c r="E602" s="8" t="s">
        <v>86</v>
      </c>
      <c r="F602" s="8" t="s">
        <v>43</v>
      </c>
      <c r="G602" s="10">
        <v>45811</v>
      </c>
      <c r="H602" s="8" t="s">
        <v>26</v>
      </c>
      <c r="I602" s="8" t="s">
        <v>27</v>
      </c>
      <c r="J602" s="8" t="s">
        <v>48</v>
      </c>
      <c r="K602" s="8" t="s">
        <v>55</v>
      </c>
      <c r="L602" s="8" t="s">
        <v>68</v>
      </c>
      <c r="M602" s="8" t="s">
        <v>39</v>
      </c>
      <c r="N602" s="11">
        <v>61164</v>
      </c>
      <c r="O602" s="11">
        <v>43516</v>
      </c>
      <c r="P602" s="12">
        <v>85.1</v>
      </c>
      <c r="Q602" s="9">
        <v>0</v>
      </c>
      <c r="R602" s="13">
        <v>29</v>
      </c>
      <c r="S602" s="13">
        <v>2</v>
      </c>
      <c r="T602" s="9">
        <v>4</v>
      </c>
      <c r="U602" s="13">
        <v>63</v>
      </c>
      <c r="V602" s="8" t="s">
        <v>31</v>
      </c>
      <c r="W602" s="8"/>
      <c r="X602" s="22">
        <f>IF(V602="Yes",1,0)</f>
        <v>0</v>
      </c>
      <c r="Y602" s="22">
        <f>IF(H602="Active",0,1)</f>
        <v>0</v>
      </c>
    </row>
    <row r="603" spans="1:25" ht="18" customHeight="1" x14ac:dyDescent="0.35">
      <c r="A603" s="14" t="s">
        <v>355</v>
      </c>
      <c r="B603" s="14" t="s">
        <v>356</v>
      </c>
      <c r="C603" s="14" t="s">
        <v>34</v>
      </c>
      <c r="D603" s="15">
        <v>54</v>
      </c>
      <c r="E603" s="14" t="s">
        <v>109</v>
      </c>
      <c r="F603" s="14" t="s">
        <v>43</v>
      </c>
      <c r="G603" s="16">
        <v>45809</v>
      </c>
      <c r="H603" s="14" t="s">
        <v>26</v>
      </c>
      <c r="I603" s="14" t="s">
        <v>36</v>
      </c>
      <c r="J603" s="14" t="s">
        <v>2269</v>
      </c>
      <c r="K603" s="14" t="s">
        <v>73</v>
      </c>
      <c r="L603" s="14" t="s">
        <v>29</v>
      </c>
      <c r="M603" s="14" t="s">
        <v>64</v>
      </c>
      <c r="N603" s="17">
        <v>179362</v>
      </c>
      <c r="O603" s="17">
        <v>5532</v>
      </c>
      <c r="P603" s="18">
        <v>87.8</v>
      </c>
      <c r="Q603" s="15">
        <v>6</v>
      </c>
      <c r="R603" s="19">
        <v>14</v>
      </c>
      <c r="S603" s="19">
        <v>1</v>
      </c>
      <c r="T603" s="15">
        <v>28</v>
      </c>
      <c r="U603" s="19">
        <v>100</v>
      </c>
      <c r="V603" s="14" t="s">
        <v>31</v>
      </c>
      <c r="W603" s="14"/>
      <c r="X603" s="14">
        <f>IF(V603="Yes",1,0)</f>
        <v>0</v>
      </c>
      <c r="Y603" s="14">
        <f>IF(H603="Active",0,1)</f>
        <v>0</v>
      </c>
    </row>
    <row r="604" spans="1:25" ht="18" customHeight="1" x14ac:dyDescent="0.35">
      <c r="A604" s="8" t="s">
        <v>928</v>
      </c>
      <c r="B604" s="8" t="s">
        <v>353</v>
      </c>
      <c r="C604" s="8" t="s">
        <v>34</v>
      </c>
      <c r="D604" s="9">
        <v>30</v>
      </c>
      <c r="E604" s="8" t="s">
        <v>63</v>
      </c>
      <c r="F604" s="8" t="s">
        <v>79</v>
      </c>
      <c r="G604" s="10">
        <v>45809</v>
      </c>
      <c r="H604" s="8" t="s">
        <v>26</v>
      </c>
      <c r="I604" s="8" t="s">
        <v>2267</v>
      </c>
      <c r="J604" s="8" t="s">
        <v>2270</v>
      </c>
      <c r="K604" s="8" t="s">
        <v>55</v>
      </c>
      <c r="L604" s="8" t="s">
        <v>49</v>
      </c>
      <c r="M604" s="8" t="s">
        <v>45</v>
      </c>
      <c r="N604" s="11">
        <v>225271</v>
      </c>
      <c r="O604" s="11">
        <v>42690</v>
      </c>
      <c r="P604" s="12">
        <v>81.2</v>
      </c>
      <c r="Q604" s="9">
        <v>1</v>
      </c>
      <c r="R604" s="13">
        <v>15</v>
      </c>
      <c r="S604" s="13">
        <v>1</v>
      </c>
      <c r="T604" s="9">
        <v>7</v>
      </c>
      <c r="U604" s="13">
        <v>61</v>
      </c>
      <c r="V604" s="8" t="s">
        <v>31</v>
      </c>
      <c r="W604" s="8"/>
      <c r="X604" s="22">
        <f>IF(V604="Yes",1,0)</f>
        <v>0</v>
      </c>
      <c r="Y604" s="22">
        <f>IF(H604="Active",0,1)</f>
        <v>0</v>
      </c>
    </row>
    <row r="605" spans="1:25" ht="18" customHeight="1" x14ac:dyDescent="0.35">
      <c r="A605" s="8" t="s">
        <v>1079</v>
      </c>
      <c r="B605" s="8" t="s">
        <v>285</v>
      </c>
      <c r="C605" s="8" t="s">
        <v>34</v>
      </c>
      <c r="D605" s="9">
        <v>26</v>
      </c>
      <c r="E605" s="8" t="s">
        <v>52</v>
      </c>
      <c r="F605" s="8" t="s">
        <v>72</v>
      </c>
      <c r="G605" s="10">
        <v>45809</v>
      </c>
      <c r="H605" s="8" t="s">
        <v>26</v>
      </c>
      <c r="I605" s="8" t="s">
        <v>27</v>
      </c>
      <c r="J605" s="8" t="s">
        <v>48</v>
      </c>
      <c r="K605" s="8" t="s">
        <v>37</v>
      </c>
      <c r="L605" s="8" t="s">
        <v>68</v>
      </c>
      <c r="M605" s="8" t="s">
        <v>60</v>
      </c>
      <c r="N605" s="11">
        <v>164402</v>
      </c>
      <c r="O605" s="11">
        <v>38171</v>
      </c>
      <c r="P605" s="12">
        <v>84.5</v>
      </c>
      <c r="Q605" s="9">
        <v>8</v>
      </c>
      <c r="R605" s="13">
        <v>27</v>
      </c>
      <c r="S605" s="13">
        <v>3</v>
      </c>
      <c r="T605" s="9">
        <v>3</v>
      </c>
      <c r="U605" s="13">
        <v>69</v>
      </c>
      <c r="V605" s="8" t="s">
        <v>31</v>
      </c>
      <c r="W605" s="8"/>
      <c r="X605" s="22">
        <f>IF(V605="Yes",1,0)</f>
        <v>0</v>
      </c>
      <c r="Y605" s="22">
        <f>IF(H605="Active",0,1)</f>
        <v>0</v>
      </c>
    </row>
    <row r="606" spans="1:25" ht="18" customHeight="1" x14ac:dyDescent="0.35">
      <c r="A606" s="8" t="s">
        <v>2065</v>
      </c>
      <c r="B606" s="8" t="s">
        <v>424</v>
      </c>
      <c r="C606" s="8" t="s">
        <v>25</v>
      </c>
      <c r="D606" s="9">
        <v>23</v>
      </c>
      <c r="E606" s="8" t="s">
        <v>63</v>
      </c>
      <c r="F606" s="8" t="s">
        <v>72</v>
      </c>
      <c r="G606" s="10">
        <v>45809</v>
      </c>
      <c r="H606" s="8" t="s">
        <v>26</v>
      </c>
      <c r="I606" s="8" t="s">
        <v>36</v>
      </c>
      <c r="J606" s="8" t="s">
        <v>80</v>
      </c>
      <c r="K606" s="8" t="s">
        <v>2271</v>
      </c>
      <c r="L606" s="8" t="s">
        <v>56</v>
      </c>
      <c r="M606" s="8" t="s">
        <v>39</v>
      </c>
      <c r="N606" s="11">
        <v>114924</v>
      </c>
      <c r="O606" s="11">
        <v>40996</v>
      </c>
      <c r="P606" s="12">
        <v>99.1</v>
      </c>
      <c r="Q606" s="9">
        <v>5</v>
      </c>
      <c r="R606" s="13">
        <v>2</v>
      </c>
      <c r="S606" s="13">
        <v>5</v>
      </c>
      <c r="T606" s="9">
        <v>31</v>
      </c>
      <c r="U606" s="13">
        <v>75</v>
      </c>
      <c r="V606" s="8" t="s">
        <v>31</v>
      </c>
      <c r="W606" s="8"/>
      <c r="X606" s="22">
        <f>IF(V606="Yes",1,0)</f>
        <v>0</v>
      </c>
      <c r="Y606" s="22">
        <f>IF(H606="Active",0,1)</f>
        <v>0</v>
      </c>
    </row>
    <row r="607" spans="1:25" ht="18" customHeight="1" x14ac:dyDescent="0.35">
      <c r="A607" s="8" t="s">
        <v>1997</v>
      </c>
      <c r="B607" s="8" t="s">
        <v>47</v>
      </c>
      <c r="C607" s="8" t="s">
        <v>25</v>
      </c>
      <c r="D607" s="9">
        <v>35</v>
      </c>
      <c r="E607" s="8" t="s">
        <v>93</v>
      </c>
      <c r="F607" s="8" t="s">
        <v>43</v>
      </c>
      <c r="G607" s="10">
        <v>45808</v>
      </c>
      <c r="H607" s="8" t="s">
        <v>26</v>
      </c>
      <c r="I607" s="8" t="s">
        <v>27</v>
      </c>
      <c r="J607" s="8" t="s">
        <v>2270</v>
      </c>
      <c r="K607" s="8" t="s">
        <v>73</v>
      </c>
      <c r="L607" s="8" t="s">
        <v>38</v>
      </c>
      <c r="M607" s="8" t="s">
        <v>60</v>
      </c>
      <c r="N607" s="11">
        <v>136332</v>
      </c>
      <c r="O607" s="11">
        <v>17044</v>
      </c>
      <c r="P607" s="12">
        <v>86.4</v>
      </c>
      <c r="Q607" s="9">
        <v>1</v>
      </c>
      <c r="R607" s="13">
        <v>5</v>
      </c>
      <c r="S607" s="13">
        <v>5</v>
      </c>
      <c r="T607" s="9">
        <v>13</v>
      </c>
      <c r="U607" s="13">
        <v>63</v>
      </c>
      <c r="V607" s="8" t="s">
        <v>31</v>
      </c>
      <c r="W607" s="8"/>
      <c r="X607" s="22">
        <f>IF(V607="Yes",1,0)</f>
        <v>0</v>
      </c>
      <c r="Y607" s="22">
        <f>IF(H607="Active",0,1)</f>
        <v>0</v>
      </c>
    </row>
    <row r="608" spans="1:25" ht="18" customHeight="1" x14ac:dyDescent="0.35">
      <c r="A608" s="14" t="s">
        <v>1596</v>
      </c>
      <c r="B608" s="14" t="s">
        <v>372</v>
      </c>
      <c r="C608" s="14" t="s">
        <v>25</v>
      </c>
      <c r="D608" s="15">
        <v>42</v>
      </c>
      <c r="E608" s="14" t="s">
        <v>2304</v>
      </c>
      <c r="F608" s="14" t="s">
        <v>79</v>
      </c>
      <c r="G608" s="16">
        <v>45807</v>
      </c>
      <c r="H608" s="14" t="s">
        <v>26</v>
      </c>
      <c r="I608" s="14" t="s">
        <v>36</v>
      </c>
      <c r="J608" s="14" t="s">
        <v>80</v>
      </c>
      <c r="K608" s="14" t="s">
        <v>55</v>
      </c>
      <c r="L608" s="14" t="s">
        <v>44</v>
      </c>
      <c r="M608" s="14" t="s">
        <v>45</v>
      </c>
      <c r="N608" s="17">
        <v>247776</v>
      </c>
      <c r="O608" s="17">
        <v>8767</v>
      </c>
      <c r="P608" s="18">
        <v>97.9</v>
      </c>
      <c r="Q608" s="15">
        <v>10</v>
      </c>
      <c r="R608" s="19">
        <v>12</v>
      </c>
      <c r="S608" s="19">
        <v>4</v>
      </c>
      <c r="T608" s="15">
        <v>8</v>
      </c>
      <c r="U608" s="19">
        <v>97</v>
      </c>
      <c r="V608" s="14" t="s">
        <v>31</v>
      </c>
      <c r="W608" s="14"/>
      <c r="X608" s="14">
        <f>IF(V608="Yes",1,0)</f>
        <v>0</v>
      </c>
      <c r="Y608" s="14">
        <f>IF(H608="Active",0,1)</f>
        <v>0</v>
      </c>
    </row>
    <row r="609" spans="1:25" ht="18" customHeight="1" x14ac:dyDescent="0.35">
      <c r="A609" s="8" t="s">
        <v>527</v>
      </c>
      <c r="B609" s="8" t="s">
        <v>232</v>
      </c>
      <c r="C609" s="8" t="s">
        <v>34</v>
      </c>
      <c r="D609" s="9">
        <v>28</v>
      </c>
      <c r="E609" s="8" t="s">
        <v>2303</v>
      </c>
      <c r="F609" s="8" t="s">
        <v>35</v>
      </c>
      <c r="G609" s="10">
        <v>45806</v>
      </c>
      <c r="H609" s="8" t="s">
        <v>26</v>
      </c>
      <c r="I609" s="8" t="s">
        <v>27</v>
      </c>
      <c r="J609" s="8" t="s">
        <v>2270</v>
      </c>
      <c r="K609" s="8" t="s">
        <v>73</v>
      </c>
      <c r="L609" s="8" t="s">
        <v>38</v>
      </c>
      <c r="M609" s="8" t="s">
        <v>39</v>
      </c>
      <c r="N609" s="11">
        <v>171646</v>
      </c>
      <c r="O609" s="11">
        <v>8277</v>
      </c>
      <c r="P609" s="12">
        <v>83.5</v>
      </c>
      <c r="Q609" s="9">
        <v>3</v>
      </c>
      <c r="R609" s="13">
        <v>2</v>
      </c>
      <c r="S609" s="13">
        <v>5</v>
      </c>
      <c r="T609" s="9">
        <v>5</v>
      </c>
      <c r="U609" s="13">
        <v>68</v>
      </c>
      <c r="V609" s="8" t="s">
        <v>31</v>
      </c>
      <c r="W609" s="8"/>
      <c r="X609" s="22">
        <f>IF(V609="Yes",1,0)</f>
        <v>0</v>
      </c>
      <c r="Y609" s="22">
        <f>IF(H609="Active",0,1)</f>
        <v>0</v>
      </c>
    </row>
    <row r="610" spans="1:25" ht="18" customHeight="1" x14ac:dyDescent="0.35">
      <c r="A610" s="8" t="s">
        <v>612</v>
      </c>
      <c r="B610" s="8" t="s">
        <v>353</v>
      </c>
      <c r="C610" s="8" t="s">
        <v>34</v>
      </c>
      <c r="D610" s="9">
        <v>31</v>
      </c>
      <c r="E610" s="8" t="s">
        <v>67</v>
      </c>
      <c r="F610" s="8" t="s">
        <v>12</v>
      </c>
      <c r="G610" s="10">
        <v>45806</v>
      </c>
      <c r="H610" s="8" t="s">
        <v>26</v>
      </c>
      <c r="I610" s="8" t="s">
        <v>27</v>
      </c>
      <c r="J610" s="8" t="s">
        <v>2270</v>
      </c>
      <c r="K610" s="8" t="s">
        <v>28</v>
      </c>
      <c r="L610" s="8" t="s">
        <v>56</v>
      </c>
      <c r="M610" s="8" t="s">
        <v>30</v>
      </c>
      <c r="N610" s="11">
        <v>239587</v>
      </c>
      <c r="O610" s="11">
        <v>37386</v>
      </c>
      <c r="P610" s="12">
        <v>86.1</v>
      </c>
      <c r="Q610" s="9">
        <v>1</v>
      </c>
      <c r="R610" s="13">
        <v>28</v>
      </c>
      <c r="S610" s="13">
        <v>4</v>
      </c>
      <c r="T610" s="9">
        <v>0</v>
      </c>
      <c r="U610" s="13">
        <v>70</v>
      </c>
      <c r="V610" s="8" t="s">
        <v>31</v>
      </c>
      <c r="W610" s="8"/>
      <c r="X610" s="22">
        <f>IF(V610="Yes",1,0)</f>
        <v>0</v>
      </c>
      <c r="Y610" s="22">
        <f>IF(H610="Active",0,1)</f>
        <v>0</v>
      </c>
    </row>
    <row r="611" spans="1:25" ht="18" customHeight="1" x14ac:dyDescent="0.35">
      <c r="A611" s="8" t="s">
        <v>1269</v>
      </c>
      <c r="B611" s="8" t="s">
        <v>583</v>
      </c>
      <c r="C611" s="8" t="s">
        <v>25</v>
      </c>
      <c r="D611" s="9">
        <v>38</v>
      </c>
      <c r="E611" s="8" t="s">
        <v>86</v>
      </c>
      <c r="F611" s="8" t="s">
        <v>90</v>
      </c>
      <c r="G611" s="10">
        <v>45806</v>
      </c>
      <c r="H611" s="8" t="s">
        <v>26</v>
      </c>
      <c r="I611" s="8" t="s">
        <v>27</v>
      </c>
      <c r="J611" s="8" t="s">
        <v>2268</v>
      </c>
      <c r="K611" s="8" t="s">
        <v>2271</v>
      </c>
      <c r="L611" s="8" t="s">
        <v>87</v>
      </c>
      <c r="M611" s="8" t="s">
        <v>39</v>
      </c>
      <c r="N611" s="11">
        <v>47277</v>
      </c>
      <c r="O611" s="11">
        <v>44908</v>
      </c>
      <c r="P611" s="12">
        <v>81.8</v>
      </c>
      <c r="Q611" s="9">
        <v>1</v>
      </c>
      <c r="R611" s="13">
        <v>26</v>
      </c>
      <c r="S611" s="13">
        <v>2</v>
      </c>
      <c r="T611" s="9">
        <v>4</v>
      </c>
      <c r="U611" s="13">
        <v>91</v>
      </c>
      <c r="V611" s="8" t="s">
        <v>69</v>
      </c>
      <c r="W611" s="8"/>
      <c r="X611" s="22">
        <f>IF(V611="Yes",1,0)</f>
        <v>1</v>
      </c>
      <c r="Y611" s="22">
        <f>IF(H611="Active",0,1)</f>
        <v>0</v>
      </c>
    </row>
    <row r="612" spans="1:25" ht="18" customHeight="1" x14ac:dyDescent="0.35">
      <c r="A612" s="8" t="s">
        <v>1176</v>
      </c>
      <c r="B612" s="8" t="s">
        <v>138</v>
      </c>
      <c r="C612" s="8" t="s">
        <v>34</v>
      </c>
      <c r="D612" s="9">
        <v>35</v>
      </c>
      <c r="E612" s="8" t="s">
        <v>109</v>
      </c>
      <c r="F612" s="8" t="s">
        <v>76</v>
      </c>
      <c r="G612" s="10">
        <v>45805</v>
      </c>
      <c r="H612" s="8" t="s">
        <v>26</v>
      </c>
      <c r="I612" s="8" t="s">
        <v>27</v>
      </c>
      <c r="J612" s="8" t="s">
        <v>2268</v>
      </c>
      <c r="K612" s="8" t="s">
        <v>37</v>
      </c>
      <c r="L612" s="8" t="s">
        <v>29</v>
      </c>
      <c r="M612" s="8" t="s">
        <v>64</v>
      </c>
      <c r="N612" s="11">
        <v>140921</v>
      </c>
      <c r="O612" s="11">
        <v>29899</v>
      </c>
      <c r="P612" s="12">
        <v>90.6</v>
      </c>
      <c r="Q612" s="9">
        <v>9</v>
      </c>
      <c r="R612" s="13">
        <v>27</v>
      </c>
      <c r="S612" s="13">
        <v>1</v>
      </c>
      <c r="T612" s="9">
        <v>15</v>
      </c>
      <c r="U612" s="13">
        <v>100</v>
      </c>
      <c r="V612" s="8" t="s">
        <v>31</v>
      </c>
      <c r="W612" s="8"/>
      <c r="X612" s="22">
        <f>IF(V612="Yes",1,0)</f>
        <v>0</v>
      </c>
      <c r="Y612" s="22">
        <f>IF(H612="Active",0,1)</f>
        <v>0</v>
      </c>
    </row>
    <row r="613" spans="1:25" ht="18" customHeight="1" x14ac:dyDescent="0.35">
      <c r="A613" s="14" t="s">
        <v>965</v>
      </c>
      <c r="B613" s="14" t="s">
        <v>367</v>
      </c>
      <c r="C613" s="14" t="s">
        <v>34</v>
      </c>
      <c r="D613" s="15">
        <v>57</v>
      </c>
      <c r="E613" s="14" t="s">
        <v>67</v>
      </c>
      <c r="F613" s="14" t="s">
        <v>43</v>
      </c>
      <c r="G613" s="16">
        <v>45804</v>
      </c>
      <c r="H613" s="14" t="s">
        <v>54</v>
      </c>
      <c r="I613" s="14" t="s">
        <v>27</v>
      </c>
      <c r="J613" s="14" t="s">
        <v>80</v>
      </c>
      <c r="K613" s="14" t="s">
        <v>37</v>
      </c>
      <c r="L613" s="14" t="s">
        <v>49</v>
      </c>
      <c r="M613" s="14" t="s">
        <v>45</v>
      </c>
      <c r="N613" s="17">
        <v>242128</v>
      </c>
      <c r="O613" s="17">
        <v>18386</v>
      </c>
      <c r="P613" s="18">
        <v>85.9</v>
      </c>
      <c r="Q613" s="15">
        <v>4</v>
      </c>
      <c r="R613" s="19">
        <v>18</v>
      </c>
      <c r="S613" s="19">
        <v>1</v>
      </c>
      <c r="T613" s="15">
        <v>17</v>
      </c>
      <c r="U613" s="19">
        <v>78</v>
      </c>
      <c r="V613" s="14" t="s">
        <v>31</v>
      </c>
      <c r="W613" s="14" t="s">
        <v>123</v>
      </c>
      <c r="X613" s="14">
        <f>IF(V613="Yes",1,0)</f>
        <v>0</v>
      </c>
      <c r="Y613" s="14">
        <f>IF(H613="Active",0,1)</f>
        <v>1</v>
      </c>
    </row>
    <row r="614" spans="1:25" ht="18" customHeight="1" x14ac:dyDescent="0.35">
      <c r="A614" s="8" t="s">
        <v>1145</v>
      </c>
      <c r="B614" s="8" t="s">
        <v>559</v>
      </c>
      <c r="C614" s="8" t="s">
        <v>34</v>
      </c>
      <c r="D614" s="9">
        <v>41</v>
      </c>
      <c r="E614" s="8" t="s">
        <v>86</v>
      </c>
      <c r="F614" s="8" t="s">
        <v>12</v>
      </c>
      <c r="G614" s="10">
        <v>45804</v>
      </c>
      <c r="H614" s="8" t="s">
        <v>26</v>
      </c>
      <c r="I614" s="8" t="s">
        <v>2267</v>
      </c>
      <c r="J614" s="8" t="s">
        <v>2270</v>
      </c>
      <c r="K614" s="8" t="s">
        <v>37</v>
      </c>
      <c r="L614" s="8" t="s">
        <v>44</v>
      </c>
      <c r="M614" s="8" t="s">
        <v>64</v>
      </c>
      <c r="N614" s="11">
        <v>43259</v>
      </c>
      <c r="O614" s="11">
        <v>21494</v>
      </c>
      <c r="P614" s="12">
        <v>99.5</v>
      </c>
      <c r="Q614" s="9">
        <v>10</v>
      </c>
      <c r="R614" s="13">
        <v>10</v>
      </c>
      <c r="S614" s="13">
        <v>1</v>
      </c>
      <c r="T614" s="9">
        <v>10</v>
      </c>
      <c r="U614" s="13">
        <v>96</v>
      </c>
      <c r="V614" s="8" t="s">
        <v>31</v>
      </c>
      <c r="W614" s="8"/>
      <c r="X614" s="22">
        <f>IF(V614="Yes",1,0)</f>
        <v>0</v>
      </c>
      <c r="Y614" s="22">
        <f>IF(H614="Active",0,1)</f>
        <v>0</v>
      </c>
    </row>
    <row r="615" spans="1:25" ht="18" customHeight="1" x14ac:dyDescent="0.35">
      <c r="A615" s="8" t="s">
        <v>1182</v>
      </c>
      <c r="B615" s="8" t="s">
        <v>33</v>
      </c>
      <c r="C615" s="8" t="s">
        <v>34</v>
      </c>
      <c r="D615" s="9">
        <v>38</v>
      </c>
      <c r="E615" s="8" t="s">
        <v>67</v>
      </c>
      <c r="F615" s="8" t="s">
        <v>35</v>
      </c>
      <c r="G615" s="10">
        <v>45804</v>
      </c>
      <c r="H615" s="8" t="s">
        <v>26</v>
      </c>
      <c r="I615" s="8" t="s">
        <v>2267</v>
      </c>
      <c r="J615" s="8" t="s">
        <v>2269</v>
      </c>
      <c r="K615" s="8" t="s">
        <v>2271</v>
      </c>
      <c r="L615" s="8" t="s">
        <v>68</v>
      </c>
      <c r="M615" s="8" t="s">
        <v>45</v>
      </c>
      <c r="N615" s="11">
        <v>62088</v>
      </c>
      <c r="O615" s="11">
        <v>23097</v>
      </c>
      <c r="P615" s="12">
        <v>80.599999999999994</v>
      </c>
      <c r="Q615" s="9">
        <v>2</v>
      </c>
      <c r="R615" s="13">
        <v>20</v>
      </c>
      <c r="S615" s="13">
        <v>4</v>
      </c>
      <c r="T615" s="9">
        <v>38</v>
      </c>
      <c r="U615" s="13">
        <v>75</v>
      </c>
      <c r="V615" s="8" t="s">
        <v>31</v>
      </c>
      <c r="W615" s="8"/>
      <c r="X615" s="22">
        <f>IF(V615="Yes",1,0)</f>
        <v>0</v>
      </c>
      <c r="Y615" s="22">
        <f>IF(H615="Active",0,1)</f>
        <v>0</v>
      </c>
    </row>
    <row r="616" spans="1:25" ht="18" customHeight="1" x14ac:dyDescent="0.35">
      <c r="A616" s="14" t="s">
        <v>1500</v>
      </c>
      <c r="B616" s="14" t="s">
        <v>314</v>
      </c>
      <c r="C616" s="14" t="s">
        <v>34</v>
      </c>
      <c r="D616" s="15">
        <v>31</v>
      </c>
      <c r="E616" s="14" t="s">
        <v>42</v>
      </c>
      <c r="F616" s="14" t="s">
        <v>76</v>
      </c>
      <c r="G616" s="16">
        <v>45804</v>
      </c>
      <c r="H616" s="14" t="s">
        <v>26</v>
      </c>
      <c r="I616" s="14" t="s">
        <v>2267</v>
      </c>
      <c r="J616" s="14" t="s">
        <v>80</v>
      </c>
      <c r="K616" s="14" t="s">
        <v>55</v>
      </c>
      <c r="L616" s="14" t="s">
        <v>87</v>
      </c>
      <c r="M616" s="14" t="s">
        <v>64</v>
      </c>
      <c r="N616" s="17">
        <v>92219</v>
      </c>
      <c r="O616" s="17">
        <v>10753</v>
      </c>
      <c r="P616" s="18">
        <v>89.5</v>
      </c>
      <c r="Q616" s="15">
        <v>1</v>
      </c>
      <c r="R616" s="19">
        <v>26</v>
      </c>
      <c r="S616" s="19">
        <v>1</v>
      </c>
      <c r="T616" s="15">
        <v>7</v>
      </c>
      <c r="U616" s="19">
        <v>83</v>
      </c>
      <c r="V616" s="14" t="s">
        <v>69</v>
      </c>
      <c r="W616" s="14"/>
      <c r="X616" s="14">
        <f>IF(V616="Yes",1,0)</f>
        <v>1</v>
      </c>
      <c r="Y616" s="14">
        <f>IF(H616="Active",0,1)</f>
        <v>0</v>
      </c>
    </row>
    <row r="617" spans="1:25" ht="18" customHeight="1" x14ac:dyDescent="0.35">
      <c r="A617" s="8" t="s">
        <v>1785</v>
      </c>
      <c r="B617" s="8" t="s">
        <v>98</v>
      </c>
      <c r="C617" s="8" t="s">
        <v>34</v>
      </c>
      <c r="D617" s="9">
        <v>32</v>
      </c>
      <c r="E617" s="8" t="s">
        <v>109</v>
      </c>
      <c r="F617" s="8" t="s">
        <v>12</v>
      </c>
      <c r="G617" s="10">
        <v>45804</v>
      </c>
      <c r="H617" s="8" t="s">
        <v>26</v>
      </c>
      <c r="I617" s="8" t="s">
        <v>36</v>
      </c>
      <c r="J617" s="8" t="s">
        <v>2269</v>
      </c>
      <c r="K617" s="8" t="s">
        <v>37</v>
      </c>
      <c r="L617" s="8" t="s">
        <v>38</v>
      </c>
      <c r="M617" s="8" t="s">
        <v>39</v>
      </c>
      <c r="N617" s="11">
        <v>76949</v>
      </c>
      <c r="O617" s="11">
        <v>43583</v>
      </c>
      <c r="P617" s="12">
        <v>84.1</v>
      </c>
      <c r="Q617" s="9">
        <v>6</v>
      </c>
      <c r="R617" s="13">
        <v>16</v>
      </c>
      <c r="S617" s="13">
        <v>2</v>
      </c>
      <c r="T617" s="9">
        <v>32</v>
      </c>
      <c r="U617" s="13">
        <v>86</v>
      </c>
      <c r="V617" s="8" t="s">
        <v>31</v>
      </c>
      <c r="W617" s="8"/>
      <c r="X617" s="22">
        <f>IF(V617="Yes",1,0)</f>
        <v>0</v>
      </c>
      <c r="Y617" s="22">
        <f>IF(H617="Active",0,1)</f>
        <v>0</v>
      </c>
    </row>
    <row r="618" spans="1:25" ht="18" customHeight="1" x14ac:dyDescent="0.35">
      <c r="A618" s="8" t="s">
        <v>1927</v>
      </c>
      <c r="B618" s="8" t="s">
        <v>179</v>
      </c>
      <c r="C618" s="8" t="s">
        <v>34</v>
      </c>
      <c r="D618" s="9">
        <v>54</v>
      </c>
      <c r="E618" s="8" t="s">
        <v>63</v>
      </c>
      <c r="F618" s="8" t="s">
        <v>90</v>
      </c>
      <c r="G618" s="10">
        <v>45804</v>
      </c>
      <c r="H618" s="8" t="s">
        <v>26</v>
      </c>
      <c r="I618" s="8" t="s">
        <v>36</v>
      </c>
      <c r="J618" s="8" t="s">
        <v>80</v>
      </c>
      <c r="K618" s="8" t="s">
        <v>28</v>
      </c>
      <c r="L618" s="8" t="s">
        <v>56</v>
      </c>
      <c r="M618" s="8" t="s">
        <v>64</v>
      </c>
      <c r="N618" s="11">
        <v>92196</v>
      </c>
      <c r="O618" s="11">
        <v>34061</v>
      </c>
      <c r="P618" s="12">
        <v>98.2</v>
      </c>
      <c r="Q618" s="9">
        <v>6</v>
      </c>
      <c r="R618" s="13">
        <v>16</v>
      </c>
      <c r="S618" s="13">
        <v>5</v>
      </c>
      <c r="T618" s="9">
        <v>23</v>
      </c>
      <c r="U618" s="13">
        <v>67</v>
      </c>
      <c r="V618" s="8" t="s">
        <v>31</v>
      </c>
      <c r="W618" s="8"/>
      <c r="X618" s="22">
        <f>IF(V618="Yes",1,0)</f>
        <v>0</v>
      </c>
      <c r="Y618" s="22">
        <f>IF(H618="Active",0,1)</f>
        <v>0</v>
      </c>
    </row>
    <row r="619" spans="1:25" ht="18" customHeight="1" x14ac:dyDescent="0.35">
      <c r="A619" s="14" t="s">
        <v>2108</v>
      </c>
      <c r="B619" s="14" t="s">
        <v>191</v>
      </c>
      <c r="C619" s="14" t="s">
        <v>34</v>
      </c>
      <c r="D619" s="15">
        <v>30</v>
      </c>
      <c r="E619" s="14" t="s">
        <v>109</v>
      </c>
      <c r="F619" s="14" t="s">
        <v>35</v>
      </c>
      <c r="G619" s="16">
        <v>45804</v>
      </c>
      <c r="H619" s="14" t="s">
        <v>26</v>
      </c>
      <c r="I619" s="14" t="s">
        <v>27</v>
      </c>
      <c r="J619" s="14" t="s">
        <v>80</v>
      </c>
      <c r="K619" s="14" t="s">
        <v>2271</v>
      </c>
      <c r="L619" s="14" t="s">
        <v>68</v>
      </c>
      <c r="M619" s="14" t="s">
        <v>60</v>
      </c>
      <c r="N619" s="17">
        <v>104142</v>
      </c>
      <c r="O619" s="17">
        <v>29929</v>
      </c>
      <c r="P619" s="18">
        <v>98.7</v>
      </c>
      <c r="Q619" s="15">
        <v>8</v>
      </c>
      <c r="R619" s="19">
        <v>30</v>
      </c>
      <c r="S619" s="19">
        <v>3</v>
      </c>
      <c r="T619" s="15">
        <v>22</v>
      </c>
      <c r="U619" s="19">
        <v>74</v>
      </c>
      <c r="V619" s="14" t="s">
        <v>31</v>
      </c>
      <c r="W619" s="14"/>
      <c r="X619" s="14">
        <f>IF(V619="Yes",1,0)</f>
        <v>0</v>
      </c>
      <c r="Y619" s="14">
        <f>IF(H619="Active",0,1)</f>
        <v>0</v>
      </c>
    </row>
    <row r="620" spans="1:25" ht="18" customHeight="1" x14ac:dyDescent="0.35">
      <c r="A620" s="14" t="s">
        <v>1062</v>
      </c>
      <c r="B620" s="14" t="s">
        <v>327</v>
      </c>
      <c r="C620" s="14" t="s">
        <v>25</v>
      </c>
      <c r="D620" s="15">
        <v>46</v>
      </c>
      <c r="E620" s="14" t="s">
        <v>109</v>
      </c>
      <c r="F620" s="14" t="s">
        <v>72</v>
      </c>
      <c r="G620" s="16">
        <v>45803</v>
      </c>
      <c r="H620" s="14" t="s">
        <v>26</v>
      </c>
      <c r="I620" s="14" t="s">
        <v>27</v>
      </c>
      <c r="J620" s="14" t="s">
        <v>2268</v>
      </c>
      <c r="K620" s="14" t="s">
        <v>28</v>
      </c>
      <c r="L620" s="14" t="s">
        <v>49</v>
      </c>
      <c r="M620" s="14" t="s">
        <v>39</v>
      </c>
      <c r="N620" s="17">
        <v>161214</v>
      </c>
      <c r="O620" s="17">
        <v>23789</v>
      </c>
      <c r="P620" s="18">
        <v>90.3</v>
      </c>
      <c r="Q620" s="15">
        <v>1</v>
      </c>
      <c r="R620" s="19">
        <v>3</v>
      </c>
      <c r="S620" s="19">
        <v>5</v>
      </c>
      <c r="T620" s="15">
        <v>29</v>
      </c>
      <c r="U620" s="19">
        <v>91</v>
      </c>
      <c r="V620" s="14" t="s">
        <v>31</v>
      </c>
      <c r="W620" s="14"/>
      <c r="X620" s="14">
        <f>IF(V620="Yes",1,0)</f>
        <v>0</v>
      </c>
      <c r="Y620" s="14">
        <f>IF(H620="Active",0,1)</f>
        <v>0</v>
      </c>
    </row>
    <row r="621" spans="1:25" ht="18" customHeight="1" x14ac:dyDescent="0.35">
      <c r="A621" s="14" t="s">
        <v>1584</v>
      </c>
      <c r="B621" s="14" t="s">
        <v>514</v>
      </c>
      <c r="C621" s="14" t="s">
        <v>34</v>
      </c>
      <c r="D621" s="15">
        <v>22</v>
      </c>
      <c r="E621" s="14" t="s">
        <v>52</v>
      </c>
      <c r="F621" s="14" t="s">
        <v>76</v>
      </c>
      <c r="G621" s="16">
        <v>45803</v>
      </c>
      <c r="H621" s="14" t="s">
        <v>26</v>
      </c>
      <c r="I621" s="14" t="s">
        <v>27</v>
      </c>
      <c r="J621" s="14" t="s">
        <v>80</v>
      </c>
      <c r="K621" s="14" t="s">
        <v>73</v>
      </c>
      <c r="L621" s="14" t="s">
        <v>116</v>
      </c>
      <c r="M621" s="14" t="s">
        <v>64</v>
      </c>
      <c r="N621" s="17">
        <v>76549</v>
      </c>
      <c r="O621" s="17">
        <v>26272</v>
      </c>
      <c r="P621" s="18">
        <v>92.3</v>
      </c>
      <c r="Q621" s="15">
        <v>2</v>
      </c>
      <c r="R621" s="19">
        <v>25</v>
      </c>
      <c r="S621" s="19">
        <v>3</v>
      </c>
      <c r="T621" s="15">
        <v>24</v>
      </c>
      <c r="U621" s="19">
        <v>84</v>
      </c>
      <c r="V621" s="14" t="s">
        <v>69</v>
      </c>
      <c r="W621" s="14"/>
      <c r="X621" s="14">
        <f>IF(V621="Yes",1,0)</f>
        <v>1</v>
      </c>
      <c r="Y621" s="14">
        <f>IF(H621="Active",0,1)</f>
        <v>0</v>
      </c>
    </row>
    <row r="622" spans="1:25" ht="18" customHeight="1" x14ac:dyDescent="0.35">
      <c r="A622" s="14" t="s">
        <v>1920</v>
      </c>
      <c r="B622" s="14" t="s">
        <v>92</v>
      </c>
      <c r="C622" s="14" t="s">
        <v>34</v>
      </c>
      <c r="D622" s="15">
        <v>57</v>
      </c>
      <c r="E622" s="14" t="s">
        <v>42</v>
      </c>
      <c r="F622" s="14" t="s">
        <v>72</v>
      </c>
      <c r="G622" s="16">
        <v>45803</v>
      </c>
      <c r="H622" s="14" t="s">
        <v>26</v>
      </c>
      <c r="I622" s="14" t="s">
        <v>27</v>
      </c>
      <c r="J622" s="14" t="s">
        <v>2270</v>
      </c>
      <c r="K622" s="14" t="s">
        <v>2271</v>
      </c>
      <c r="L622" s="14" t="s">
        <v>29</v>
      </c>
      <c r="M622" s="14" t="s">
        <v>45</v>
      </c>
      <c r="N622" s="17">
        <v>46473</v>
      </c>
      <c r="O622" s="17">
        <v>31979</v>
      </c>
      <c r="P622" s="18">
        <v>97.8</v>
      </c>
      <c r="Q622" s="15">
        <v>8</v>
      </c>
      <c r="R622" s="19">
        <v>5</v>
      </c>
      <c r="S622" s="19">
        <v>3</v>
      </c>
      <c r="T622" s="15">
        <v>15</v>
      </c>
      <c r="U622" s="19">
        <v>92</v>
      </c>
      <c r="V622" s="14" t="s">
        <v>31</v>
      </c>
      <c r="W622" s="14"/>
      <c r="X622" s="14">
        <f>IF(V622="Yes",1,0)</f>
        <v>0</v>
      </c>
      <c r="Y622" s="14">
        <f>IF(H622="Active",0,1)</f>
        <v>0</v>
      </c>
    </row>
    <row r="623" spans="1:25" ht="18" customHeight="1" x14ac:dyDescent="0.35">
      <c r="A623" s="8" t="s">
        <v>2029</v>
      </c>
      <c r="B623" s="8" t="s">
        <v>218</v>
      </c>
      <c r="C623" s="8" t="s">
        <v>25</v>
      </c>
      <c r="D623" s="9">
        <v>60</v>
      </c>
      <c r="E623" s="8" t="s">
        <v>67</v>
      </c>
      <c r="F623" s="8" t="s">
        <v>35</v>
      </c>
      <c r="G623" s="10">
        <v>45803</v>
      </c>
      <c r="H623" s="8" t="s">
        <v>26</v>
      </c>
      <c r="I623" s="8" t="s">
        <v>27</v>
      </c>
      <c r="J623" s="8" t="s">
        <v>80</v>
      </c>
      <c r="K623" s="8" t="s">
        <v>73</v>
      </c>
      <c r="L623" s="8" t="s">
        <v>49</v>
      </c>
      <c r="M623" s="8" t="s">
        <v>30</v>
      </c>
      <c r="N623" s="11">
        <v>233124</v>
      </c>
      <c r="O623" s="11">
        <v>7183</v>
      </c>
      <c r="P623" s="12">
        <v>87.5</v>
      </c>
      <c r="Q623" s="9">
        <v>4</v>
      </c>
      <c r="R623" s="13">
        <v>22</v>
      </c>
      <c r="S623" s="13">
        <v>5</v>
      </c>
      <c r="T623" s="9">
        <v>17</v>
      </c>
      <c r="U623" s="13">
        <v>74</v>
      </c>
      <c r="V623" s="8" t="s">
        <v>69</v>
      </c>
      <c r="W623" s="8"/>
      <c r="X623" s="22">
        <f>IF(V623="Yes",1,0)</f>
        <v>1</v>
      </c>
      <c r="Y623" s="22">
        <f>IF(H623="Active",0,1)</f>
        <v>0</v>
      </c>
    </row>
    <row r="624" spans="1:25" ht="18" customHeight="1" x14ac:dyDescent="0.35">
      <c r="A624" s="8" t="s">
        <v>1459</v>
      </c>
      <c r="B624" s="8" t="s">
        <v>880</v>
      </c>
      <c r="C624" s="8" t="s">
        <v>34</v>
      </c>
      <c r="D624" s="9">
        <v>39</v>
      </c>
      <c r="E624" s="8" t="s">
        <v>109</v>
      </c>
      <c r="F624" s="8" t="s">
        <v>35</v>
      </c>
      <c r="G624" s="10">
        <v>45802</v>
      </c>
      <c r="H624" s="8" t="s">
        <v>26</v>
      </c>
      <c r="I624" s="8" t="s">
        <v>2267</v>
      </c>
      <c r="J624" s="8" t="s">
        <v>2269</v>
      </c>
      <c r="K624" s="8" t="s">
        <v>73</v>
      </c>
      <c r="L624" s="8" t="s">
        <v>56</v>
      </c>
      <c r="M624" s="8" t="s">
        <v>64</v>
      </c>
      <c r="N624" s="11">
        <v>137800</v>
      </c>
      <c r="O624" s="11">
        <v>20334</v>
      </c>
      <c r="P624" s="12">
        <v>95.2</v>
      </c>
      <c r="Q624" s="9">
        <v>1</v>
      </c>
      <c r="R624" s="13">
        <v>23</v>
      </c>
      <c r="S624" s="13">
        <v>5</v>
      </c>
      <c r="T624" s="9">
        <v>20</v>
      </c>
      <c r="U624" s="13">
        <v>90</v>
      </c>
      <c r="V624" s="8" t="s">
        <v>69</v>
      </c>
      <c r="W624" s="8"/>
      <c r="X624" s="22">
        <f>IF(V624="Yes",1,0)</f>
        <v>1</v>
      </c>
      <c r="Y624" s="22">
        <f>IF(H624="Active",0,1)</f>
        <v>0</v>
      </c>
    </row>
    <row r="625" spans="1:25" ht="18" customHeight="1" x14ac:dyDescent="0.35">
      <c r="A625" s="8" t="s">
        <v>2139</v>
      </c>
      <c r="B625" s="8" t="s">
        <v>197</v>
      </c>
      <c r="C625" s="8" t="s">
        <v>34</v>
      </c>
      <c r="D625" s="9">
        <v>28</v>
      </c>
      <c r="E625" s="8" t="s">
        <v>42</v>
      </c>
      <c r="F625" s="8" t="s">
        <v>76</v>
      </c>
      <c r="G625" s="10">
        <v>45802</v>
      </c>
      <c r="H625" s="8" t="s">
        <v>26</v>
      </c>
      <c r="I625" s="8" t="s">
        <v>36</v>
      </c>
      <c r="J625" s="8" t="s">
        <v>2268</v>
      </c>
      <c r="K625" s="8" t="s">
        <v>55</v>
      </c>
      <c r="L625" s="8" t="s">
        <v>38</v>
      </c>
      <c r="M625" s="8" t="s">
        <v>64</v>
      </c>
      <c r="N625" s="11">
        <v>156980</v>
      </c>
      <c r="O625" s="11">
        <v>48446</v>
      </c>
      <c r="P625" s="12">
        <v>83</v>
      </c>
      <c r="Q625" s="9">
        <v>4</v>
      </c>
      <c r="R625" s="13">
        <v>13</v>
      </c>
      <c r="S625" s="13">
        <v>4</v>
      </c>
      <c r="T625" s="9">
        <v>2</v>
      </c>
      <c r="U625" s="13">
        <v>70</v>
      </c>
      <c r="V625" s="8" t="s">
        <v>69</v>
      </c>
      <c r="W625" s="8"/>
      <c r="X625" s="22">
        <f>IF(V625="Yes",1,0)</f>
        <v>1</v>
      </c>
      <c r="Y625" s="22">
        <f>IF(H625="Active",0,1)</f>
        <v>0</v>
      </c>
    </row>
    <row r="626" spans="1:25" ht="18" customHeight="1" x14ac:dyDescent="0.35">
      <c r="A626" s="8" t="s">
        <v>1383</v>
      </c>
      <c r="B626" s="8" t="s">
        <v>230</v>
      </c>
      <c r="C626" s="8" t="s">
        <v>34</v>
      </c>
      <c r="D626" s="9">
        <v>53</v>
      </c>
      <c r="E626" s="8" t="s">
        <v>2304</v>
      </c>
      <c r="F626" s="8" t="s">
        <v>12</v>
      </c>
      <c r="G626" s="10">
        <v>45801</v>
      </c>
      <c r="H626" s="8" t="s">
        <v>54</v>
      </c>
      <c r="I626" s="8" t="s">
        <v>27</v>
      </c>
      <c r="J626" s="8" t="s">
        <v>2268</v>
      </c>
      <c r="K626" s="8" t="s">
        <v>28</v>
      </c>
      <c r="L626" s="8" t="s">
        <v>29</v>
      </c>
      <c r="M626" s="8" t="s">
        <v>30</v>
      </c>
      <c r="N626" s="11">
        <v>75294</v>
      </c>
      <c r="O626" s="11">
        <v>37418</v>
      </c>
      <c r="P626" s="12">
        <v>81.3</v>
      </c>
      <c r="Q626" s="9">
        <v>4</v>
      </c>
      <c r="R626" s="13">
        <v>1</v>
      </c>
      <c r="S626" s="13">
        <v>2</v>
      </c>
      <c r="T626" s="9">
        <v>22</v>
      </c>
      <c r="U626" s="13">
        <v>94</v>
      </c>
      <c r="V626" s="8" t="s">
        <v>31</v>
      </c>
      <c r="W626" s="8" t="s">
        <v>57</v>
      </c>
      <c r="X626" s="22">
        <f>IF(V626="Yes",1,0)</f>
        <v>0</v>
      </c>
      <c r="Y626" s="22">
        <f>IF(H626="Active",0,1)</f>
        <v>1</v>
      </c>
    </row>
    <row r="627" spans="1:25" ht="18" customHeight="1" x14ac:dyDescent="0.35">
      <c r="A627" s="8" t="s">
        <v>810</v>
      </c>
      <c r="B627" s="8" t="s">
        <v>278</v>
      </c>
      <c r="C627" s="8" t="s">
        <v>34</v>
      </c>
      <c r="D627" s="9">
        <v>43</v>
      </c>
      <c r="E627" s="8" t="s">
        <v>2303</v>
      </c>
      <c r="F627" s="8" t="s">
        <v>90</v>
      </c>
      <c r="G627" s="10">
        <v>45800</v>
      </c>
      <c r="H627" s="8" t="s">
        <v>26</v>
      </c>
      <c r="I627" s="8" t="s">
        <v>27</v>
      </c>
      <c r="J627" s="8" t="s">
        <v>2269</v>
      </c>
      <c r="K627" s="8" t="s">
        <v>73</v>
      </c>
      <c r="L627" s="8" t="s">
        <v>56</v>
      </c>
      <c r="M627" s="8" t="s">
        <v>64</v>
      </c>
      <c r="N627" s="11">
        <v>127646</v>
      </c>
      <c r="O627" s="11">
        <v>33534</v>
      </c>
      <c r="P627" s="12">
        <v>87.4</v>
      </c>
      <c r="Q627" s="9">
        <v>5</v>
      </c>
      <c r="R627" s="13">
        <v>28</v>
      </c>
      <c r="S627" s="13">
        <v>4</v>
      </c>
      <c r="T627" s="9">
        <v>3</v>
      </c>
      <c r="U627" s="13">
        <v>81</v>
      </c>
      <c r="V627" s="8" t="s">
        <v>31</v>
      </c>
      <c r="W627" s="8"/>
      <c r="X627" s="22">
        <f>IF(V627="Yes",1,0)</f>
        <v>0</v>
      </c>
      <c r="Y627" s="22">
        <f>IF(H627="Active",0,1)</f>
        <v>0</v>
      </c>
    </row>
    <row r="628" spans="1:25" ht="18" customHeight="1" x14ac:dyDescent="0.35">
      <c r="A628" s="14" t="s">
        <v>1116</v>
      </c>
      <c r="B628" s="14" t="s">
        <v>475</v>
      </c>
      <c r="C628" s="14" t="s">
        <v>25</v>
      </c>
      <c r="D628" s="15">
        <v>43</v>
      </c>
      <c r="E628" s="14" t="s">
        <v>42</v>
      </c>
      <c r="F628" s="14" t="s">
        <v>12</v>
      </c>
      <c r="G628" s="16">
        <v>45800</v>
      </c>
      <c r="H628" s="14" t="s">
        <v>54</v>
      </c>
      <c r="I628" s="14" t="s">
        <v>36</v>
      </c>
      <c r="J628" s="14" t="s">
        <v>2270</v>
      </c>
      <c r="K628" s="14" t="s">
        <v>37</v>
      </c>
      <c r="L628" s="14" t="s">
        <v>56</v>
      </c>
      <c r="M628" s="14" t="s">
        <v>39</v>
      </c>
      <c r="N628" s="17">
        <v>243596</v>
      </c>
      <c r="O628" s="17">
        <v>26923</v>
      </c>
      <c r="P628" s="18">
        <v>85.8</v>
      </c>
      <c r="Q628" s="15">
        <v>1</v>
      </c>
      <c r="R628" s="19">
        <v>22</v>
      </c>
      <c r="S628" s="19">
        <v>1</v>
      </c>
      <c r="T628" s="15">
        <v>2</v>
      </c>
      <c r="U628" s="19">
        <v>80</v>
      </c>
      <c r="V628" s="14" t="s">
        <v>31</v>
      </c>
      <c r="W628" s="14" t="s">
        <v>57</v>
      </c>
      <c r="X628" s="14">
        <f>IF(V628="Yes",1,0)</f>
        <v>0</v>
      </c>
      <c r="Y628" s="14">
        <f>IF(H628="Active",0,1)</f>
        <v>1</v>
      </c>
    </row>
    <row r="629" spans="1:25" ht="18" customHeight="1" x14ac:dyDescent="0.35">
      <c r="A629" s="8" t="s">
        <v>1297</v>
      </c>
      <c r="B629" s="8" t="s">
        <v>553</v>
      </c>
      <c r="C629" s="8" t="s">
        <v>34</v>
      </c>
      <c r="D629" s="9">
        <v>34</v>
      </c>
      <c r="E629" s="8" t="s">
        <v>93</v>
      </c>
      <c r="F629" s="8" t="s">
        <v>90</v>
      </c>
      <c r="G629" s="10">
        <v>45800</v>
      </c>
      <c r="H629" s="8" t="s">
        <v>26</v>
      </c>
      <c r="I629" s="8" t="s">
        <v>2267</v>
      </c>
      <c r="J629" s="8" t="s">
        <v>2270</v>
      </c>
      <c r="K629" s="8" t="s">
        <v>28</v>
      </c>
      <c r="L629" s="8" t="s">
        <v>56</v>
      </c>
      <c r="M629" s="8" t="s">
        <v>45</v>
      </c>
      <c r="N629" s="11">
        <v>74418</v>
      </c>
      <c r="O629" s="11">
        <v>28914</v>
      </c>
      <c r="P629" s="12">
        <v>89.4</v>
      </c>
      <c r="Q629" s="9">
        <v>2</v>
      </c>
      <c r="R629" s="13">
        <v>5</v>
      </c>
      <c r="S629" s="13">
        <v>4</v>
      </c>
      <c r="T629" s="9">
        <v>11</v>
      </c>
      <c r="U629" s="13">
        <v>78</v>
      </c>
      <c r="V629" s="8" t="s">
        <v>31</v>
      </c>
      <c r="W629" s="8"/>
      <c r="X629" s="22">
        <f>IF(V629="Yes",1,0)</f>
        <v>0</v>
      </c>
      <c r="Y629" s="22">
        <f>IF(H629="Active",0,1)</f>
        <v>0</v>
      </c>
    </row>
    <row r="630" spans="1:25" ht="18" customHeight="1" x14ac:dyDescent="0.35">
      <c r="A630" s="14" t="s">
        <v>1638</v>
      </c>
      <c r="B630" s="14" t="s">
        <v>559</v>
      </c>
      <c r="C630" s="14" t="s">
        <v>25</v>
      </c>
      <c r="D630" s="15">
        <v>60</v>
      </c>
      <c r="E630" s="14" t="s">
        <v>67</v>
      </c>
      <c r="F630" s="14" t="s">
        <v>12</v>
      </c>
      <c r="G630" s="16">
        <v>45800</v>
      </c>
      <c r="H630" s="14" t="s">
        <v>26</v>
      </c>
      <c r="I630" s="14" t="s">
        <v>27</v>
      </c>
      <c r="J630" s="14" t="s">
        <v>2269</v>
      </c>
      <c r="K630" s="14" t="s">
        <v>73</v>
      </c>
      <c r="L630" s="14" t="s">
        <v>38</v>
      </c>
      <c r="M630" s="14" t="s">
        <v>39</v>
      </c>
      <c r="N630" s="17">
        <v>122452</v>
      </c>
      <c r="O630" s="17">
        <v>38994</v>
      </c>
      <c r="P630" s="18">
        <v>95.1</v>
      </c>
      <c r="Q630" s="15">
        <v>7</v>
      </c>
      <c r="R630" s="19">
        <v>6</v>
      </c>
      <c r="S630" s="19">
        <v>3</v>
      </c>
      <c r="T630" s="15">
        <v>31</v>
      </c>
      <c r="U630" s="19">
        <v>70</v>
      </c>
      <c r="V630" s="14" t="s">
        <v>31</v>
      </c>
      <c r="W630" s="14"/>
      <c r="X630" s="14">
        <f>IF(V630="Yes",1,0)</f>
        <v>0</v>
      </c>
      <c r="Y630" s="14">
        <f>IF(H630="Active",0,1)</f>
        <v>0</v>
      </c>
    </row>
    <row r="631" spans="1:25" ht="18" customHeight="1" x14ac:dyDescent="0.35">
      <c r="A631" s="14" t="s">
        <v>2092</v>
      </c>
      <c r="B631" s="14" t="s">
        <v>224</v>
      </c>
      <c r="C631" s="14" t="s">
        <v>34</v>
      </c>
      <c r="D631" s="15">
        <v>54</v>
      </c>
      <c r="E631" s="14" t="s">
        <v>109</v>
      </c>
      <c r="F631" s="14" t="s">
        <v>79</v>
      </c>
      <c r="G631" s="16">
        <v>45800</v>
      </c>
      <c r="H631" s="14" t="s">
        <v>26</v>
      </c>
      <c r="I631" s="14" t="s">
        <v>36</v>
      </c>
      <c r="J631" s="14" t="s">
        <v>80</v>
      </c>
      <c r="K631" s="14" t="s">
        <v>37</v>
      </c>
      <c r="L631" s="14" t="s">
        <v>68</v>
      </c>
      <c r="M631" s="14" t="s">
        <v>30</v>
      </c>
      <c r="N631" s="17">
        <v>40796</v>
      </c>
      <c r="O631" s="17">
        <v>23957</v>
      </c>
      <c r="P631" s="18">
        <v>88.9</v>
      </c>
      <c r="Q631" s="15">
        <v>8</v>
      </c>
      <c r="R631" s="19">
        <v>16</v>
      </c>
      <c r="S631" s="19">
        <v>2</v>
      </c>
      <c r="T631" s="15">
        <v>15</v>
      </c>
      <c r="U631" s="19">
        <v>100</v>
      </c>
      <c r="V631" s="14" t="s">
        <v>31</v>
      </c>
      <c r="W631" s="14"/>
      <c r="X631" s="14">
        <f>IF(V631="Yes",1,0)</f>
        <v>0</v>
      </c>
      <c r="Y631" s="14">
        <f>IF(H631="Active",0,1)</f>
        <v>0</v>
      </c>
    </row>
    <row r="632" spans="1:25" ht="18" customHeight="1" x14ac:dyDescent="0.35">
      <c r="A632" s="14" t="s">
        <v>290</v>
      </c>
      <c r="B632" s="14" t="s">
        <v>291</v>
      </c>
      <c r="C632" s="14" t="s">
        <v>25</v>
      </c>
      <c r="D632" s="15">
        <v>49</v>
      </c>
      <c r="E632" s="14" t="s">
        <v>63</v>
      </c>
      <c r="F632" s="14" t="s">
        <v>79</v>
      </c>
      <c r="G632" s="16">
        <v>45799</v>
      </c>
      <c r="H632" s="14" t="s">
        <v>26</v>
      </c>
      <c r="I632" s="14" t="s">
        <v>36</v>
      </c>
      <c r="J632" s="14" t="s">
        <v>2268</v>
      </c>
      <c r="K632" s="14" t="s">
        <v>28</v>
      </c>
      <c r="L632" s="14" t="s">
        <v>49</v>
      </c>
      <c r="M632" s="14" t="s">
        <v>60</v>
      </c>
      <c r="N632" s="17">
        <v>167155</v>
      </c>
      <c r="O632" s="17">
        <v>12314</v>
      </c>
      <c r="P632" s="18">
        <v>90.9</v>
      </c>
      <c r="Q632" s="15">
        <v>9</v>
      </c>
      <c r="R632" s="19">
        <v>4</v>
      </c>
      <c r="S632" s="19">
        <v>5</v>
      </c>
      <c r="T632" s="15">
        <v>3</v>
      </c>
      <c r="U632" s="19">
        <v>76</v>
      </c>
      <c r="V632" s="14" t="s">
        <v>31</v>
      </c>
      <c r="W632" s="14"/>
      <c r="X632" s="14">
        <f>IF(V632="Yes",1,0)</f>
        <v>0</v>
      </c>
      <c r="Y632" s="14">
        <f>IF(H632="Active",0,1)</f>
        <v>0</v>
      </c>
    </row>
    <row r="633" spans="1:25" ht="18" customHeight="1" x14ac:dyDescent="0.35">
      <c r="A633" s="8" t="s">
        <v>952</v>
      </c>
      <c r="B633" s="8" t="s">
        <v>349</v>
      </c>
      <c r="C633" s="8" t="s">
        <v>25</v>
      </c>
      <c r="D633" s="9">
        <v>45</v>
      </c>
      <c r="E633" s="8" t="s">
        <v>2303</v>
      </c>
      <c r="F633" s="8" t="s">
        <v>90</v>
      </c>
      <c r="G633" s="10">
        <v>45799</v>
      </c>
      <c r="H633" s="8" t="s">
        <v>54</v>
      </c>
      <c r="I633" s="8" t="s">
        <v>27</v>
      </c>
      <c r="J633" s="8" t="s">
        <v>2270</v>
      </c>
      <c r="K633" s="8" t="s">
        <v>73</v>
      </c>
      <c r="L633" s="8" t="s">
        <v>68</v>
      </c>
      <c r="M633" s="8" t="s">
        <v>60</v>
      </c>
      <c r="N633" s="11">
        <v>183386</v>
      </c>
      <c r="O633" s="11">
        <v>16323</v>
      </c>
      <c r="P633" s="12">
        <v>97.1</v>
      </c>
      <c r="Q633" s="9">
        <v>2</v>
      </c>
      <c r="R633" s="13">
        <v>25</v>
      </c>
      <c r="S633" s="13">
        <v>5</v>
      </c>
      <c r="T633" s="9">
        <v>37</v>
      </c>
      <c r="U633" s="13">
        <v>61</v>
      </c>
      <c r="V633" s="8" t="s">
        <v>31</v>
      </c>
      <c r="W633" s="8" t="s">
        <v>96</v>
      </c>
      <c r="X633" s="22">
        <f>IF(V633="Yes",1,0)</f>
        <v>0</v>
      </c>
      <c r="Y633" s="22">
        <f>IF(H633="Active",0,1)</f>
        <v>1</v>
      </c>
    </row>
    <row r="634" spans="1:25" ht="18" customHeight="1" x14ac:dyDescent="0.35">
      <c r="A634" s="14" t="s">
        <v>1193</v>
      </c>
      <c r="B634" s="14" t="s">
        <v>291</v>
      </c>
      <c r="C634" s="14" t="s">
        <v>25</v>
      </c>
      <c r="D634" s="15">
        <v>53</v>
      </c>
      <c r="E634" s="14" t="s">
        <v>93</v>
      </c>
      <c r="F634" s="14" t="s">
        <v>76</v>
      </c>
      <c r="G634" s="16">
        <v>45799</v>
      </c>
      <c r="H634" s="14" t="s">
        <v>26</v>
      </c>
      <c r="I634" s="14" t="s">
        <v>27</v>
      </c>
      <c r="J634" s="14" t="s">
        <v>2268</v>
      </c>
      <c r="K634" s="14" t="s">
        <v>73</v>
      </c>
      <c r="L634" s="14" t="s">
        <v>44</v>
      </c>
      <c r="M634" s="14" t="s">
        <v>39</v>
      </c>
      <c r="N634" s="17">
        <v>220598</v>
      </c>
      <c r="O634" s="17">
        <v>29678</v>
      </c>
      <c r="P634" s="18">
        <v>98.4</v>
      </c>
      <c r="Q634" s="15">
        <v>4</v>
      </c>
      <c r="R634" s="19">
        <v>6</v>
      </c>
      <c r="S634" s="19">
        <v>4</v>
      </c>
      <c r="T634" s="15">
        <v>40</v>
      </c>
      <c r="U634" s="19">
        <v>71</v>
      </c>
      <c r="V634" s="14" t="s">
        <v>31</v>
      </c>
      <c r="W634" s="14"/>
      <c r="X634" s="14">
        <f>IF(V634="Yes",1,0)</f>
        <v>0</v>
      </c>
      <c r="Y634" s="14">
        <f>IF(H634="Active",0,1)</f>
        <v>0</v>
      </c>
    </row>
    <row r="635" spans="1:25" ht="18" customHeight="1" x14ac:dyDescent="0.35">
      <c r="A635" s="14" t="s">
        <v>1646</v>
      </c>
      <c r="B635" s="14" t="s">
        <v>485</v>
      </c>
      <c r="C635" s="14" t="s">
        <v>25</v>
      </c>
      <c r="D635" s="15">
        <v>46</v>
      </c>
      <c r="E635" s="14" t="s">
        <v>109</v>
      </c>
      <c r="F635" s="14" t="s">
        <v>43</v>
      </c>
      <c r="G635" s="16">
        <v>45799</v>
      </c>
      <c r="H635" s="14" t="s">
        <v>26</v>
      </c>
      <c r="I635" s="14" t="s">
        <v>2267</v>
      </c>
      <c r="J635" s="14" t="s">
        <v>2269</v>
      </c>
      <c r="K635" s="14" t="s">
        <v>28</v>
      </c>
      <c r="L635" s="14" t="s">
        <v>116</v>
      </c>
      <c r="M635" s="14" t="s">
        <v>64</v>
      </c>
      <c r="N635" s="17">
        <v>133636</v>
      </c>
      <c r="O635" s="17">
        <v>36401</v>
      </c>
      <c r="P635" s="18">
        <v>91.9</v>
      </c>
      <c r="Q635" s="15">
        <v>10</v>
      </c>
      <c r="R635" s="19">
        <v>16</v>
      </c>
      <c r="S635" s="19">
        <v>3</v>
      </c>
      <c r="T635" s="15">
        <v>22</v>
      </c>
      <c r="U635" s="19">
        <v>91</v>
      </c>
      <c r="V635" s="14" t="s">
        <v>31</v>
      </c>
      <c r="W635" s="14"/>
      <c r="X635" s="14">
        <f>IF(V635="Yes",1,0)</f>
        <v>0</v>
      </c>
      <c r="Y635" s="14">
        <f>IF(H635="Active",0,1)</f>
        <v>0</v>
      </c>
    </row>
    <row r="636" spans="1:25" ht="18" customHeight="1" x14ac:dyDescent="0.35">
      <c r="A636" s="8" t="s">
        <v>255</v>
      </c>
      <c r="B636" s="8" t="s">
        <v>256</v>
      </c>
      <c r="C636" s="8" t="s">
        <v>25</v>
      </c>
      <c r="D636" s="9">
        <v>46</v>
      </c>
      <c r="E636" s="8" t="s">
        <v>52</v>
      </c>
      <c r="F636" s="8" t="s">
        <v>12</v>
      </c>
      <c r="G636" s="10">
        <v>45798</v>
      </c>
      <c r="H636" s="8" t="s">
        <v>26</v>
      </c>
      <c r="I636" s="8" t="s">
        <v>27</v>
      </c>
      <c r="J636" s="8" t="s">
        <v>2270</v>
      </c>
      <c r="K636" s="8" t="s">
        <v>37</v>
      </c>
      <c r="L636" s="8" t="s">
        <v>56</v>
      </c>
      <c r="M636" s="8" t="s">
        <v>45</v>
      </c>
      <c r="N636" s="11">
        <v>119322</v>
      </c>
      <c r="O636" s="11">
        <v>36673</v>
      </c>
      <c r="P636" s="12">
        <v>93.5</v>
      </c>
      <c r="Q636" s="9">
        <v>0</v>
      </c>
      <c r="R636" s="13">
        <v>12</v>
      </c>
      <c r="S636" s="13">
        <v>5</v>
      </c>
      <c r="T636" s="9">
        <v>12</v>
      </c>
      <c r="U636" s="13">
        <v>77</v>
      </c>
      <c r="V636" s="8" t="s">
        <v>31</v>
      </c>
      <c r="W636" s="8"/>
      <c r="X636" s="22">
        <f>IF(V636="Yes",1,0)</f>
        <v>0</v>
      </c>
      <c r="Y636" s="22">
        <f>IF(H636="Active",0,1)</f>
        <v>0</v>
      </c>
    </row>
    <row r="637" spans="1:25" ht="18" customHeight="1" x14ac:dyDescent="0.35">
      <c r="A637" s="14" t="s">
        <v>2264</v>
      </c>
      <c r="B637" s="14" t="s">
        <v>806</v>
      </c>
      <c r="C637" s="14" t="s">
        <v>34</v>
      </c>
      <c r="D637" s="15">
        <v>24</v>
      </c>
      <c r="E637" s="14" t="s">
        <v>67</v>
      </c>
      <c r="F637" s="14" t="s">
        <v>53</v>
      </c>
      <c r="G637" s="16">
        <v>45798</v>
      </c>
      <c r="H637" s="14" t="s">
        <v>26</v>
      </c>
      <c r="I637" s="14" t="s">
        <v>2267</v>
      </c>
      <c r="J637" s="14" t="s">
        <v>48</v>
      </c>
      <c r="K637" s="14" t="s">
        <v>2271</v>
      </c>
      <c r="L637" s="14" t="s">
        <v>87</v>
      </c>
      <c r="M637" s="14" t="s">
        <v>30</v>
      </c>
      <c r="N637" s="17">
        <v>58735</v>
      </c>
      <c r="O637" s="17">
        <v>35141</v>
      </c>
      <c r="P637" s="18">
        <v>85</v>
      </c>
      <c r="Q637" s="15">
        <v>0</v>
      </c>
      <c r="R637" s="19">
        <v>29</v>
      </c>
      <c r="S637" s="19">
        <v>3</v>
      </c>
      <c r="T637" s="15">
        <v>14</v>
      </c>
      <c r="U637" s="19">
        <v>85</v>
      </c>
      <c r="V637" s="14" t="s">
        <v>69</v>
      </c>
      <c r="W637" s="14"/>
      <c r="X637" s="14">
        <f>IF(V637="Yes",1,0)</f>
        <v>1</v>
      </c>
      <c r="Y637" s="14">
        <f>IF(H637="Active",0,1)</f>
        <v>0</v>
      </c>
    </row>
    <row r="638" spans="1:25" ht="18" customHeight="1" x14ac:dyDescent="0.35">
      <c r="A638" s="14" t="s">
        <v>1008</v>
      </c>
      <c r="B638" s="14" t="s">
        <v>630</v>
      </c>
      <c r="C638" s="14" t="s">
        <v>34</v>
      </c>
      <c r="D638" s="15">
        <v>42</v>
      </c>
      <c r="E638" s="14" t="s">
        <v>86</v>
      </c>
      <c r="F638" s="14" t="s">
        <v>90</v>
      </c>
      <c r="G638" s="16">
        <v>45797</v>
      </c>
      <c r="H638" s="14" t="s">
        <v>26</v>
      </c>
      <c r="I638" s="14" t="s">
        <v>36</v>
      </c>
      <c r="J638" s="14" t="s">
        <v>2268</v>
      </c>
      <c r="K638" s="14" t="s">
        <v>2271</v>
      </c>
      <c r="L638" s="14" t="s">
        <v>87</v>
      </c>
      <c r="M638" s="14" t="s">
        <v>30</v>
      </c>
      <c r="N638" s="17">
        <v>153653</v>
      </c>
      <c r="O638" s="17">
        <v>12904</v>
      </c>
      <c r="P638" s="18">
        <v>84.4</v>
      </c>
      <c r="Q638" s="15">
        <v>4</v>
      </c>
      <c r="R638" s="19">
        <v>20</v>
      </c>
      <c r="S638" s="19">
        <v>5</v>
      </c>
      <c r="T638" s="15">
        <v>36</v>
      </c>
      <c r="U638" s="19">
        <v>82</v>
      </c>
      <c r="V638" s="14" t="s">
        <v>31</v>
      </c>
      <c r="W638" s="14"/>
      <c r="X638" s="14">
        <f>IF(V638="Yes",1,0)</f>
        <v>0</v>
      </c>
      <c r="Y638" s="14">
        <f>IF(H638="Active",0,1)</f>
        <v>0</v>
      </c>
    </row>
    <row r="639" spans="1:25" ht="18" customHeight="1" x14ac:dyDescent="0.35">
      <c r="A639" s="8" t="s">
        <v>1709</v>
      </c>
      <c r="B639" s="8" t="s">
        <v>537</v>
      </c>
      <c r="C639" s="8" t="s">
        <v>25</v>
      </c>
      <c r="D639" s="9">
        <v>42</v>
      </c>
      <c r="E639" s="8" t="s">
        <v>42</v>
      </c>
      <c r="F639" s="8" t="s">
        <v>79</v>
      </c>
      <c r="G639" s="10">
        <v>45797</v>
      </c>
      <c r="H639" s="8" t="s">
        <v>26</v>
      </c>
      <c r="I639" s="8" t="s">
        <v>36</v>
      </c>
      <c r="J639" s="8" t="s">
        <v>2269</v>
      </c>
      <c r="K639" s="8" t="s">
        <v>37</v>
      </c>
      <c r="L639" s="8" t="s">
        <v>56</v>
      </c>
      <c r="M639" s="8" t="s">
        <v>30</v>
      </c>
      <c r="N639" s="11">
        <v>157977</v>
      </c>
      <c r="O639" s="11">
        <v>46951</v>
      </c>
      <c r="P639" s="12">
        <v>83.8</v>
      </c>
      <c r="Q639" s="9">
        <v>6</v>
      </c>
      <c r="R639" s="13">
        <v>5</v>
      </c>
      <c r="S639" s="13">
        <v>2</v>
      </c>
      <c r="T639" s="9">
        <v>12</v>
      </c>
      <c r="U639" s="13">
        <v>74</v>
      </c>
      <c r="V639" s="8" t="s">
        <v>31</v>
      </c>
      <c r="W639" s="8"/>
      <c r="X639" s="22">
        <f>IF(V639="Yes",1,0)</f>
        <v>0</v>
      </c>
      <c r="Y639" s="22">
        <f>IF(H639="Active",0,1)</f>
        <v>0</v>
      </c>
    </row>
    <row r="640" spans="1:25" ht="18" customHeight="1" x14ac:dyDescent="0.35">
      <c r="A640" s="14" t="s">
        <v>585</v>
      </c>
      <c r="B640" s="14" t="s">
        <v>300</v>
      </c>
      <c r="C640" s="14" t="s">
        <v>34</v>
      </c>
      <c r="D640" s="15">
        <v>48</v>
      </c>
      <c r="E640" s="14" t="s">
        <v>52</v>
      </c>
      <c r="F640" s="14" t="s">
        <v>79</v>
      </c>
      <c r="G640" s="16">
        <v>45796</v>
      </c>
      <c r="H640" s="14" t="s">
        <v>26</v>
      </c>
      <c r="I640" s="14" t="s">
        <v>2267</v>
      </c>
      <c r="J640" s="14" t="s">
        <v>2268</v>
      </c>
      <c r="K640" s="14" t="s">
        <v>73</v>
      </c>
      <c r="L640" s="14" t="s">
        <v>29</v>
      </c>
      <c r="M640" s="14" t="s">
        <v>45</v>
      </c>
      <c r="N640" s="17">
        <v>135454</v>
      </c>
      <c r="O640" s="17">
        <v>5393</v>
      </c>
      <c r="P640" s="18">
        <v>96</v>
      </c>
      <c r="Q640" s="15">
        <v>10</v>
      </c>
      <c r="R640" s="19">
        <v>10</v>
      </c>
      <c r="S640" s="19">
        <v>1</v>
      </c>
      <c r="T640" s="15">
        <v>1</v>
      </c>
      <c r="U640" s="19">
        <v>70</v>
      </c>
      <c r="V640" s="14" t="s">
        <v>31</v>
      </c>
      <c r="W640" s="14"/>
      <c r="X640" s="14">
        <f>IF(V640="Yes",1,0)</f>
        <v>0</v>
      </c>
      <c r="Y640" s="14">
        <f>IF(H640="Active",0,1)</f>
        <v>0</v>
      </c>
    </row>
    <row r="641" spans="1:25" ht="18" customHeight="1" x14ac:dyDescent="0.35">
      <c r="A641" s="8" t="s">
        <v>1325</v>
      </c>
      <c r="B641" s="8" t="s">
        <v>240</v>
      </c>
      <c r="C641" s="8" t="s">
        <v>34</v>
      </c>
      <c r="D641" s="9">
        <v>32</v>
      </c>
      <c r="E641" s="8" t="s">
        <v>2303</v>
      </c>
      <c r="F641" s="8" t="s">
        <v>35</v>
      </c>
      <c r="G641" s="10">
        <v>45796</v>
      </c>
      <c r="H641" s="8" t="s">
        <v>26</v>
      </c>
      <c r="I641" s="8" t="s">
        <v>36</v>
      </c>
      <c r="J641" s="8" t="s">
        <v>80</v>
      </c>
      <c r="K641" s="8" t="s">
        <v>55</v>
      </c>
      <c r="L641" s="8" t="s">
        <v>44</v>
      </c>
      <c r="M641" s="8" t="s">
        <v>64</v>
      </c>
      <c r="N641" s="11">
        <v>130001</v>
      </c>
      <c r="O641" s="11">
        <v>38284</v>
      </c>
      <c r="P641" s="12">
        <v>97.3</v>
      </c>
      <c r="Q641" s="9">
        <v>3</v>
      </c>
      <c r="R641" s="13">
        <v>20</v>
      </c>
      <c r="S641" s="13">
        <v>2</v>
      </c>
      <c r="T641" s="9">
        <v>9</v>
      </c>
      <c r="U641" s="13">
        <v>70</v>
      </c>
      <c r="V641" s="8" t="s">
        <v>31</v>
      </c>
      <c r="W641" s="8"/>
      <c r="X641" s="22">
        <f>IF(V641="Yes",1,0)</f>
        <v>0</v>
      </c>
      <c r="Y641" s="22">
        <f>IF(H641="Active",0,1)</f>
        <v>0</v>
      </c>
    </row>
    <row r="642" spans="1:25" ht="18" customHeight="1" x14ac:dyDescent="0.35">
      <c r="A642" s="8" t="s">
        <v>1769</v>
      </c>
      <c r="B642" s="8" t="s">
        <v>153</v>
      </c>
      <c r="C642" s="8" t="s">
        <v>34</v>
      </c>
      <c r="D642" s="9">
        <v>38</v>
      </c>
      <c r="E642" s="8" t="s">
        <v>2304</v>
      </c>
      <c r="F642" s="8" t="s">
        <v>72</v>
      </c>
      <c r="G642" s="10">
        <v>45796</v>
      </c>
      <c r="H642" s="8" t="s">
        <v>26</v>
      </c>
      <c r="I642" s="8" t="s">
        <v>36</v>
      </c>
      <c r="J642" s="8" t="s">
        <v>2268</v>
      </c>
      <c r="K642" s="8" t="s">
        <v>28</v>
      </c>
      <c r="L642" s="8" t="s">
        <v>49</v>
      </c>
      <c r="M642" s="8" t="s">
        <v>45</v>
      </c>
      <c r="N642" s="11">
        <v>164148</v>
      </c>
      <c r="O642" s="11">
        <v>12499</v>
      </c>
      <c r="P642" s="12">
        <v>80.400000000000006</v>
      </c>
      <c r="Q642" s="9">
        <v>5</v>
      </c>
      <c r="R642" s="13">
        <v>4</v>
      </c>
      <c r="S642" s="13">
        <v>5</v>
      </c>
      <c r="T642" s="9">
        <v>6</v>
      </c>
      <c r="U642" s="13">
        <v>86</v>
      </c>
      <c r="V642" s="8" t="s">
        <v>31</v>
      </c>
      <c r="W642" s="8"/>
      <c r="X642" s="22">
        <f>IF(V642="Yes",1,0)</f>
        <v>0</v>
      </c>
      <c r="Y642" s="22">
        <f>IF(H642="Active",0,1)</f>
        <v>0</v>
      </c>
    </row>
    <row r="643" spans="1:25" ht="18" customHeight="1" x14ac:dyDescent="0.35">
      <c r="A643" s="8" t="s">
        <v>534</v>
      </c>
      <c r="B643" s="8" t="s">
        <v>413</v>
      </c>
      <c r="C643" s="8" t="s">
        <v>25</v>
      </c>
      <c r="D643" s="9">
        <v>43</v>
      </c>
      <c r="E643" s="8" t="s">
        <v>52</v>
      </c>
      <c r="F643" s="8" t="s">
        <v>79</v>
      </c>
      <c r="G643" s="10">
        <v>45795</v>
      </c>
      <c r="H643" s="8" t="s">
        <v>26</v>
      </c>
      <c r="I643" s="8" t="s">
        <v>27</v>
      </c>
      <c r="J643" s="8" t="s">
        <v>80</v>
      </c>
      <c r="K643" s="8" t="s">
        <v>2271</v>
      </c>
      <c r="L643" s="8" t="s">
        <v>116</v>
      </c>
      <c r="M643" s="8" t="s">
        <v>64</v>
      </c>
      <c r="N643" s="11">
        <v>161840</v>
      </c>
      <c r="O643" s="11">
        <v>40399</v>
      </c>
      <c r="P643" s="12">
        <v>97.6</v>
      </c>
      <c r="Q643" s="9">
        <v>7</v>
      </c>
      <c r="R643" s="13">
        <v>18</v>
      </c>
      <c r="S643" s="13">
        <v>4</v>
      </c>
      <c r="T643" s="9">
        <v>22</v>
      </c>
      <c r="U643" s="13">
        <v>71</v>
      </c>
      <c r="V643" s="8" t="s">
        <v>31</v>
      </c>
      <c r="W643" s="8"/>
      <c r="X643" s="22">
        <f>IF(V643="Yes",1,0)</f>
        <v>0</v>
      </c>
      <c r="Y643" s="22">
        <f>IF(H643="Active",0,1)</f>
        <v>0</v>
      </c>
    </row>
    <row r="644" spans="1:25" ht="18" customHeight="1" x14ac:dyDescent="0.35">
      <c r="A644" s="8" t="s">
        <v>1194</v>
      </c>
      <c r="B644" s="8" t="s">
        <v>516</v>
      </c>
      <c r="C644" s="8" t="s">
        <v>34</v>
      </c>
      <c r="D644" s="9">
        <v>22</v>
      </c>
      <c r="E644" s="8" t="s">
        <v>63</v>
      </c>
      <c r="F644" s="8" t="s">
        <v>76</v>
      </c>
      <c r="G644" s="10">
        <v>45795</v>
      </c>
      <c r="H644" s="8" t="s">
        <v>26</v>
      </c>
      <c r="I644" s="8" t="s">
        <v>27</v>
      </c>
      <c r="J644" s="8" t="s">
        <v>2269</v>
      </c>
      <c r="K644" s="8" t="s">
        <v>2271</v>
      </c>
      <c r="L644" s="8" t="s">
        <v>44</v>
      </c>
      <c r="M644" s="8" t="s">
        <v>45</v>
      </c>
      <c r="N644" s="11">
        <v>224349</v>
      </c>
      <c r="O644" s="11">
        <v>33086</v>
      </c>
      <c r="P644" s="12">
        <v>89.8</v>
      </c>
      <c r="Q644" s="9">
        <v>2</v>
      </c>
      <c r="R644" s="13">
        <v>15</v>
      </c>
      <c r="S644" s="13">
        <v>5</v>
      </c>
      <c r="T644" s="9">
        <v>9</v>
      </c>
      <c r="U644" s="13">
        <v>86</v>
      </c>
      <c r="V644" s="8" t="s">
        <v>31</v>
      </c>
      <c r="W644" s="8"/>
      <c r="X644" s="22">
        <f>IF(V644="Yes",1,0)</f>
        <v>0</v>
      </c>
      <c r="Y644" s="22">
        <f>IF(H644="Active",0,1)</f>
        <v>0</v>
      </c>
    </row>
    <row r="645" spans="1:25" ht="18" customHeight="1" x14ac:dyDescent="0.35">
      <c r="A645" s="8" t="s">
        <v>736</v>
      </c>
      <c r="B645" s="8" t="s">
        <v>106</v>
      </c>
      <c r="C645" s="8" t="s">
        <v>25</v>
      </c>
      <c r="D645" s="9">
        <v>44</v>
      </c>
      <c r="E645" s="8" t="s">
        <v>93</v>
      </c>
      <c r="F645" s="8" t="s">
        <v>76</v>
      </c>
      <c r="G645" s="10">
        <v>45794</v>
      </c>
      <c r="H645" s="8" t="s">
        <v>26</v>
      </c>
      <c r="I645" s="8" t="s">
        <v>2267</v>
      </c>
      <c r="J645" s="8" t="s">
        <v>2270</v>
      </c>
      <c r="K645" s="8" t="s">
        <v>37</v>
      </c>
      <c r="L645" s="8" t="s">
        <v>38</v>
      </c>
      <c r="M645" s="8" t="s">
        <v>39</v>
      </c>
      <c r="N645" s="11">
        <v>136677</v>
      </c>
      <c r="O645" s="11">
        <v>16431</v>
      </c>
      <c r="P645" s="12">
        <v>98.6</v>
      </c>
      <c r="Q645" s="9">
        <v>3</v>
      </c>
      <c r="R645" s="13">
        <v>14</v>
      </c>
      <c r="S645" s="13">
        <v>4</v>
      </c>
      <c r="T645" s="9">
        <v>21</v>
      </c>
      <c r="U645" s="13">
        <v>94</v>
      </c>
      <c r="V645" s="8" t="s">
        <v>31</v>
      </c>
      <c r="W645" s="8"/>
      <c r="X645" s="22">
        <f>IF(V645="Yes",1,0)</f>
        <v>0</v>
      </c>
      <c r="Y645" s="22">
        <f>IF(H645="Active",0,1)</f>
        <v>0</v>
      </c>
    </row>
    <row r="646" spans="1:25" ht="18" customHeight="1" x14ac:dyDescent="0.35">
      <c r="A646" s="8" t="s">
        <v>849</v>
      </c>
      <c r="B646" s="8" t="s">
        <v>250</v>
      </c>
      <c r="C646" s="8" t="s">
        <v>25</v>
      </c>
      <c r="D646" s="9">
        <v>42</v>
      </c>
      <c r="E646" s="8" t="s">
        <v>93</v>
      </c>
      <c r="F646" s="8" t="s">
        <v>12</v>
      </c>
      <c r="G646" s="10">
        <v>45794</v>
      </c>
      <c r="H646" s="8" t="s">
        <v>26</v>
      </c>
      <c r="I646" s="8" t="s">
        <v>27</v>
      </c>
      <c r="J646" s="8" t="s">
        <v>2270</v>
      </c>
      <c r="K646" s="8" t="s">
        <v>73</v>
      </c>
      <c r="L646" s="8" t="s">
        <v>87</v>
      </c>
      <c r="M646" s="8" t="s">
        <v>39</v>
      </c>
      <c r="N646" s="11">
        <v>122962</v>
      </c>
      <c r="O646" s="11">
        <v>6922</v>
      </c>
      <c r="P646" s="12">
        <v>90.1</v>
      </c>
      <c r="Q646" s="9">
        <v>9</v>
      </c>
      <c r="R646" s="13">
        <v>1</v>
      </c>
      <c r="S646" s="13">
        <v>3</v>
      </c>
      <c r="T646" s="9">
        <v>36</v>
      </c>
      <c r="U646" s="13">
        <v>87</v>
      </c>
      <c r="V646" s="8" t="s">
        <v>69</v>
      </c>
      <c r="W646" s="8"/>
      <c r="X646" s="22">
        <f>IF(V646="Yes",1,0)</f>
        <v>1</v>
      </c>
      <c r="Y646" s="22">
        <f>IF(H646="Active",0,1)</f>
        <v>0</v>
      </c>
    </row>
    <row r="647" spans="1:25" ht="18" customHeight="1" x14ac:dyDescent="0.35">
      <c r="A647" s="8" t="s">
        <v>2081</v>
      </c>
      <c r="B647" s="8" t="s">
        <v>445</v>
      </c>
      <c r="C647" s="8" t="s">
        <v>34</v>
      </c>
      <c r="D647" s="9">
        <v>50</v>
      </c>
      <c r="E647" s="8" t="s">
        <v>2303</v>
      </c>
      <c r="F647" s="8" t="s">
        <v>90</v>
      </c>
      <c r="G647" s="10">
        <v>45794</v>
      </c>
      <c r="H647" s="8" t="s">
        <v>26</v>
      </c>
      <c r="I647" s="8" t="s">
        <v>27</v>
      </c>
      <c r="J647" s="8" t="s">
        <v>80</v>
      </c>
      <c r="K647" s="8" t="s">
        <v>55</v>
      </c>
      <c r="L647" s="8" t="s">
        <v>29</v>
      </c>
      <c r="M647" s="8" t="s">
        <v>39</v>
      </c>
      <c r="N647" s="11">
        <v>242790</v>
      </c>
      <c r="O647" s="11">
        <v>5261</v>
      </c>
      <c r="P647" s="12">
        <v>96.5</v>
      </c>
      <c r="Q647" s="9">
        <v>1</v>
      </c>
      <c r="R647" s="13">
        <v>5</v>
      </c>
      <c r="S647" s="13">
        <v>5</v>
      </c>
      <c r="T647" s="9">
        <v>12</v>
      </c>
      <c r="U647" s="13">
        <v>65</v>
      </c>
      <c r="V647" s="8" t="s">
        <v>31</v>
      </c>
      <c r="W647" s="8"/>
      <c r="X647" s="22">
        <f>IF(V647="Yes",1,0)</f>
        <v>0</v>
      </c>
      <c r="Y647" s="22">
        <f>IF(H647="Active",0,1)</f>
        <v>0</v>
      </c>
    </row>
    <row r="648" spans="1:25" ht="18" customHeight="1" x14ac:dyDescent="0.35">
      <c r="A648" s="8" t="s">
        <v>598</v>
      </c>
      <c r="B648" s="8" t="s">
        <v>551</v>
      </c>
      <c r="C648" s="8" t="s">
        <v>25</v>
      </c>
      <c r="D648" s="9">
        <v>54</v>
      </c>
      <c r="E648" s="8" t="s">
        <v>42</v>
      </c>
      <c r="F648" s="8" t="s">
        <v>72</v>
      </c>
      <c r="G648" s="10">
        <v>45793</v>
      </c>
      <c r="H648" s="8" t="s">
        <v>26</v>
      </c>
      <c r="I648" s="8" t="s">
        <v>27</v>
      </c>
      <c r="J648" s="8" t="s">
        <v>2268</v>
      </c>
      <c r="K648" s="8" t="s">
        <v>2271</v>
      </c>
      <c r="L648" s="8" t="s">
        <v>49</v>
      </c>
      <c r="M648" s="8" t="s">
        <v>64</v>
      </c>
      <c r="N648" s="11">
        <v>228542</v>
      </c>
      <c r="O648" s="11">
        <v>36706</v>
      </c>
      <c r="P648" s="12">
        <v>81.8</v>
      </c>
      <c r="Q648" s="9">
        <v>9</v>
      </c>
      <c r="R648" s="13">
        <v>27</v>
      </c>
      <c r="S648" s="13">
        <v>4</v>
      </c>
      <c r="T648" s="9">
        <v>32</v>
      </c>
      <c r="U648" s="13">
        <v>67</v>
      </c>
      <c r="V648" s="8" t="s">
        <v>69</v>
      </c>
      <c r="W648" s="8"/>
      <c r="X648" s="22">
        <f>IF(V648="Yes",1,0)</f>
        <v>1</v>
      </c>
      <c r="Y648" s="22">
        <f>IF(H648="Active",0,1)</f>
        <v>0</v>
      </c>
    </row>
    <row r="649" spans="1:25" ht="18" customHeight="1" x14ac:dyDescent="0.35">
      <c r="A649" s="14" t="s">
        <v>949</v>
      </c>
      <c r="B649" s="14" t="s">
        <v>41</v>
      </c>
      <c r="C649" s="14" t="s">
        <v>34</v>
      </c>
      <c r="D649" s="15">
        <v>43</v>
      </c>
      <c r="E649" s="14" t="s">
        <v>52</v>
      </c>
      <c r="F649" s="14" t="s">
        <v>53</v>
      </c>
      <c r="G649" s="16">
        <v>45793</v>
      </c>
      <c r="H649" s="14" t="s">
        <v>26</v>
      </c>
      <c r="I649" s="14" t="s">
        <v>27</v>
      </c>
      <c r="J649" s="14" t="s">
        <v>2269</v>
      </c>
      <c r="K649" s="14" t="s">
        <v>28</v>
      </c>
      <c r="L649" s="14" t="s">
        <v>68</v>
      </c>
      <c r="M649" s="14" t="s">
        <v>64</v>
      </c>
      <c r="N649" s="17">
        <v>211671</v>
      </c>
      <c r="O649" s="17">
        <v>21015</v>
      </c>
      <c r="P649" s="18">
        <v>89.9</v>
      </c>
      <c r="Q649" s="15">
        <v>3</v>
      </c>
      <c r="R649" s="19">
        <v>10</v>
      </c>
      <c r="S649" s="19">
        <v>2</v>
      </c>
      <c r="T649" s="15">
        <v>26</v>
      </c>
      <c r="U649" s="19">
        <v>95</v>
      </c>
      <c r="V649" s="14" t="s">
        <v>31</v>
      </c>
      <c r="W649" s="14"/>
      <c r="X649" s="14">
        <f>IF(V649="Yes",1,0)</f>
        <v>0</v>
      </c>
      <c r="Y649" s="14">
        <f>IF(H649="Active",0,1)</f>
        <v>0</v>
      </c>
    </row>
    <row r="650" spans="1:25" ht="18" customHeight="1" x14ac:dyDescent="0.35">
      <c r="A650" s="14" t="s">
        <v>1738</v>
      </c>
      <c r="B650" s="14" t="s">
        <v>323</v>
      </c>
      <c r="C650" s="14" t="s">
        <v>34</v>
      </c>
      <c r="D650" s="15">
        <v>51</v>
      </c>
      <c r="E650" s="14" t="s">
        <v>109</v>
      </c>
      <c r="F650" s="14" t="s">
        <v>35</v>
      </c>
      <c r="G650" s="16">
        <v>45793</v>
      </c>
      <c r="H650" s="14" t="s">
        <v>26</v>
      </c>
      <c r="I650" s="14" t="s">
        <v>27</v>
      </c>
      <c r="J650" s="14" t="s">
        <v>80</v>
      </c>
      <c r="K650" s="14" t="s">
        <v>37</v>
      </c>
      <c r="L650" s="14" t="s">
        <v>44</v>
      </c>
      <c r="M650" s="14" t="s">
        <v>64</v>
      </c>
      <c r="N650" s="17">
        <v>57765</v>
      </c>
      <c r="O650" s="17">
        <v>34972</v>
      </c>
      <c r="P650" s="18">
        <v>93.7</v>
      </c>
      <c r="Q650" s="15">
        <v>5</v>
      </c>
      <c r="R650" s="19">
        <v>15</v>
      </c>
      <c r="S650" s="19">
        <v>1</v>
      </c>
      <c r="T650" s="15">
        <v>31</v>
      </c>
      <c r="U650" s="19">
        <v>66</v>
      </c>
      <c r="V650" s="14" t="s">
        <v>31</v>
      </c>
      <c r="W650" s="14"/>
      <c r="X650" s="14">
        <f>IF(V650="Yes",1,0)</f>
        <v>0</v>
      </c>
      <c r="Y650" s="14">
        <f>IF(H650="Active",0,1)</f>
        <v>0</v>
      </c>
    </row>
    <row r="651" spans="1:25" ht="18" customHeight="1" x14ac:dyDescent="0.35">
      <c r="A651" s="8" t="s">
        <v>724</v>
      </c>
      <c r="B651" s="8" t="s">
        <v>379</v>
      </c>
      <c r="C651" s="8" t="s">
        <v>34</v>
      </c>
      <c r="D651" s="9">
        <v>31</v>
      </c>
      <c r="E651" s="8" t="s">
        <v>86</v>
      </c>
      <c r="F651" s="8" t="s">
        <v>43</v>
      </c>
      <c r="G651" s="10">
        <v>45792</v>
      </c>
      <c r="H651" s="8" t="s">
        <v>54</v>
      </c>
      <c r="I651" s="8" t="s">
        <v>2267</v>
      </c>
      <c r="J651" s="8" t="s">
        <v>80</v>
      </c>
      <c r="K651" s="8" t="s">
        <v>73</v>
      </c>
      <c r="L651" s="8" t="s">
        <v>38</v>
      </c>
      <c r="M651" s="8" t="s">
        <v>60</v>
      </c>
      <c r="N651" s="11">
        <v>187973</v>
      </c>
      <c r="O651" s="11">
        <v>34614</v>
      </c>
      <c r="P651" s="12">
        <v>90.9</v>
      </c>
      <c r="Q651" s="9">
        <v>0</v>
      </c>
      <c r="R651" s="13">
        <v>27</v>
      </c>
      <c r="S651" s="13">
        <v>2</v>
      </c>
      <c r="T651" s="9">
        <v>8</v>
      </c>
      <c r="U651" s="13">
        <v>90</v>
      </c>
      <c r="V651" s="8" t="s">
        <v>31</v>
      </c>
      <c r="W651" s="8" t="s">
        <v>83</v>
      </c>
      <c r="X651" s="22">
        <f>IF(V651="Yes",1,0)</f>
        <v>0</v>
      </c>
      <c r="Y651" s="22">
        <f>IF(H651="Active",0,1)</f>
        <v>1</v>
      </c>
    </row>
    <row r="652" spans="1:25" ht="18" customHeight="1" x14ac:dyDescent="0.35">
      <c r="A652" s="14" t="s">
        <v>1292</v>
      </c>
      <c r="B652" s="14" t="s">
        <v>138</v>
      </c>
      <c r="C652" s="14" t="s">
        <v>34</v>
      </c>
      <c r="D652" s="15">
        <v>50</v>
      </c>
      <c r="E652" s="14" t="s">
        <v>63</v>
      </c>
      <c r="F652" s="14" t="s">
        <v>79</v>
      </c>
      <c r="G652" s="16">
        <v>45792</v>
      </c>
      <c r="H652" s="14" t="s">
        <v>26</v>
      </c>
      <c r="I652" s="14" t="s">
        <v>2267</v>
      </c>
      <c r="J652" s="14" t="s">
        <v>2269</v>
      </c>
      <c r="K652" s="14" t="s">
        <v>73</v>
      </c>
      <c r="L652" s="14" t="s">
        <v>116</v>
      </c>
      <c r="M652" s="14" t="s">
        <v>39</v>
      </c>
      <c r="N652" s="17">
        <v>59818</v>
      </c>
      <c r="O652" s="17">
        <v>40869</v>
      </c>
      <c r="P652" s="18">
        <v>93</v>
      </c>
      <c r="Q652" s="15">
        <v>0</v>
      </c>
      <c r="R652" s="19">
        <v>26</v>
      </c>
      <c r="S652" s="19">
        <v>1</v>
      </c>
      <c r="T652" s="15">
        <v>30</v>
      </c>
      <c r="U652" s="19">
        <v>74</v>
      </c>
      <c r="V652" s="14" t="s">
        <v>31</v>
      </c>
      <c r="W652" s="14"/>
      <c r="X652" s="14">
        <f>IF(V652="Yes",1,0)</f>
        <v>0</v>
      </c>
      <c r="Y652" s="14">
        <f>IF(H652="Active",0,1)</f>
        <v>0</v>
      </c>
    </row>
    <row r="653" spans="1:25" ht="18" customHeight="1" x14ac:dyDescent="0.35">
      <c r="A653" s="8" t="s">
        <v>2097</v>
      </c>
      <c r="B653" s="8" t="s">
        <v>661</v>
      </c>
      <c r="C653" s="8" t="s">
        <v>34</v>
      </c>
      <c r="D653" s="9">
        <v>54</v>
      </c>
      <c r="E653" s="8" t="s">
        <v>2303</v>
      </c>
      <c r="F653" s="8" t="s">
        <v>72</v>
      </c>
      <c r="G653" s="10">
        <v>45792</v>
      </c>
      <c r="H653" s="8" t="s">
        <v>26</v>
      </c>
      <c r="I653" s="8" t="s">
        <v>36</v>
      </c>
      <c r="J653" s="8" t="s">
        <v>2269</v>
      </c>
      <c r="K653" s="8" t="s">
        <v>28</v>
      </c>
      <c r="L653" s="8" t="s">
        <v>29</v>
      </c>
      <c r="M653" s="8" t="s">
        <v>39</v>
      </c>
      <c r="N653" s="11">
        <v>89073</v>
      </c>
      <c r="O653" s="11">
        <v>16881</v>
      </c>
      <c r="P653" s="12">
        <v>93.7</v>
      </c>
      <c r="Q653" s="9">
        <v>1</v>
      </c>
      <c r="R653" s="13">
        <v>23</v>
      </c>
      <c r="S653" s="13">
        <v>5</v>
      </c>
      <c r="T653" s="9">
        <v>14</v>
      </c>
      <c r="U653" s="13">
        <v>92</v>
      </c>
      <c r="V653" s="8" t="s">
        <v>31</v>
      </c>
      <c r="W653" s="8"/>
      <c r="X653" s="22">
        <f>IF(V653="Yes",1,0)</f>
        <v>0</v>
      </c>
      <c r="Y653" s="22">
        <f>IF(H653="Active",0,1)</f>
        <v>0</v>
      </c>
    </row>
    <row r="654" spans="1:25" ht="18" customHeight="1" x14ac:dyDescent="0.35">
      <c r="A654" s="8" t="s">
        <v>1945</v>
      </c>
      <c r="B654" s="8" t="s">
        <v>344</v>
      </c>
      <c r="C654" s="8" t="s">
        <v>34</v>
      </c>
      <c r="D654" s="9">
        <v>55</v>
      </c>
      <c r="E654" s="8" t="s">
        <v>93</v>
      </c>
      <c r="F654" s="8" t="s">
        <v>35</v>
      </c>
      <c r="G654" s="10">
        <v>45791</v>
      </c>
      <c r="H654" s="8" t="s">
        <v>26</v>
      </c>
      <c r="I654" s="8" t="s">
        <v>2267</v>
      </c>
      <c r="J654" s="8" t="s">
        <v>2270</v>
      </c>
      <c r="K654" s="8" t="s">
        <v>55</v>
      </c>
      <c r="L654" s="8" t="s">
        <v>38</v>
      </c>
      <c r="M654" s="8" t="s">
        <v>45</v>
      </c>
      <c r="N654" s="11">
        <v>74669</v>
      </c>
      <c r="O654" s="11">
        <v>35423</v>
      </c>
      <c r="P654" s="12">
        <v>94.5</v>
      </c>
      <c r="Q654" s="9">
        <v>10</v>
      </c>
      <c r="R654" s="13">
        <v>12</v>
      </c>
      <c r="S654" s="13">
        <v>3</v>
      </c>
      <c r="T654" s="9">
        <v>0</v>
      </c>
      <c r="U654" s="13">
        <v>74</v>
      </c>
      <c r="V654" s="8" t="s">
        <v>31</v>
      </c>
      <c r="W654" s="8"/>
      <c r="X654" s="22">
        <f>IF(V654="Yes",1,0)</f>
        <v>0</v>
      </c>
      <c r="Y654" s="22">
        <f>IF(H654="Active",0,1)</f>
        <v>0</v>
      </c>
    </row>
    <row r="655" spans="1:25" ht="18" customHeight="1" x14ac:dyDescent="0.35">
      <c r="A655" s="8" t="s">
        <v>2063</v>
      </c>
      <c r="B655" s="8" t="s">
        <v>151</v>
      </c>
      <c r="C655" s="8" t="s">
        <v>34</v>
      </c>
      <c r="D655" s="9">
        <v>29</v>
      </c>
      <c r="E655" s="8" t="s">
        <v>63</v>
      </c>
      <c r="F655" s="8" t="s">
        <v>43</v>
      </c>
      <c r="G655" s="10">
        <v>45791</v>
      </c>
      <c r="H655" s="8" t="s">
        <v>26</v>
      </c>
      <c r="I655" s="8" t="s">
        <v>36</v>
      </c>
      <c r="J655" s="8" t="s">
        <v>2270</v>
      </c>
      <c r="K655" s="8" t="s">
        <v>37</v>
      </c>
      <c r="L655" s="8" t="s">
        <v>44</v>
      </c>
      <c r="M655" s="8" t="s">
        <v>45</v>
      </c>
      <c r="N655" s="11">
        <v>52621</v>
      </c>
      <c r="O655" s="11">
        <v>40340</v>
      </c>
      <c r="P655" s="12">
        <v>84.5</v>
      </c>
      <c r="Q655" s="9">
        <v>0</v>
      </c>
      <c r="R655" s="13">
        <v>3</v>
      </c>
      <c r="S655" s="13">
        <v>4</v>
      </c>
      <c r="T655" s="9">
        <v>24</v>
      </c>
      <c r="U655" s="13">
        <v>78</v>
      </c>
      <c r="V655" s="8" t="s">
        <v>31</v>
      </c>
      <c r="W655" s="8"/>
      <c r="X655" s="22">
        <f>IF(V655="Yes",1,0)</f>
        <v>0</v>
      </c>
      <c r="Y655" s="22">
        <f>IF(H655="Active",0,1)</f>
        <v>0</v>
      </c>
    </row>
    <row r="656" spans="1:25" ht="18" customHeight="1" x14ac:dyDescent="0.35">
      <c r="A656" s="14" t="s">
        <v>180</v>
      </c>
      <c r="B656" s="14" t="s">
        <v>181</v>
      </c>
      <c r="C656" s="14" t="s">
        <v>34</v>
      </c>
      <c r="D656" s="15">
        <v>58</v>
      </c>
      <c r="E656" s="14" t="s">
        <v>67</v>
      </c>
      <c r="F656" s="14" t="s">
        <v>43</v>
      </c>
      <c r="G656" s="16">
        <v>45790</v>
      </c>
      <c r="H656" s="14" t="s">
        <v>26</v>
      </c>
      <c r="I656" s="14" t="s">
        <v>36</v>
      </c>
      <c r="J656" s="14" t="s">
        <v>80</v>
      </c>
      <c r="K656" s="14" t="s">
        <v>73</v>
      </c>
      <c r="L656" s="14" t="s">
        <v>29</v>
      </c>
      <c r="M656" s="14" t="s">
        <v>64</v>
      </c>
      <c r="N656" s="17">
        <v>242643</v>
      </c>
      <c r="O656" s="17">
        <v>26397</v>
      </c>
      <c r="P656" s="18">
        <v>92.5</v>
      </c>
      <c r="Q656" s="15">
        <v>5</v>
      </c>
      <c r="R656" s="19">
        <v>9</v>
      </c>
      <c r="S656" s="19">
        <v>1</v>
      </c>
      <c r="T656" s="15">
        <v>28</v>
      </c>
      <c r="U656" s="19">
        <v>87</v>
      </c>
      <c r="V656" s="14" t="s">
        <v>31</v>
      </c>
      <c r="W656" s="14"/>
      <c r="X656" s="14">
        <f>IF(V656="Yes",1,0)</f>
        <v>0</v>
      </c>
      <c r="Y656" s="14">
        <f>IF(H656="Active",0,1)</f>
        <v>0</v>
      </c>
    </row>
    <row r="657" spans="1:25" ht="18" customHeight="1" x14ac:dyDescent="0.35">
      <c r="A657" s="8" t="s">
        <v>519</v>
      </c>
      <c r="B657" s="8" t="s">
        <v>520</v>
      </c>
      <c r="C657" s="8" t="s">
        <v>25</v>
      </c>
      <c r="D657" s="9">
        <v>24</v>
      </c>
      <c r="E657" s="8" t="s">
        <v>2304</v>
      </c>
      <c r="F657" s="8" t="s">
        <v>76</v>
      </c>
      <c r="G657" s="10">
        <v>45790</v>
      </c>
      <c r="H657" s="8" t="s">
        <v>26</v>
      </c>
      <c r="I657" s="8" t="s">
        <v>2267</v>
      </c>
      <c r="J657" s="8" t="s">
        <v>2269</v>
      </c>
      <c r="K657" s="8" t="s">
        <v>2271</v>
      </c>
      <c r="L657" s="8" t="s">
        <v>49</v>
      </c>
      <c r="M657" s="8" t="s">
        <v>30</v>
      </c>
      <c r="N657" s="11">
        <v>52487</v>
      </c>
      <c r="O657" s="11">
        <v>44790</v>
      </c>
      <c r="P657" s="12">
        <v>89.1</v>
      </c>
      <c r="Q657" s="9">
        <v>3</v>
      </c>
      <c r="R657" s="13">
        <v>11</v>
      </c>
      <c r="S657" s="13">
        <v>1</v>
      </c>
      <c r="T657" s="9">
        <v>0</v>
      </c>
      <c r="U657" s="13">
        <v>86</v>
      </c>
      <c r="V657" s="8" t="s">
        <v>31</v>
      </c>
      <c r="W657" s="8"/>
      <c r="X657" s="22">
        <f>IF(V657="Yes",1,0)</f>
        <v>0</v>
      </c>
      <c r="Y657" s="22">
        <f>IF(H657="Active",0,1)</f>
        <v>0</v>
      </c>
    </row>
    <row r="658" spans="1:25" ht="18" customHeight="1" x14ac:dyDescent="0.35">
      <c r="A658" s="8" t="s">
        <v>586</v>
      </c>
      <c r="B658" s="8" t="s">
        <v>587</v>
      </c>
      <c r="C658" s="8" t="s">
        <v>34</v>
      </c>
      <c r="D658" s="9">
        <v>59</v>
      </c>
      <c r="E658" s="8" t="s">
        <v>2304</v>
      </c>
      <c r="F658" s="8" t="s">
        <v>79</v>
      </c>
      <c r="G658" s="10">
        <v>45790</v>
      </c>
      <c r="H658" s="8" t="s">
        <v>26</v>
      </c>
      <c r="I658" s="8" t="s">
        <v>27</v>
      </c>
      <c r="J658" s="8" t="s">
        <v>2268</v>
      </c>
      <c r="K658" s="8" t="s">
        <v>28</v>
      </c>
      <c r="L658" s="8" t="s">
        <v>87</v>
      </c>
      <c r="M658" s="8" t="s">
        <v>64</v>
      </c>
      <c r="N658" s="11">
        <v>107765</v>
      </c>
      <c r="O658" s="11">
        <v>26187</v>
      </c>
      <c r="P658" s="12">
        <v>89.3</v>
      </c>
      <c r="Q658" s="9">
        <v>0</v>
      </c>
      <c r="R658" s="13">
        <v>29</v>
      </c>
      <c r="S658" s="13">
        <v>1</v>
      </c>
      <c r="T658" s="9">
        <v>31</v>
      </c>
      <c r="U658" s="13">
        <v>78</v>
      </c>
      <c r="V658" s="8" t="s">
        <v>31</v>
      </c>
      <c r="W658" s="8"/>
      <c r="X658" s="22">
        <f>IF(V658="Yes",1,0)</f>
        <v>0</v>
      </c>
      <c r="Y658" s="22">
        <f>IF(H658="Active",0,1)</f>
        <v>0</v>
      </c>
    </row>
    <row r="659" spans="1:25" ht="18" customHeight="1" x14ac:dyDescent="0.35">
      <c r="A659" s="14" t="s">
        <v>634</v>
      </c>
      <c r="B659" s="14" t="s">
        <v>232</v>
      </c>
      <c r="C659" s="14" t="s">
        <v>25</v>
      </c>
      <c r="D659" s="15">
        <v>59</v>
      </c>
      <c r="E659" s="14" t="s">
        <v>67</v>
      </c>
      <c r="F659" s="14" t="s">
        <v>79</v>
      </c>
      <c r="G659" s="16">
        <v>45790</v>
      </c>
      <c r="H659" s="14" t="s">
        <v>26</v>
      </c>
      <c r="I659" s="14" t="s">
        <v>36</v>
      </c>
      <c r="J659" s="14" t="s">
        <v>2268</v>
      </c>
      <c r="K659" s="14" t="s">
        <v>55</v>
      </c>
      <c r="L659" s="14" t="s">
        <v>116</v>
      </c>
      <c r="M659" s="14" t="s">
        <v>30</v>
      </c>
      <c r="N659" s="17">
        <v>136506</v>
      </c>
      <c r="O659" s="17">
        <v>6648</v>
      </c>
      <c r="P659" s="18">
        <v>89.1</v>
      </c>
      <c r="Q659" s="15">
        <v>6</v>
      </c>
      <c r="R659" s="19">
        <v>21</v>
      </c>
      <c r="S659" s="19">
        <v>1</v>
      </c>
      <c r="T659" s="15">
        <v>24</v>
      </c>
      <c r="U659" s="19">
        <v>77</v>
      </c>
      <c r="V659" s="14" t="s">
        <v>31</v>
      </c>
      <c r="W659" s="14"/>
      <c r="X659" s="14">
        <f>IF(V659="Yes",1,0)</f>
        <v>0</v>
      </c>
      <c r="Y659" s="14">
        <f>IF(H659="Active",0,1)</f>
        <v>0</v>
      </c>
    </row>
    <row r="660" spans="1:25" ht="18" customHeight="1" x14ac:dyDescent="0.35">
      <c r="A660" s="14" t="s">
        <v>1100</v>
      </c>
      <c r="B660" s="14" t="s">
        <v>278</v>
      </c>
      <c r="C660" s="14" t="s">
        <v>25</v>
      </c>
      <c r="D660" s="15">
        <v>28</v>
      </c>
      <c r="E660" s="14" t="s">
        <v>109</v>
      </c>
      <c r="F660" s="14" t="s">
        <v>76</v>
      </c>
      <c r="G660" s="16">
        <v>45790</v>
      </c>
      <c r="H660" s="14" t="s">
        <v>26</v>
      </c>
      <c r="I660" s="14" t="s">
        <v>2267</v>
      </c>
      <c r="J660" s="14" t="s">
        <v>2268</v>
      </c>
      <c r="K660" s="14" t="s">
        <v>2271</v>
      </c>
      <c r="L660" s="14" t="s">
        <v>68</v>
      </c>
      <c r="M660" s="14" t="s">
        <v>45</v>
      </c>
      <c r="N660" s="17">
        <v>136291</v>
      </c>
      <c r="O660" s="17">
        <v>29214</v>
      </c>
      <c r="P660" s="18">
        <v>80.7</v>
      </c>
      <c r="Q660" s="15">
        <v>8</v>
      </c>
      <c r="R660" s="19">
        <v>5</v>
      </c>
      <c r="S660" s="19">
        <v>1</v>
      </c>
      <c r="T660" s="15">
        <v>6</v>
      </c>
      <c r="U660" s="19">
        <v>78</v>
      </c>
      <c r="V660" s="14" t="s">
        <v>31</v>
      </c>
      <c r="W660" s="14"/>
      <c r="X660" s="14">
        <f>IF(V660="Yes",1,0)</f>
        <v>0</v>
      </c>
      <c r="Y660" s="14">
        <f>IF(H660="Active",0,1)</f>
        <v>0</v>
      </c>
    </row>
    <row r="661" spans="1:25" ht="18" customHeight="1" x14ac:dyDescent="0.35">
      <c r="A661" s="14" t="s">
        <v>1154</v>
      </c>
      <c r="B661" s="14" t="s">
        <v>1155</v>
      </c>
      <c r="C661" s="14" t="s">
        <v>25</v>
      </c>
      <c r="D661" s="15">
        <v>40</v>
      </c>
      <c r="E661" s="14" t="s">
        <v>63</v>
      </c>
      <c r="F661" s="14" t="s">
        <v>53</v>
      </c>
      <c r="G661" s="16">
        <v>45790</v>
      </c>
      <c r="H661" s="14" t="s">
        <v>26</v>
      </c>
      <c r="I661" s="14" t="s">
        <v>27</v>
      </c>
      <c r="J661" s="14" t="s">
        <v>2270</v>
      </c>
      <c r="K661" s="14" t="s">
        <v>2271</v>
      </c>
      <c r="L661" s="14" t="s">
        <v>116</v>
      </c>
      <c r="M661" s="14" t="s">
        <v>64</v>
      </c>
      <c r="N661" s="17">
        <v>130599</v>
      </c>
      <c r="O661" s="17">
        <v>10750</v>
      </c>
      <c r="P661" s="18">
        <v>95.3</v>
      </c>
      <c r="Q661" s="15">
        <v>8</v>
      </c>
      <c r="R661" s="19">
        <v>13</v>
      </c>
      <c r="S661" s="19">
        <v>2</v>
      </c>
      <c r="T661" s="15">
        <v>19</v>
      </c>
      <c r="U661" s="19">
        <v>89</v>
      </c>
      <c r="V661" s="14" t="s">
        <v>31</v>
      </c>
      <c r="W661" s="14"/>
      <c r="X661" s="14">
        <f>IF(V661="Yes",1,0)</f>
        <v>0</v>
      </c>
      <c r="Y661" s="14">
        <f>IF(H661="Active",0,1)</f>
        <v>0</v>
      </c>
    </row>
    <row r="662" spans="1:25" ht="18" customHeight="1" x14ac:dyDescent="0.35">
      <c r="A662" s="14" t="s">
        <v>58</v>
      </c>
      <c r="B662" s="14" t="s">
        <v>59</v>
      </c>
      <c r="C662" s="14" t="s">
        <v>25</v>
      </c>
      <c r="D662" s="15">
        <v>22</v>
      </c>
      <c r="E662" s="14" t="s">
        <v>42</v>
      </c>
      <c r="F662" s="14" t="s">
        <v>43</v>
      </c>
      <c r="G662" s="16">
        <v>45789</v>
      </c>
      <c r="H662" s="14" t="s">
        <v>26</v>
      </c>
      <c r="I662" s="14" t="s">
        <v>27</v>
      </c>
      <c r="J662" s="14" t="s">
        <v>2270</v>
      </c>
      <c r="K662" s="14" t="s">
        <v>2271</v>
      </c>
      <c r="L662" s="14" t="s">
        <v>44</v>
      </c>
      <c r="M662" s="14" t="s">
        <v>60</v>
      </c>
      <c r="N662" s="17">
        <v>210145</v>
      </c>
      <c r="O662" s="17">
        <v>44098</v>
      </c>
      <c r="P662" s="18">
        <v>85.7</v>
      </c>
      <c r="Q662" s="15">
        <v>8</v>
      </c>
      <c r="R662" s="19">
        <v>15</v>
      </c>
      <c r="S662" s="19">
        <v>3</v>
      </c>
      <c r="T662" s="15">
        <v>17</v>
      </c>
      <c r="U662" s="19">
        <v>91</v>
      </c>
      <c r="V662" s="14" t="s">
        <v>31</v>
      </c>
      <c r="W662" s="14"/>
      <c r="X662" s="14">
        <f>IF(V662="Yes",1,0)</f>
        <v>0</v>
      </c>
      <c r="Y662" s="14">
        <f>IF(H662="Active",0,1)</f>
        <v>0</v>
      </c>
    </row>
    <row r="663" spans="1:25" ht="18" customHeight="1" x14ac:dyDescent="0.35">
      <c r="A663" s="8" t="s">
        <v>1395</v>
      </c>
      <c r="B663" s="8" t="s">
        <v>181</v>
      </c>
      <c r="C663" s="8" t="s">
        <v>34</v>
      </c>
      <c r="D663" s="9">
        <v>30</v>
      </c>
      <c r="E663" s="8" t="s">
        <v>2304</v>
      </c>
      <c r="F663" s="8" t="s">
        <v>43</v>
      </c>
      <c r="G663" s="10">
        <v>45789</v>
      </c>
      <c r="H663" s="8" t="s">
        <v>26</v>
      </c>
      <c r="I663" s="8" t="s">
        <v>27</v>
      </c>
      <c r="J663" s="8" t="s">
        <v>80</v>
      </c>
      <c r="K663" s="8" t="s">
        <v>2271</v>
      </c>
      <c r="L663" s="8" t="s">
        <v>29</v>
      </c>
      <c r="M663" s="8" t="s">
        <v>64</v>
      </c>
      <c r="N663" s="11">
        <v>73108</v>
      </c>
      <c r="O663" s="11">
        <v>17689</v>
      </c>
      <c r="P663" s="12">
        <v>86.9</v>
      </c>
      <c r="Q663" s="9">
        <v>1</v>
      </c>
      <c r="R663" s="13">
        <v>16</v>
      </c>
      <c r="S663" s="13">
        <v>3</v>
      </c>
      <c r="T663" s="9">
        <v>26</v>
      </c>
      <c r="U663" s="13">
        <v>85</v>
      </c>
      <c r="V663" s="8" t="s">
        <v>31</v>
      </c>
      <c r="W663" s="8"/>
      <c r="X663" s="22">
        <f>IF(V663="Yes",1,0)</f>
        <v>0</v>
      </c>
      <c r="Y663" s="22">
        <f>IF(H663="Active",0,1)</f>
        <v>0</v>
      </c>
    </row>
    <row r="664" spans="1:25" ht="18" customHeight="1" x14ac:dyDescent="0.35">
      <c r="A664" s="8" t="s">
        <v>2017</v>
      </c>
      <c r="B664" s="8" t="s">
        <v>1015</v>
      </c>
      <c r="C664" s="8" t="s">
        <v>34</v>
      </c>
      <c r="D664" s="9">
        <v>25</v>
      </c>
      <c r="E664" s="8" t="s">
        <v>109</v>
      </c>
      <c r="F664" s="8" t="s">
        <v>35</v>
      </c>
      <c r="G664" s="10">
        <v>45789</v>
      </c>
      <c r="H664" s="8" t="s">
        <v>26</v>
      </c>
      <c r="I664" s="8" t="s">
        <v>36</v>
      </c>
      <c r="J664" s="8" t="s">
        <v>2268</v>
      </c>
      <c r="K664" s="8" t="s">
        <v>2271</v>
      </c>
      <c r="L664" s="8" t="s">
        <v>68</v>
      </c>
      <c r="M664" s="8" t="s">
        <v>60</v>
      </c>
      <c r="N664" s="11">
        <v>122176</v>
      </c>
      <c r="O664" s="11">
        <v>37414</v>
      </c>
      <c r="P664" s="12">
        <v>83.8</v>
      </c>
      <c r="Q664" s="9">
        <v>2</v>
      </c>
      <c r="R664" s="13">
        <v>16</v>
      </c>
      <c r="S664" s="13">
        <v>1</v>
      </c>
      <c r="T664" s="9">
        <v>17</v>
      </c>
      <c r="U664" s="13">
        <v>63</v>
      </c>
      <c r="V664" s="8" t="s">
        <v>31</v>
      </c>
      <c r="W664" s="8"/>
      <c r="X664" s="22">
        <f>IF(V664="Yes",1,0)</f>
        <v>0</v>
      </c>
      <c r="Y664" s="22">
        <f>IF(H664="Active",0,1)</f>
        <v>0</v>
      </c>
    </row>
    <row r="665" spans="1:25" ht="18" customHeight="1" x14ac:dyDescent="0.35">
      <c r="A665" s="14" t="s">
        <v>678</v>
      </c>
      <c r="B665" s="14" t="s">
        <v>134</v>
      </c>
      <c r="C665" s="14" t="s">
        <v>34</v>
      </c>
      <c r="D665" s="15">
        <v>58</v>
      </c>
      <c r="E665" s="14" t="s">
        <v>52</v>
      </c>
      <c r="F665" s="14" t="s">
        <v>53</v>
      </c>
      <c r="G665" s="16">
        <v>45788</v>
      </c>
      <c r="H665" s="14" t="s">
        <v>26</v>
      </c>
      <c r="I665" s="14" t="s">
        <v>2267</v>
      </c>
      <c r="J665" s="14" t="s">
        <v>48</v>
      </c>
      <c r="K665" s="14" t="s">
        <v>2271</v>
      </c>
      <c r="L665" s="14" t="s">
        <v>29</v>
      </c>
      <c r="M665" s="14" t="s">
        <v>30</v>
      </c>
      <c r="N665" s="17">
        <v>149439</v>
      </c>
      <c r="O665" s="17">
        <v>7342</v>
      </c>
      <c r="P665" s="18">
        <v>91</v>
      </c>
      <c r="Q665" s="15">
        <v>1</v>
      </c>
      <c r="R665" s="19">
        <v>12</v>
      </c>
      <c r="S665" s="19">
        <v>1</v>
      </c>
      <c r="T665" s="15">
        <v>35</v>
      </c>
      <c r="U665" s="19">
        <v>70</v>
      </c>
      <c r="V665" s="14" t="s">
        <v>69</v>
      </c>
      <c r="W665" s="14"/>
      <c r="X665" s="14">
        <f>IF(V665="Yes",1,0)</f>
        <v>1</v>
      </c>
      <c r="Y665" s="14">
        <f>IF(H665="Active",0,1)</f>
        <v>0</v>
      </c>
    </row>
    <row r="666" spans="1:25" ht="18" customHeight="1" x14ac:dyDescent="0.35">
      <c r="A666" s="14" t="s">
        <v>1798</v>
      </c>
      <c r="B666" s="14" t="s">
        <v>694</v>
      </c>
      <c r="C666" s="14" t="s">
        <v>25</v>
      </c>
      <c r="D666" s="15">
        <v>53</v>
      </c>
      <c r="E666" s="14" t="s">
        <v>2303</v>
      </c>
      <c r="F666" s="14" t="s">
        <v>53</v>
      </c>
      <c r="G666" s="16">
        <v>45788</v>
      </c>
      <c r="H666" s="14" t="s">
        <v>26</v>
      </c>
      <c r="I666" s="14" t="s">
        <v>36</v>
      </c>
      <c r="J666" s="14" t="s">
        <v>2268</v>
      </c>
      <c r="K666" s="14" t="s">
        <v>37</v>
      </c>
      <c r="L666" s="14" t="s">
        <v>56</v>
      </c>
      <c r="M666" s="14" t="s">
        <v>39</v>
      </c>
      <c r="N666" s="17">
        <v>92660</v>
      </c>
      <c r="O666" s="17">
        <v>44779</v>
      </c>
      <c r="P666" s="18">
        <v>98.8</v>
      </c>
      <c r="Q666" s="15">
        <v>3</v>
      </c>
      <c r="R666" s="19">
        <v>3</v>
      </c>
      <c r="S666" s="19">
        <v>5</v>
      </c>
      <c r="T666" s="15">
        <v>20</v>
      </c>
      <c r="U666" s="19">
        <v>64</v>
      </c>
      <c r="V666" s="14" t="s">
        <v>31</v>
      </c>
      <c r="W666" s="14"/>
      <c r="X666" s="14">
        <f>IF(V666="Yes",1,0)</f>
        <v>0</v>
      </c>
      <c r="Y666" s="14">
        <f>IF(H666="Active",0,1)</f>
        <v>0</v>
      </c>
    </row>
    <row r="667" spans="1:25" ht="18" customHeight="1" x14ac:dyDescent="0.35">
      <c r="A667" s="8" t="s">
        <v>1809</v>
      </c>
      <c r="B667" s="8" t="s">
        <v>372</v>
      </c>
      <c r="C667" s="8" t="s">
        <v>25</v>
      </c>
      <c r="D667" s="9">
        <v>53</v>
      </c>
      <c r="E667" s="8" t="s">
        <v>2303</v>
      </c>
      <c r="F667" s="8" t="s">
        <v>72</v>
      </c>
      <c r="G667" s="10">
        <v>45788</v>
      </c>
      <c r="H667" s="8" t="s">
        <v>26</v>
      </c>
      <c r="I667" s="8" t="s">
        <v>2267</v>
      </c>
      <c r="J667" s="8" t="s">
        <v>2269</v>
      </c>
      <c r="K667" s="8" t="s">
        <v>55</v>
      </c>
      <c r="L667" s="8" t="s">
        <v>116</v>
      </c>
      <c r="M667" s="8" t="s">
        <v>30</v>
      </c>
      <c r="N667" s="11">
        <v>113550</v>
      </c>
      <c r="O667" s="11">
        <v>44470</v>
      </c>
      <c r="P667" s="12">
        <v>88.3</v>
      </c>
      <c r="Q667" s="9">
        <v>10</v>
      </c>
      <c r="R667" s="13">
        <v>29</v>
      </c>
      <c r="S667" s="13">
        <v>3</v>
      </c>
      <c r="T667" s="9">
        <v>25</v>
      </c>
      <c r="U667" s="13">
        <v>75</v>
      </c>
      <c r="V667" s="8" t="s">
        <v>69</v>
      </c>
      <c r="W667" s="8"/>
      <c r="X667" s="22">
        <f>IF(V667="Yes",1,0)</f>
        <v>1</v>
      </c>
      <c r="Y667" s="22">
        <f>IF(H667="Active",0,1)</f>
        <v>0</v>
      </c>
    </row>
    <row r="668" spans="1:25" ht="18" customHeight="1" x14ac:dyDescent="0.35">
      <c r="A668" s="8" t="s">
        <v>1893</v>
      </c>
      <c r="B668" s="8" t="s">
        <v>297</v>
      </c>
      <c r="C668" s="8" t="s">
        <v>34</v>
      </c>
      <c r="D668" s="9">
        <v>34</v>
      </c>
      <c r="E668" s="8" t="s">
        <v>93</v>
      </c>
      <c r="F668" s="8" t="s">
        <v>43</v>
      </c>
      <c r="G668" s="10">
        <v>45788</v>
      </c>
      <c r="H668" s="8" t="s">
        <v>54</v>
      </c>
      <c r="I668" s="8" t="s">
        <v>27</v>
      </c>
      <c r="J668" s="8" t="s">
        <v>2270</v>
      </c>
      <c r="K668" s="8" t="s">
        <v>73</v>
      </c>
      <c r="L668" s="8" t="s">
        <v>29</v>
      </c>
      <c r="M668" s="8" t="s">
        <v>30</v>
      </c>
      <c r="N668" s="11">
        <v>111076</v>
      </c>
      <c r="O668" s="11">
        <v>36079</v>
      </c>
      <c r="P668" s="12">
        <v>86.2</v>
      </c>
      <c r="Q668" s="9">
        <v>9</v>
      </c>
      <c r="R668" s="13">
        <v>11</v>
      </c>
      <c r="S668" s="13">
        <v>1</v>
      </c>
      <c r="T668" s="9">
        <v>27</v>
      </c>
      <c r="U668" s="13">
        <v>73</v>
      </c>
      <c r="V668" s="8" t="s">
        <v>69</v>
      </c>
      <c r="W668" s="8" t="s">
        <v>123</v>
      </c>
      <c r="X668" s="22">
        <f>IF(V668="Yes",1,0)</f>
        <v>1</v>
      </c>
      <c r="Y668" s="22">
        <f>IF(H668="Active",0,1)</f>
        <v>1</v>
      </c>
    </row>
    <row r="669" spans="1:25" ht="18" customHeight="1" x14ac:dyDescent="0.35">
      <c r="A669" s="14" t="s">
        <v>482</v>
      </c>
      <c r="B669" s="14" t="s">
        <v>254</v>
      </c>
      <c r="C669" s="14" t="s">
        <v>34</v>
      </c>
      <c r="D669" s="15">
        <v>43</v>
      </c>
      <c r="E669" s="14" t="s">
        <v>52</v>
      </c>
      <c r="F669" s="14" t="s">
        <v>79</v>
      </c>
      <c r="G669" s="16">
        <v>45787</v>
      </c>
      <c r="H669" s="14" t="s">
        <v>26</v>
      </c>
      <c r="I669" s="14" t="s">
        <v>27</v>
      </c>
      <c r="J669" s="14" t="s">
        <v>2270</v>
      </c>
      <c r="K669" s="14" t="s">
        <v>28</v>
      </c>
      <c r="L669" s="14" t="s">
        <v>44</v>
      </c>
      <c r="M669" s="14" t="s">
        <v>30</v>
      </c>
      <c r="N669" s="17">
        <v>78993</v>
      </c>
      <c r="O669" s="17">
        <v>45509</v>
      </c>
      <c r="P669" s="18">
        <v>85</v>
      </c>
      <c r="Q669" s="15">
        <v>5</v>
      </c>
      <c r="R669" s="19">
        <v>24</v>
      </c>
      <c r="S669" s="19">
        <v>2</v>
      </c>
      <c r="T669" s="15">
        <v>18</v>
      </c>
      <c r="U669" s="19">
        <v>100</v>
      </c>
      <c r="V669" s="14" t="s">
        <v>31</v>
      </c>
      <c r="W669" s="14"/>
      <c r="X669" s="14">
        <f>IF(V669="Yes",1,0)</f>
        <v>0</v>
      </c>
      <c r="Y669" s="14">
        <f>IF(H669="Active",0,1)</f>
        <v>0</v>
      </c>
    </row>
    <row r="670" spans="1:25" ht="18" customHeight="1" x14ac:dyDescent="0.35">
      <c r="A670" s="14" t="s">
        <v>1480</v>
      </c>
      <c r="B670" s="14" t="s">
        <v>254</v>
      </c>
      <c r="C670" s="14" t="s">
        <v>25</v>
      </c>
      <c r="D670" s="15">
        <v>58</v>
      </c>
      <c r="E670" s="14" t="s">
        <v>2303</v>
      </c>
      <c r="F670" s="14" t="s">
        <v>53</v>
      </c>
      <c r="G670" s="16">
        <v>45787</v>
      </c>
      <c r="H670" s="14" t="s">
        <v>26</v>
      </c>
      <c r="I670" s="14" t="s">
        <v>27</v>
      </c>
      <c r="J670" s="14" t="s">
        <v>2269</v>
      </c>
      <c r="K670" s="14" t="s">
        <v>28</v>
      </c>
      <c r="L670" s="14" t="s">
        <v>38</v>
      </c>
      <c r="M670" s="14" t="s">
        <v>30</v>
      </c>
      <c r="N670" s="17">
        <v>153135</v>
      </c>
      <c r="O670" s="17">
        <v>19518</v>
      </c>
      <c r="P670" s="18">
        <v>93.3</v>
      </c>
      <c r="Q670" s="15">
        <v>8</v>
      </c>
      <c r="R670" s="19">
        <v>12</v>
      </c>
      <c r="S670" s="19">
        <v>4</v>
      </c>
      <c r="T670" s="15">
        <v>7</v>
      </c>
      <c r="U670" s="19">
        <v>75</v>
      </c>
      <c r="V670" s="14" t="s">
        <v>31</v>
      </c>
      <c r="W670" s="14"/>
      <c r="X670" s="14">
        <f>IF(V670="Yes",1,0)</f>
        <v>0</v>
      </c>
      <c r="Y670" s="14">
        <f>IF(H670="Active",0,1)</f>
        <v>0</v>
      </c>
    </row>
    <row r="671" spans="1:25" ht="18" customHeight="1" x14ac:dyDescent="0.35">
      <c r="A671" s="8" t="s">
        <v>1397</v>
      </c>
      <c r="B671" s="8" t="s">
        <v>252</v>
      </c>
      <c r="C671" s="8" t="s">
        <v>34</v>
      </c>
      <c r="D671" s="9">
        <v>42</v>
      </c>
      <c r="E671" s="8" t="s">
        <v>42</v>
      </c>
      <c r="F671" s="8" t="s">
        <v>79</v>
      </c>
      <c r="G671" s="10">
        <v>45786</v>
      </c>
      <c r="H671" s="8" t="s">
        <v>26</v>
      </c>
      <c r="I671" s="8" t="s">
        <v>36</v>
      </c>
      <c r="J671" s="8" t="s">
        <v>48</v>
      </c>
      <c r="K671" s="8" t="s">
        <v>37</v>
      </c>
      <c r="L671" s="8" t="s">
        <v>116</v>
      </c>
      <c r="M671" s="8" t="s">
        <v>45</v>
      </c>
      <c r="N671" s="11">
        <v>138841</v>
      </c>
      <c r="O671" s="11">
        <v>38070</v>
      </c>
      <c r="P671" s="12">
        <v>83</v>
      </c>
      <c r="Q671" s="9">
        <v>10</v>
      </c>
      <c r="R671" s="13">
        <v>21</v>
      </c>
      <c r="S671" s="13">
        <v>3</v>
      </c>
      <c r="T671" s="9">
        <v>18</v>
      </c>
      <c r="U671" s="13">
        <v>73</v>
      </c>
      <c r="V671" s="8" t="s">
        <v>31</v>
      </c>
      <c r="W671" s="8"/>
      <c r="X671" s="22">
        <f>IF(V671="Yes",1,0)</f>
        <v>0</v>
      </c>
      <c r="Y671" s="22">
        <f>IF(H671="Active",0,1)</f>
        <v>0</v>
      </c>
    </row>
    <row r="672" spans="1:25" ht="18" customHeight="1" x14ac:dyDescent="0.35">
      <c r="A672" s="14" t="s">
        <v>1502</v>
      </c>
      <c r="B672" s="14" t="s">
        <v>333</v>
      </c>
      <c r="C672" s="14" t="s">
        <v>34</v>
      </c>
      <c r="D672" s="15">
        <v>56</v>
      </c>
      <c r="E672" s="14" t="s">
        <v>42</v>
      </c>
      <c r="F672" s="14" t="s">
        <v>43</v>
      </c>
      <c r="G672" s="16">
        <v>45786</v>
      </c>
      <c r="H672" s="14" t="s">
        <v>26</v>
      </c>
      <c r="I672" s="14" t="s">
        <v>2267</v>
      </c>
      <c r="J672" s="14" t="s">
        <v>2268</v>
      </c>
      <c r="K672" s="14" t="s">
        <v>55</v>
      </c>
      <c r="L672" s="14" t="s">
        <v>44</v>
      </c>
      <c r="M672" s="14" t="s">
        <v>60</v>
      </c>
      <c r="N672" s="17">
        <v>209237</v>
      </c>
      <c r="O672" s="17">
        <v>28888</v>
      </c>
      <c r="P672" s="18">
        <v>88</v>
      </c>
      <c r="Q672" s="15">
        <v>7</v>
      </c>
      <c r="R672" s="19">
        <v>5</v>
      </c>
      <c r="S672" s="19">
        <v>4</v>
      </c>
      <c r="T672" s="15">
        <v>1</v>
      </c>
      <c r="U672" s="19">
        <v>80</v>
      </c>
      <c r="V672" s="14" t="s">
        <v>31</v>
      </c>
      <c r="W672" s="14"/>
      <c r="X672" s="14">
        <f>IF(V672="Yes",1,0)</f>
        <v>0</v>
      </c>
      <c r="Y672" s="14">
        <f>IF(H672="Active",0,1)</f>
        <v>0</v>
      </c>
    </row>
    <row r="673" spans="1:25" ht="18" customHeight="1" x14ac:dyDescent="0.35">
      <c r="A673" s="14" t="s">
        <v>1962</v>
      </c>
      <c r="B673" s="14" t="s">
        <v>806</v>
      </c>
      <c r="C673" s="14" t="s">
        <v>25</v>
      </c>
      <c r="D673" s="15">
        <v>28</v>
      </c>
      <c r="E673" s="14" t="s">
        <v>67</v>
      </c>
      <c r="F673" s="14" t="s">
        <v>90</v>
      </c>
      <c r="G673" s="16">
        <v>45786</v>
      </c>
      <c r="H673" s="14" t="s">
        <v>26</v>
      </c>
      <c r="I673" s="14" t="s">
        <v>36</v>
      </c>
      <c r="J673" s="14" t="s">
        <v>2268</v>
      </c>
      <c r="K673" s="14" t="s">
        <v>28</v>
      </c>
      <c r="L673" s="14" t="s">
        <v>87</v>
      </c>
      <c r="M673" s="14" t="s">
        <v>60</v>
      </c>
      <c r="N673" s="17">
        <v>167892</v>
      </c>
      <c r="O673" s="17">
        <v>41393</v>
      </c>
      <c r="P673" s="18">
        <v>80.3</v>
      </c>
      <c r="Q673" s="15">
        <v>2</v>
      </c>
      <c r="R673" s="19">
        <v>10</v>
      </c>
      <c r="S673" s="19">
        <v>1</v>
      </c>
      <c r="T673" s="15">
        <v>26</v>
      </c>
      <c r="U673" s="19">
        <v>70</v>
      </c>
      <c r="V673" s="14" t="s">
        <v>31</v>
      </c>
      <c r="W673" s="14"/>
      <c r="X673" s="14">
        <f>IF(V673="Yes",1,0)</f>
        <v>0</v>
      </c>
      <c r="Y673" s="14">
        <f>IF(H673="Active",0,1)</f>
        <v>0</v>
      </c>
    </row>
    <row r="674" spans="1:25" ht="18" customHeight="1" x14ac:dyDescent="0.35">
      <c r="A674" s="14" t="s">
        <v>2146</v>
      </c>
      <c r="B674" s="14" t="s">
        <v>548</v>
      </c>
      <c r="C674" s="14" t="s">
        <v>25</v>
      </c>
      <c r="D674" s="15">
        <v>49</v>
      </c>
      <c r="E674" s="14" t="s">
        <v>52</v>
      </c>
      <c r="F674" s="14" t="s">
        <v>12</v>
      </c>
      <c r="G674" s="16">
        <v>45786</v>
      </c>
      <c r="H674" s="14" t="s">
        <v>54</v>
      </c>
      <c r="I674" s="14" t="s">
        <v>36</v>
      </c>
      <c r="J674" s="14" t="s">
        <v>2268</v>
      </c>
      <c r="K674" s="14" t="s">
        <v>55</v>
      </c>
      <c r="L674" s="14" t="s">
        <v>87</v>
      </c>
      <c r="M674" s="14" t="s">
        <v>39</v>
      </c>
      <c r="N674" s="17">
        <v>38029</v>
      </c>
      <c r="O674" s="17">
        <v>24986</v>
      </c>
      <c r="P674" s="18">
        <v>92.4</v>
      </c>
      <c r="Q674" s="15">
        <v>2</v>
      </c>
      <c r="R674" s="19">
        <v>16</v>
      </c>
      <c r="S674" s="19">
        <v>5</v>
      </c>
      <c r="T674" s="15">
        <v>7</v>
      </c>
      <c r="U674" s="19">
        <v>73</v>
      </c>
      <c r="V674" s="14" t="s">
        <v>31</v>
      </c>
      <c r="W674" s="14" t="s">
        <v>123</v>
      </c>
      <c r="X674" s="14">
        <f>IF(V674="Yes",1,0)</f>
        <v>0</v>
      </c>
      <c r="Y674" s="14">
        <f>IF(H674="Active",0,1)</f>
        <v>1</v>
      </c>
    </row>
    <row r="675" spans="1:25" ht="18" customHeight="1" x14ac:dyDescent="0.35">
      <c r="A675" s="8" t="s">
        <v>916</v>
      </c>
      <c r="B675" s="8" t="s">
        <v>181</v>
      </c>
      <c r="C675" s="8" t="s">
        <v>25</v>
      </c>
      <c r="D675" s="9">
        <v>54</v>
      </c>
      <c r="E675" s="8" t="s">
        <v>93</v>
      </c>
      <c r="F675" s="8" t="s">
        <v>76</v>
      </c>
      <c r="G675" s="10">
        <v>45785</v>
      </c>
      <c r="H675" s="8" t="s">
        <v>26</v>
      </c>
      <c r="I675" s="8" t="s">
        <v>27</v>
      </c>
      <c r="J675" s="8" t="s">
        <v>2268</v>
      </c>
      <c r="K675" s="8" t="s">
        <v>2271</v>
      </c>
      <c r="L675" s="8" t="s">
        <v>56</v>
      </c>
      <c r="M675" s="8" t="s">
        <v>39</v>
      </c>
      <c r="N675" s="11">
        <v>122473</v>
      </c>
      <c r="O675" s="11">
        <v>23846</v>
      </c>
      <c r="P675" s="12">
        <v>86.3</v>
      </c>
      <c r="Q675" s="9">
        <v>3</v>
      </c>
      <c r="R675" s="13">
        <v>22</v>
      </c>
      <c r="S675" s="13">
        <v>5</v>
      </c>
      <c r="T675" s="9">
        <v>38</v>
      </c>
      <c r="U675" s="13">
        <v>88</v>
      </c>
      <c r="V675" s="8" t="s">
        <v>69</v>
      </c>
      <c r="W675" s="8"/>
      <c r="X675" s="22">
        <f>IF(V675="Yes",1,0)</f>
        <v>1</v>
      </c>
      <c r="Y675" s="22">
        <f>IF(H675="Active",0,1)</f>
        <v>0</v>
      </c>
    </row>
    <row r="676" spans="1:25" ht="18" customHeight="1" x14ac:dyDescent="0.35">
      <c r="A676" s="8" t="s">
        <v>1623</v>
      </c>
      <c r="B676" s="8" t="s">
        <v>146</v>
      </c>
      <c r="C676" s="8" t="s">
        <v>34</v>
      </c>
      <c r="D676" s="9">
        <v>21</v>
      </c>
      <c r="E676" s="8" t="s">
        <v>52</v>
      </c>
      <c r="F676" s="8" t="s">
        <v>53</v>
      </c>
      <c r="G676" s="10">
        <v>45785</v>
      </c>
      <c r="H676" s="8" t="s">
        <v>26</v>
      </c>
      <c r="I676" s="8" t="s">
        <v>27</v>
      </c>
      <c r="J676" s="8" t="s">
        <v>48</v>
      </c>
      <c r="K676" s="8" t="s">
        <v>28</v>
      </c>
      <c r="L676" s="8" t="s">
        <v>116</v>
      </c>
      <c r="M676" s="8" t="s">
        <v>64</v>
      </c>
      <c r="N676" s="11">
        <v>236080</v>
      </c>
      <c r="O676" s="11">
        <v>33787</v>
      </c>
      <c r="P676" s="12">
        <v>86.7</v>
      </c>
      <c r="Q676" s="9">
        <v>4</v>
      </c>
      <c r="R676" s="13">
        <v>16</v>
      </c>
      <c r="S676" s="13">
        <v>3</v>
      </c>
      <c r="T676" s="9">
        <v>27</v>
      </c>
      <c r="U676" s="13">
        <v>73</v>
      </c>
      <c r="V676" s="8" t="s">
        <v>31</v>
      </c>
      <c r="W676" s="8"/>
      <c r="X676" s="22">
        <f>IF(V676="Yes",1,0)</f>
        <v>0</v>
      </c>
      <c r="Y676" s="22">
        <f>IF(H676="Active",0,1)</f>
        <v>0</v>
      </c>
    </row>
    <row r="677" spans="1:25" ht="18" customHeight="1" x14ac:dyDescent="0.35">
      <c r="A677" s="8" t="s">
        <v>635</v>
      </c>
      <c r="B677" s="8" t="s">
        <v>358</v>
      </c>
      <c r="C677" s="8" t="s">
        <v>34</v>
      </c>
      <c r="D677" s="9">
        <v>23</v>
      </c>
      <c r="E677" s="8" t="s">
        <v>52</v>
      </c>
      <c r="F677" s="8" t="s">
        <v>76</v>
      </c>
      <c r="G677" s="10">
        <v>45784</v>
      </c>
      <c r="H677" s="8" t="s">
        <v>26</v>
      </c>
      <c r="I677" s="8" t="s">
        <v>2267</v>
      </c>
      <c r="J677" s="8" t="s">
        <v>2270</v>
      </c>
      <c r="K677" s="8" t="s">
        <v>2271</v>
      </c>
      <c r="L677" s="8" t="s">
        <v>116</v>
      </c>
      <c r="M677" s="8" t="s">
        <v>64</v>
      </c>
      <c r="N677" s="11">
        <v>121815</v>
      </c>
      <c r="O677" s="11">
        <v>32367</v>
      </c>
      <c r="P677" s="12">
        <v>94.2</v>
      </c>
      <c r="Q677" s="9">
        <v>6</v>
      </c>
      <c r="R677" s="13">
        <v>24</v>
      </c>
      <c r="S677" s="13">
        <v>4</v>
      </c>
      <c r="T677" s="9">
        <v>24</v>
      </c>
      <c r="U677" s="13">
        <v>73</v>
      </c>
      <c r="V677" s="8" t="s">
        <v>31</v>
      </c>
      <c r="W677" s="8"/>
      <c r="X677" s="22">
        <f>IF(V677="Yes",1,0)</f>
        <v>0</v>
      </c>
      <c r="Y677" s="22">
        <f>IF(H677="Active",0,1)</f>
        <v>0</v>
      </c>
    </row>
    <row r="678" spans="1:25" ht="18" customHeight="1" x14ac:dyDescent="0.35">
      <c r="A678" s="8" t="s">
        <v>1224</v>
      </c>
      <c r="B678" s="8" t="s">
        <v>1155</v>
      </c>
      <c r="C678" s="8" t="s">
        <v>25</v>
      </c>
      <c r="D678" s="9">
        <v>57</v>
      </c>
      <c r="E678" s="8" t="s">
        <v>42</v>
      </c>
      <c r="F678" s="8" t="s">
        <v>76</v>
      </c>
      <c r="G678" s="10">
        <v>45784</v>
      </c>
      <c r="H678" s="8" t="s">
        <v>26</v>
      </c>
      <c r="I678" s="8" t="s">
        <v>2267</v>
      </c>
      <c r="J678" s="8" t="s">
        <v>2270</v>
      </c>
      <c r="K678" s="8" t="s">
        <v>37</v>
      </c>
      <c r="L678" s="8" t="s">
        <v>56</v>
      </c>
      <c r="M678" s="8" t="s">
        <v>30</v>
      </c>
      <c r="N678" s="11">
        <v>195378</v>
      </c>
      <c r="O678" s="11">
        <v>19583</v>
      </c>
      <c r="P678" s="12">
        <v>85.1</v>
      </c>
      <c r="Q678" s="9">
        <v>0</v>
      </c>
      <c r="R678" s="13">
        <v>19</v>
      </c>
      <c r="S678" s="13">
        <v>3</v>
      </c>
      <c r="T678" s="9">
        <v>20</v>
      </c>
      <c r="U678" s="13">
        <v>99</v>
      </c>
      <c r="V678" s="8" t="s">
        <v>31</v>
      </c>
      <c r="W678" s="8"/>
      <c r="X678" s="22">
        <f>IF(V678="Yes",1,0)</f>
        <v>0</v>
      </c>
      <c r="Y678" s="22">
        <f>IF(H678="Active",0,1)</f>
        <v>0</v>
      </c>
    </row>
    <row r="679" spans="1:25" ht="18" customHeight="1" x14ac:dyDescent="0.35">
      <c r="A679" s="8" t="s">
        <v>1323</v>
      </c>
      <c r="B679" s="8" t="s">
        <v>526</v>
      </c>
      <c r="C679" s="8" t="s">
        <v>34</v>
      </c>
      <c r="D679" s="9">
        <v>59</v>
      </c>
      <c r="E679" s="8" t="s">
        <v>86</v>
      </c>
      <c r="F679" s="8" t="s">
        <v>72</v>
      </c>
      <c r="G679" s="10">
        <v>45784</v>
      </c>
      <c r="H679" s="8" t="s">
        <v>26</v>
      </c>
      <c r="I679" s="8" t="s">
        <v>2267</v>
      </c>
      <c r="J679" s="8" t="s">
        <v>2268</v>
      </c>
      <c r="K679" s="8" t="s">
        <v>55</v>
      </c>
      <c r="L679" s="8" t="s">
        <v>68</v>
      </c>
      <c r="M679" s="8" t="s">
        <v>30</v>
      </c>
      <c r="N679" s="11">
        <v>112722</v>
      </c>
      <c r="O679" s="11">
        <v>16794</v>
      </c>
      <c r="P679" s="12">
        <v>83</v>
      </c>
      <c r="Q679" s="9">
        <v>3</v>
      </c>
      <c r="R679" s="13">
        <v>23</v>
      </c>
      <c r="S679" s="13">
        <v>5</v>
      </c>
      <c r="T679" s="9">
        <v>7</v>
      </c>
      <c r="U679" s="13">
        <v>65</v>
      </c>
      <c r="V679" s="8" t="s">
        <v>31</v>
      </c>
      <c r="W679" s="8"/>
      <c r="X679" s="22">
        <f>IF(V679="Yes",1,0)</f>
        <v>0</v>
      </c>
      <c r="Y679" s="22">
        <f>IF(H679="Active",0,1)</f>
        <v>0</v>
      </c>
    </row>
    <row r="680" spans="1:25" ht="18" customHeight="1" x14ac:dyDescent="0.35">
      <c r="A680" s="8" t="s">
        <v>1611</v>
      </c>
      <c r="B680" s="8" t="s">
        <v>215</v>
      </c>
      <c r="C680" s="8" t="s">
        <v>34</v>
      </c>
      <c r="D680" s="9">
        <v>26</v>
      </c>
      <c r="E680" s="8" t="s">
        <v>63</v>
      </c>
      <c r="F680" s="8" t="s">
        <v>79</v>
      </c>
      <c r="G680" s="10">
        <v>45784</v>
      </c>
      <c r="H680" s="8" t="s">
        <v>26</v>
      </c>
      <c r="I680" s="8" t="s">
        <v>2267</v>
      </c>
      <c r="J680" s="8" t="s">
        <v>48</v>
      </c>
      <c r="K680" s="8" t="s">
        <v>2271</v>
      </c>
      <c r="L680" s="8" t="s">
        <v>38</v>
      </c>
      <c r="M680" s="8" t="s">
        <v>45</v>
      </c>
      <c r="N680" s="11">
        <v>128335</v>
      </c>
      <c r="O680" s="11">
        <v>35109</v>
      </c>
      <c r="P680" s="12">
        <v>98.5</v>
      </c>
      <c r="Q680" s="9">
        <v>5</v>
      </c>
      <c r="R680" s="13">
        <v>26</v>
      </c>
      <c r="S680" s="13">
        <v>2</v>
      </c>
      <c r="T680" s="9">
        <v>9</v>
      </c>
      <c r="U680" s="13">
        <v>60</v>
      </c>
      <c r="V680" s="8" t="s">
        <v>31</v>
      </c>
      <c r="W680" s="8"/>
      <c r="X680" s="22">
        <f>IF(V680="Yes",1,0)</f>
        <v>0</v>
      </c>
      <c r="Y680" s="22">
        <f>IF(H680="Active",0,1)</f>
        <v>0</v>
      </c>
    </row>
    <row r="681" spans="1:25" ht="18" customHeight="1" x14ac:dyDescent="0.35">
      <c r="A681" s="14" t="s">
        <v>2184</v>
      </c>
      <c r="B681" s="14" t="s">
        <v>201</v>
      </c>
      <c r="C681" s="14" t="s">
        <v>34</v>
      </c>
      <c r="D681" s="15">
        <v>34</v>
      </c>
      <c r="E681" s="14" t="s">
        <v>52</v>
      </c>
      <c r="F681" s="14" t="s">
        <v>90</v>
      </c>
      <c r="G681" s="16">
        <v>45783</v>
      </c>
      <c r="H681" s="14" t="s">
        <v>26</v>
      </c>
      <c r="I681" s="14" t="s">
        <v>36</v>
      </c>
      <c r="J681" s="14" t="s">
        <v>80</v>
      </c>
      <c r="K681" s="14" t="s">
        <v>28</v>
      </c>
      <c r="L681" s="14" t="s">
        <v>116</v>
      </c>
      <c r="M681" s="14" t="s">
        <v>39</v>
      </c>
      <c r="N681" s="17">
        <v>194423</v>
      </c>
      <c r="O681" s="17">
        <v>23223</v>
      </c>
      <c r="P681" s="18">
        <v>94.9</v>
      </c>
      <c r="Q681" s="15">
        <v>5</v>
      </c>
      <c r="R681" s="19">
        <v>29</v>
      </c>
      <c r="S681" s="19">
        <v>2</v>
      </c>
      <c r="T681" s="15">
        <v>34</v>
      </c>
      <c r="U681" s="19">
        <v>86</v>
      </c>
      <c r="V681" s="14" t="s">
        <v>31</v>
      </c>
      <c r="W681" s="14"/>
      <c r="X681" s="14">
        <f>IF(V681="Yes",1,0)</f>
        <v>0</v>
      </c>
      <c r="Y681" s="14">
        <f>IF(H681="Active",0,1)</f>
        <v>0</v>
      </c>
    </row>
    <row r="682" spans="1:25" ht="18" customHeight="1" x14ac:dyDescent="0.35">
      <c r="A682" s="14" t="s">
        <v>674</v>
      </c>
      <c r="B682" s="14" t="s">
        <v>120</v>
      </c>
      <c r="C682" s="14" t="s">
        <v>25</v>
      </c>
      <c r="D682" s="15">
        <v>33</v>
      </c>
      <c r="E682" s="14" t="s">
        <v>109</v>
      </c>
      <c r="F682" s="14" t="s">
        <v>72</v>
      </c>
      <c r="G682" s="16">
        <v>45782</v>
      </c>
      <c r="H682" s="14" t="s">
        <v>26</v>
      </c>
      <c r="I682" s="14" t="s">
        <v>27</v>
      </c>
      <c r="J682" s="14" t="s">
        <v>2269</v>
      </c>
      <c r="K682" s="14" t="s">
        <v>2271</v>
      </c>
      <c r="L682" s="14" t="s">
        <v>29</v>
      </c>
      <c r="M682" s="14" t="s">
        <v>64</v>
      </c>
      <c r="N682" s="17">
        <v>61423</v>
      </c>
      <c r="O682" s="17">
        <v>30380</v>
      </c>
      <c r="P682" s="18">
        <v>86.1</v>
      </c>
      <c r="Q682" s="15">
        <v>4</v>
      </c>
      <c r="R682" s="19">
        <v>18</v>
      </c>
      <c r="S682" s="19">
        <v>2</v>
      </c>
      <c r="T682" s="15">
        <v>23</v>
      </c>
      <c r="U682" s="19">
        <v>64</v>
      </c>
      <c r="V682" s="14" t="s">
        <v>31</v>
      </c>
      <c r="W682" s="14"/>
      <c r="X682" s="14">
        <f>IF(V682="Yes",1,0)</f>
        <v>0</v>
      </c>
      <c r="Y682" s="14">
        <f>IF(H682="Active",0,1)</f>
        <v>0</v>
      </c>
    </row>
    <row r="683" spans="1:25" ht="18" customHeight="1" x14ac:dyDescent="0.35">
      <c r="A683" s="8" t="s">
        <v>2067</v>
      </c>
      <c r="B683" s="8" t="s">
        <v>300</v>
      </c>
      <c r="C683" s="8" t="s">
        <v>34</v>
      </c>
      <c r="D683" s="9">
        <v>53</v>
      </c>
      <c r="E683" s="8" t="s">
        <v>109</v>
      </c>
      <c r="F683" s="8" t="s">
        <v>53</v>
      </c>
      <c r="G683" s="10">
        <v>45781</v>
      </c>
      <c r="H683" s="8" t="s">
        <v>26</v>
      </c>
      <c r="I683" s="8" t="s">
        <v>2267</v>
      </c>
      <c r="J683" s="8" t="s">
        <v>48</v>
      </c>
      <c r="K683" s="8" t="s">
        <v>37</v>
      </c>
      <c r="L683" s="8" t="s">
        <v>44</v>
      </c>
      <c r="M683" s="8" t="s">
        <v>64</v>
      </c>
      <c r="N683" s="11">
        <v>116949</v>
      </c>
      <c r="O683" s="11">
        <v>37456</v>
      </c>
      <c r="P683" s="12">
        <v>98.9</v>
      </c>
      <c r="Q683" s="9">
        <v>7</v>
      </c>
      <c r="R683" s="13">
        <v>18</v>
      </c>
      <c r="S683" s="13">
        <v>4</v>
      </c>
      <c r="T683" s="9">
        <v>32</v>
      </c>
      <c r="U683" s="13">
        <v>67</v>
      </c>
      <c r="V683" s="8" t="s">
        <v>31</v>
      </c>
      <c r="W683" s="8"/>
      <c r="X683" s="22">
        <f>IF(V683="Yes",1,0)</f>
        <v>0</v>
      </c>
      <c r="Y683" s="22">
        <f>IF(H683="Active",0,1)</f>
        <v>0</v>
      </c>
    </row>
    <row r="684" spans="1:25" ht="18" customHeight="1" x14ac:dyDescent="0.35">
      <c r="A684" s="14" t="s">
        <v>1040</v>
      </c>
      <c r="B684" s="14" t="s">
        <v>413</v>
      </c>
      <c r="C684" s="14" t="s">
        <v>34</v>
      </c>
      <c r="D684" s="15">
        <v>44</v>
      </c>
      <c r="E684" s="14" t="s">
        <v>63</v>
      </c>
      <c r="F684" s="14" t="s">
        <v>43</v>
      </c>
      <c r="G684" s="16">
        <v>45780</v>
      </c>
      <c r="H684" s="14" t="s">
        <v>26</v>
      </c>
      <c r="I684" s="14" t="s">
        <v>2267</v>
      </c>
      <c r="J684" s="14" t="s">
        <v>48</v>
      </c>
      <c r="K684" s="14" t="s">
        <v>55</v>
      </c>
      <c r="L684" s="14" t="s">
        <v>116</v>
      </c>
      <c r="M684" s="14" t="s">
        <v>45</v>
      </c>
      <c r="N684" s="17">
        <v>212029</v>
      </c>
      <c r="O684" s="17">
        <v>31012</v>
      </c>
      <c r="P684" s="18">
        <v>95.5</v>
      </c>
      <c r="Q684" s="15">
        <v>8</v>
      </c>
      <c r="R684" s="19">
        <v>0</v>
      </c>
      <c r="S684" s="19">
        <v>5</v>
      </c>
      <c r="T684" s="15">
        <v>29</v>
      </c>
      <c r="U684" s="19">
        <v>86</v>
      </c>
      <c r="V684" s="14" t="s">
        <v>31</v>
      </c>
      <c r="W684" s="14"/>
      <c r="X684" s="14">
        <f>IF(V684="Yes",1,0)</f>
        <v>0</v>
      </c>
      <c r="Y684" s="14">
        <f>IF(H684="Active",0,1)</f>
        <v>0</v>
      </c>
    </row>
    <row r="685" spans="1:25" ht="18" customHeight="1" x14ac:dyDescent="0.35">
      <c r="A685" s="14" t="s">
        <v>1128</v>
      </c>
      <c r="B685" s="14" t="s">
        <v>41</v>
      </c>
      <c r="C685" s="14" t="s">
        <v>25</v>
      </c>
      <c r="D685" s="15">
        <v>29</v>
      </c>
      <c r="E685" s="14" t="s">
        <v>93</v>
      </c>
      <c r="F685" s="14" t="s">
        <v>43</v>
      </c>
      <c r="G685" s="16">
        <v>45779</v>
      </c>
      <c r="H685" s="14" t="s">
        <v>26</v>
      </c>
      <c r="I685" s="14" t="s">
        <v>2267</v>
      </c>
      <c r="J685" s="14" t="s">
        <v>80</v>
      </c>
      <c r="K685" s="14" t="s">
        <v>55</v>
      </c>
      <c r="L685" s="14" t="s">
        <v>68</v>
      </c>
      <c r="M685" s="14" t="s">
        <v>30</v>
      </c>
      <c r="N685" s="17">
        <v>68302</v>
      </c>
      <c r="O685" s="17">
        <v>25067</v>
      </c>
      <c r="P685" s="18">
        <v>83.8</v>
      </c>
      <c r="Q685" s="15">
        <v>8</v>
      </c>
      <c r="R685" s="19">
        <v>9</v>
      </c>
      <c r="S685" s="19">
        <v>3</v>
      </c>
      <c r="T685" s="15">
        <v>26</v>
      </c>
      <c r="U685" s="19">
        <v>77</v>
      </c>
      <c r="V685" s="14" t="s">
        <v>31</v>
      </c>
      <c r="W685" s="14"/>
      <c r="X685" s="14">
        <f>IF(V685="Yes",1,0)</f>
        <v>0</v>
      </c>
      <c r="Y685" s="14">
        <f>IF(H685="Active",0,1)</f>
        <v>0</v>
      </c>
    </row>
    <row r="686" spans="1:25" ht="18" customHeight="1" x14ac:dyDescent="0.35">
      <c r="A686" s="14" t="s">
        <v>1157</v>
      </c>
      <c r="B686" s="14" t="s">
        <v>261</v>
      </c>
      <c r="C686" s="14" t="s">
        <v>25</v>
      </c>
      <c r="D686" s="15">
        <v>24</v>
      </c>
      <c r="E686" s="14" t="s">
        <v>67</v>
      </c>
      <c r="F686" s="14" t="s">
        <v>53</v>
      </c>
      <c r="G686" s="16">
        <v>45779</v>
      </c>
      <c r="H686" s="14" t="s">
        <v>26</v>
      </c>
      <c r="I686" s="14" t="s">
        <v>27</v>
      </c>
      <c r="J686" s="14" t="s">
        <v>2270</v>
      </c>
      <c r="K686" s="14" t="s">
        <v>2271</v>
      </c>
      <c r="L686" s="14" t="s">
        <v>29</v>
      </c>
      <c r="M686" s="14" t="s">
        <v>64</v>
      </c>
      <c r="N686" s="17">
        <v>94316</v>
      </c>
      <c r="O686" s="17">
        <v>45270</v>
      </c>
      <c r="P686" s="18">
        <v>99.4</v>
      </c>
      <c r="Q686" s="15">
        <v>6</v>
      </c>
      <c r="R686" s="19">
        <v>7</v>
      </c>
      <c r="S686" s="19">
        <v>4</v>
      </c>
      <c r="T686" s="15">
        <v>37</v>
      </c>
      <c r="U686" s="19">
        <v>66</v>
      </c>
      <c r="V686" s="14" t="s">
        <v>31</v>
      </c>
      <c r="W686" s="14"/>
      <c r="X686" s="14">
        <f>IF(V686="Yes",1,0)</f>
        <v>0</v>
      </c>
      <c r="Y686" s="14">
        <f>IF(H686="Active",0,1)</f>
        <v>0</v>
      </c>
    </row>
    <row r="687" spans="1:25" ht="18" customHeight="1" x14ac:dyDescent="0.35">
      <c r="A687" s="14" t="s">
        <v>1256</v>
      </c>
      <c r="B687" s="14" t="s">
        <v>516</v>
      </c>
      <c r="C687" s="14" t="s">
        <v>25</v>
      </c>
      <c r="D687" s="15">
        <v>47</v>
      </c>
      <c r="E687" s="14" t="s">
        <v>2304</v>
      </c>
      <c r="F687" s="14" t="s">
        <v>12</v>
      </c>
      <c r="G687" s="16">
        <v>45779</v>
      </c>
      <c r="H687" s="14" t="s">
        <v>26</v>
      </c>
      <c r="I687" s="14" t="s">
        <v>2267</v>
      </c>
      <c r="J687" s="14" t="s">
        <v>80</v>
      </c>
      <c r="K687" s="14" t="s">
        <v>28</v>
      </c>
      <c r="L687" s="14" t="s">
        <v>49</v>
      </c>
      <c r="M687" s="14" t="s">
        <v>45</v>
      </c>
      <c r="N687" s="17">
        <v>154441</v>
      </c>
      <c r="O687" s="17">
        <v>31587</v>
      </c>
      <c r="P687" s="18">
        <v>92.1</v>
      </c>
      <c r="Q687" s="15">
        <v>4</v>
      </c>
      <c r="R687" s="19">
        <v>20</v>
      </c>
      <c r="S687" s="19">
        <v>1</v>
      </c>
      <c r="T687" s="15">
        <v>4</v>
      </c>
      <c r="U687" s="19">
        <v>60</v>
      </c>
      <c r="V687" s="14" t="s">
        <v>31</v>
      </c>
      <c r="W687" s="14"/>
      <c r="X687" s="14">
        <f>IF(V687="Yes",1,0)</f>
        <v>0</v>
      </c>
      <c r="Y687" s="14">
        <f>IF(H687="Active",0,1)</f>
        <v>0</v>
      </c>
    </row>
    <row r="688" spans="1:25" ht="18" customHeight="1" x14ac:dyDescent="0.35">
      <c r="A688" s="14" t="s">
        <v>543</v>
      </c>
      <c r="B688" s="14" t="s">
        <v>140</v>
      </c>
      <c r="C688" s="14" t="s">
        <v>34</v>
      </c>
      <c r="D688" s="15">
        <v>40</v>
      </c>
      <c r="E688" s="14" t="s">
        <v>52</v>
      </c>
      <c r="F688" s="14" t="s">
        <v>12</v>
      </c>
      <c r="G688" s="16">
        <v>45778</v>
      </c>
      <c r="H688" s="14" t="s">
        <v>26</v>
      </c>
      <c r="I688" s="14" t="s">
        <v>27</v>
      </c>
      <c r="J688" s="14" t="s">
        <v>80</v>
      </c>
      <c r="K688" s="14" t="s">
        <v>2271</v>
      </c>
      <c r="L688" s="14" t="s">
        <v>38</v>
      </c>
      <c r="M688" s="14" t="s">
        <v>39</v>
      </c>
      <c r="N688" s="17">
        <v>90854</v>
      </c>
      <c r="O688" s="17">
        <v>41885</v>
      </c>
      <c r="P688" s="18">
        <v>85.7</v>
      </c>
      <c r="Q688" s="15">
        <v>8</v>
      </c>
      <c r="R688" s="19">
        <v>24</v>
      </c>
      <c r="S688" s="19">
        <v>3</v>
      </c>
      <c r="T688" s="15">
        <v>18</v>
      </c>
      <c r="U688" s="19">
        <v>61</v>
      </c>
      <c r="V688" s="14" t="s">
        <v>31</v>
      </c>
      <c r="W688" s="14"/>
      <c r="X688" s="14">
        <f>IF(V688="Yes",1,0)</f>
        <v>0</v>
      </c>
      <c r="Y688" s="14">
        <f>IF(H688="Active",0,1)</f>
        <v>0</v>
      </c>
    </row>
    <row r="689" spans="1:25" ht="18" customHeight="1" x14ac:dyDescent="0.35">
      <c r="A689" s="8" t="s">
        <v>1903</v>
      </c>
      <c r="B689" s="8" t="s">
        <v>191</v>
      </c>
      <c r="C689" s="8" t="s">
        <v>34</v>
      </c>
      <c r="D689" s="9">
        <v>36</v>
      </c>
      <c r="E689" s="8" t="s">
        <v>2303</v>
      </c>
      <c r="F689" s="8" t="s">
        <v>76</v>
      </c>
      <c r="G689" s="10">
        <v>45778</v>
      </c>
      <c r="H689" s="8" t="s">
        <v>26</v>
      </c>
      <c r="I689" s="8" t="s">
        <v>27</v>
      </c>
      <c r="J689" s="8" t="s">
        <v>2270</v>
      </c>
      <c r="K689" s="8" t="s">
        <v>28</v>
      </c>
      <c r="L689" s="8" t="s">
        <v>38</v>
      </c>
      <c r="M689" s="8" t="s">
        <v>64</v>
      </c>
      <c r="N689" s="11">
        <v>213563</v>
      </c>
      <c r="O689" s="11">
        <v>15282</v>
      </c>
      <c r="P689" s="12">
        <v>92.3</v>
      </c>
      <c r="Q689" s="9">
        <v>2</v>
      </c>
      <c r="R689" s="13">
        <v>13</v>
      </c>
      <c r="S689" s="13">
        <v>1</v>
      </c>
      <c r="T689" s="9">
        <v>2</v>
      </c>
      <c r="U689" s="13">
        <v>81</v>
      </c>
      <c r="V689" s="8" t="s">
        <v>31</v>
      </c>
      <c r="W689" s="8"/>
      <c r="X689" s="22">
        <f>IF(V689="Yes",1,0)</f>
        <v>0</v>
      </c>
      <c r="Y689" s="22">
        <f>IF(H689="Active",0,1)</f>
        <v>0</v>
      </c>
    </row>
    <row r="690" spans="1:25" ht="18" customHeight="1" x14ac:dyDescent="0.35">
      <c r="A690" s="8" t="s">
        <v>2245</v>
      </c>
      <c r="B690" s="8" t="s">
        <v>82</v>
      </c>
      <c r="C690" s="8" t="s">
        <v>34</v>
      </c>
      <c r="D690" s="9">
        <v>55</v>
      </c>
      <c r="E690" s="8" t="s">
        <v>2303</v>
      </c>
      <c r="F690" s="8" t="s">
        <v>76</v>
      </c>
      <c r="G690" s="10">
        <v>45778</v>
      </c>
      <c r="H690" s="8" t="s">
        <v>26</v>
      </c>
      <c r="I690" s="8" t="s">
        <v>36</v>
      </c>
      <c r="J690" s="8" t="s">
        <v>2268</v>
      </c>
      <c r="K690" s="8" t="s">
        <v>37</v>
      </c>
      <c r="L690" s="8" t="s">
        <v>49</v>
      </c>
      <c r="M690" s="8" t="s">
        <v>64</v>
      </c>
      <c r="N690" s="11">
        <v>58485</v>
      </c>
      <c r="O690" s="11">
        <v>38807</v>
      </c>
      <c r="P690" s="12">
        <v>85.2</v>
      </c>
      <c r="Q690" s="9">
        <v>2</v>
      </c>
      <c r="R690" s="13">
        <v>12</v>
      </c>
      <c r="S690" s="13">
        <v>5</v>
      </c>
      <c r="T690" s="9">
        <v>10</v>
      </c>
      <c r="U690" s="13">
        <v>71</v>
      </c>
      <c r="V690" s="8" t="s">
        <v>31</v>
      </c>
      <c r="W690" s="8"/>
      <c r="X690" s="22">
        <f>IF(V690="Yes",1,0)</f>
        <v>0</v>
      </c>
      <c r="Y690" s="22">
        <f>IF(H690="Active",0,1)</f>
        <v>0</v>
      </c>
    </row>
    <row r="691" spans="1:25" ht="18" customHeight="1" x14ac:dyDescent="0.35">
      <c r="A691" s="8" t="s">
        <v>77</v>
      </c>
      <c r="B691" s="8" t="s">
        <v>78</v>
      </c>
      <c r="C691" s="8" t="s">
        <v>34</v>
      </c>
      <c r="D691" s="9">
        <v>43</v>
      </c>
      <c r="E691" s="8" t="s">
        <v>67</v>
      </c>
      <c r="F691" s="8" t="s">
        <v>79</v>
      </c>
      <c r="G691" s="10">
        <v>45777</v>
      </c>
      <c r="H691" s="8" t="s">
        <v>26</v>
      </c>
      <c r="I691" s="8" t="s">
        <v>27</v>
      </c>
      <c r="J691" s="8" t="s">
        <v>80</v>
      </c>
      <c r="K691" s="8" t="s">
        <v>55</v>
      </c>
      <c r="L691" s="8" t="s">
        <v>68</v>
      </c>
      <c r="M691" s="8" t="s">
        <v>45</v>
      </c>
      <c r="N691" s="11">
        <v>93526</v>
      </c>
      <c r="O691" s="11">
        <v>30474</v>
      </c>
      <c r="P691" s="12">
        <v>95.1</v>
      </c>
      <c r="Q691" s="9">
        <v>2</v>
      </c>
      <c r="R691" s="13">
        <v>10</v>
      </c>
      <c r="S691" s="13">
        <v>4</v>
      </c>
      <c r="T691" s="9">
        <v>36</v>
      </c>
      <c r="U691" s="13">
        <v>87</v>
      </c>
      <c r="V691" s="8" t="s">
        <v>69</v>
      </c>
      <c r="W691" s="8"/>
      <c r="X691" s="22">
        <f>IF(V691="Yes",1,0)</f>
        <v>1</v>
      </c>
      <c r="Y691" s="22">
        <f>IF(H691="Active",0,1)</f>
        <v>0</v>
      </c>
    </row>
    <row r="692" spans="1:25" ht="18" customHeight="1" x14ac:dyDescent="0.35">
      <c r="A692" s="8" t="s">
        <v>1377</v>
      </c>
      <c r="B692" s="8" t="s">
        <v>95</v>
      </c>
      <c r="C692" s="8" t="s">
        <v>25</v>
      </c>
      <c r="D692" s="9">
        <v>21</v>
      </c>
      <c r="E692" s="8" t="s">
        <v>2304</v>
      </c>
      <c r="F692" s="8" t="s">
        <v>90</v>
      </c>
      <c r="G692" s="10">
        <v>45777</v>
      </c>
      <c r="H692" s="8" t="s">
        <v>26</v>
      </c>
      <c r="I692" s="8" t="s">
        <v>27</v>
      </c>
      <c r="J692" s="8" t="s">
        <v>2268</v>
      </c>
      <c r="K692" s="8" t="s">
        <v>55</v>
      </c>
      <c r="L692" s="8" t="s">
        <v>68</v>
      </c>
      <c r="M692" s="8" t="s">
        <v>39</v>
      </c>
      <c r="N692" s="11">
        <v>136808</v>
      </c>
      <c r="O692" s="11">
        <v>26752</v>
      </c>
      <c r="P692" s="12">
        <v>80.900000000000006</v>
      </c>
      <c r="Q692" s="9">
        <v>1</v>
      </c>
      <c r="R692" s="13">
        <v>30</v>
      </c>
      <c r="S692" s="13">
        <v>1</v>
      </c>
      <c r="T692" s="9">
        <v>27</v>
      </c>
      <c r="U692" s="13">
        <v>88</v>
      </c>
      <c r="V692" s="8" t="s">
        <v>69</v>
      </c>
      <c r="W692" s="8"/>
      <c r="X692" s="22">
        <f>IF(V692="Yes",1,0)</f>
        <v>1</v>
      </c>
      <c r="Y692" s="22">
        <f>IF(H692="Active",0,1)</f>
        <v>0</v>
      </c>
    </row>
    <row r="693" spans="1:25" ht="18" customHeight="1" x14ac:dyDescent="0.35">
      <c r="A693" s="8" t="s">
        <v>649</v>
      </c>
      <c r="B693" s="8" t="s">
        <v>567</v>
      </c>
      <c r="C693" s="8" t="s">
        <v>34</v>
      </c>
      <c r="D693" s="9">
        <v>58</v>
      </c>
      <c r="E693" s="8" t="s">
        <v>67</v>
      </c>
      <c r="F693" s="8" t="s">
        <v>72</v>
      </c>
      <c r="G693" s="10">
        <v>45775</v>
      </c>
      <c r="H693" s="8" t="s">
        <v>26</v>
      </c>
      <c r="I693" s="8" t="s">
        <v>2267</v>
      </c>
      <c r="J693" s="8" t="s">
        <v>80</v>
      </c>
      <c r="K693" s="8" t="s">
        <v>73</v>
      </c>
      <c r="L693" s="8" t="s">
        <v>29</v>
      </c>
      <c r="M693" s="8" t="s">
        <v>45</v>
      </c>
      <c r="N693" s="11">
        <v>118859</v>
      </c>
      <c r="O693" s="11">
        <v>45567</v>
      </c>
      <c r="P693" s="12">
        <v>87.5</v>
      </c>
      <c r="Q693" s="9">
        <v>9</v>
      </c>
      <c r="R693" s="13">
        <v>3</v>
      </c>
      <c r="S693" s="13">
        <v>2</v>
      </c>
      <c r="T693" s="9">
        <v>13</v>
      </c>
      <c r="U693" s="13">
        <v>66</v>
      </c>
      <c r="V693" s="8" t="s">
        <v>31</v>
      </c>
      <c r="W693" s="8"/>
      <c r="X693" s="22">
        <f>IF(V693="Yes",1,0)</f>
        <v>0</v>
      </c>
      <c r="Y693" s="22">
        <f>IF(H693="Active",0,1)</f>
        <v>0</v>
      </c>
    </row>
    <row r="694" spans="1:25" ht="18" customHeight="1" x14ac:dyDescent="0.35">
      <c r="A694" s="14" t="s">
        <v>1231</v>
      </c>
      <c r="B694" s="14" t="s">
        <v>1155</v>
      </c>
      <c r="C694" s="14" t="s">
        <v>34</v>
      </c>
      <c r="D694" s="15">
        <v>38</v>
      </c>
      <c r="E694" s="14" t="s">
        <v>86</v>
      </c>
      <c r="F694" s="14" t="s">
        <v>72</v>
      </c>
      <c r="G694" s="16">
        <v>45775</v>
      </c>
      <c r="H694" s="14" t="s">
        <v>26</v>
      </c>
      <c r="I694" s="14" t="s">
        <v>2267</v>
      </c>
      <c r="J694" s="14" t="s">
        <v>2269</v>
      </c>
      <c r="K694" s="14" t="s">
        <v>73</v>
      </c>
      <c r="L694" s="14" t="s">
        <v>68</v>
      </c>
      <c r="M694" s="14" t="s">
        <v>45</v>
      </c>
      <c r="N694" s="17">
        <v>116450</v>
      </c>
      <c r="O694" s="17">
        <v>5912</v>
      </c>
      <c r="P694" s="18">
        <v>83.9</v>
      </c>
      <c r="Q694" s="15">
        <v>6</v>
      </c>
      <c r="R694" s="19">
        <v>19</v>
      </c>
      <c r="S694" s="19">
        <v>3</v>
      </c>
      <c r="T694" s="15">
        <v>38</v>
      </c>
      <c r="U694" s="19">
        <v>78</v>
      </c>
      <c r="V694" s="14" t="s">
        <v>69</v>
      </c>
      <c r="W694" s="14"/>
      <c r="X694" s="14">
        <f>IF(V694="Yes",1,0)</f>
        <v>1</v>
      </c>
      <c r="Y694" s="14">
        <f>IF(H694="Active",0,1)</f>
        <v>0</v>
      </c>
    </row>
    <row r="695" spans="1:25" ht="18" customHeight="1" x14ac:dyDescent="0.35">
      <c r="A695" s="8" t="s">
        <v>354</v>
      </c>
      <c r="B695" s="8" t="s">
        <v>302</v>
      </c>
      <c r="C695" s="8" t="s">
        <v>25</v>
      </c>
      <c r="D695" s="9">
        <v>56</v>
      </c>
      <c r="E695" s="8" t="s">
        <v>63</v>
      </c>
      <c r="F695" s="8" t="s">
        <v>12</v>
      </c>
      <c r="G695" s="10">
        <v>45774</v>
      </c>
      <c r="H695" s="8" t="s">
        <v>26</v>
      </c>
      <c r="I695" s="8" t="s">
        <v>27</v>
      </c>
      <c r="J695" s="8" t="s">
        <v>80</v>
      </c>
      <c r="K695" s="8" t="s">
        <v>37</v>
      </c>
      <c r="L695" s="8" t="s">
        <v>38</v>
      </c>
      <c r="M695" s="8" t="s">
        <v>45</v>
      </c>
      <c r="N695" s="11">
        <v>239684</v>
      </c>
      <c r="O695" s="11">
        <v>47253</v>
      </c>
      <c r="P695" s="12">
        <v>94</v>
      </c>
      <c r="Q695" s="9">
        <v>1</v>
      </c>
      <c r="R695" s="13">
        <v>9</v>
      </c>
      <c r="S695" s="13">
        <v>4</v>
      </c>
      <c r="T695" s="9">
        <v>38</v>
      </c>
      <c r="U695" s="13">
        <v>81</v>
      </c>
      <c r="V695" s="8" t="s">
        <v>69</v>
      </c>
      <c r="W695" s="8"/>
      <c r="X695" s="22">
        <f>IF(V695="Yes",1,0)</f>
        <v>1</v>
      </c>
      <c r="Y695" s="22">
        <f>IF(H695="Active",0,1)</f>
        <v>0</v>
      </c>
    </row>
    <row r="696" spans="1:25" ht="18" customHeight="1" x14ac:dyDescent="0.35">
      <c r="A696" s="14" t="s">
        <v>748</v>
      </c>
      <c r="B696" s="14" t="s">
        <v>165</v>
      </c>
      <c r="C696" s="14" t="s">
        <v>34</v>
      </c>
      <c r="D696" s="15">
        <v>30</v>
      </c>
      <c r="E696" s="14" t="s">
        <v>63</v>
      </c>
      <c r="F696" s="14" t="s">
        <v>43</v>
      </c>
      <c r="G696" s="16">
        <v>45774</v>
      </c>
      <c r="H696" s="14" t="s">
        <v>26</v>
      </c>
      <c r="I696" s="14" t="s">
        <v>2267</v>
      </c>
      <c r="J696" s="14" t="s">
        <v>80</v>
      </c>
      <c r="K696" s="14" t="s">
        <v>28</v>
      </c>
      <c r="L696" s="14" t="s">
        <v>29</v>
      </c>
      <c r="M696" s="14" t="s">
        <v>64</v>
      </c>
      <c r="N696" s="17">
        <v>185951</v>
      </c>
      <c r="O696" s="17">
        <v>49994</v>
      </c>
      <c r="P696" s="18">
        <v>80.099999999999994</v>
      </c>
      <c r="Q696" s="15">
        <v>8</v>
      </c>
      <c r="R696" s="19">
        <v>2</v>
      </c>
      <c r="S696" s="19">
        <v>4</v>
      </c>
      <c r="T696" s="15">
        <v>8</v>
      </c>
      <c r="U696" s="19">
        <v>91</v>
      </c>
      <c r="V696" s="14" t="s">
        <v>31</v>
      </c>
      <c r="W696" s="14"/>
      <c r="X696" s="14">
        <f>IF(V696="Yes",1,0)</f>
        <v>0</v>
      </c>
      <c r="Y696" s="14">
        <f>IF(H696="Active",0,1)</f>
        <v>0</v>
      </c>
    </row>
    <row r="697" spans="1:25" ht="18" customHeight="1" x14ac:dyDescent="0.35">
      <c r="A697" s="14" t="s">
        <v>1396</v>
      </c>
      <c r="B697" s="14" t="s">
        <v>344</v>
      </c>
      <c r="C697" s="14" t="s">
        <v>34</v>
      </c>
      <c r="D697" s="15">
        <v>23</v>
      </c>
      <c r="E697" s="14" t="s">
        <v>109</v>
      </c>
      <c r="F697" s="14" t="s">
        <v>43</v>
      </c>
      <c r="G697" s="16">
        <v>45774</v>
      </c>
      <c r="H697" s="14" t="s">
        <v>26</v>
      </c>
      <c r="I697" s="14" t="s">
        <v>2267</v>
      </c>
      <c r="J697" s="14" t="s">
        <v>2269</v>
      </c>
      <c r="K697" s="14" t="s">
        <v>73</v>
      </c>
      <c r="L697" s="14" t="s">
        <v>68</v>
      </c>
      <c r="M697" s="14" t="s">
        <v>39</v>
      </c>
      <c r="N697" s="17">
        <v>117652</v>
      </c>
      <c r="O697" s="17">
        <v>39650</v>
      </c>
      <c r="P697" s="18">
        <v>99.4</v>
      </c>
      <c r="Q697" s="15">
        <v>7</v>
      </c>
      <c r="R697" s="19">
        <v>13</v>
      </c>
      <c r="S697" s="19">
        <v>3</v>
      </c>
      <c r="T697" s="15">
        <v>7</v>
      </c>
      <c r="U697" s="19">
        <v>91</v>
      </c>
      <c r="V697" s="14" t="s">
        <v>31</v>
      </c>
      <c r="W697" s="14"/>
      <c r="X697" s="14">
        <f>IF(V697="Yes",1,0)</f>
        <v>0</v>
      </c>
      <c r="Y697" s="14">
        <f>IF(H697="Active",0,1)</f>
        <v>0</v>
      </c>
    </row>
    <row r="698" spans="1:25" ht="18" customHeight="1" x14ac:dyDescent="0.35">
      <c r="A698" s="14" t="s">
        <v>625</v>
      </c>
      <c r="B698" s="14" t="s">
        <v>51</v>
      </c>
      <c r="C698" s="14" t="s">
        <v>25</v>
      </c>
      <c r="D698" s="15">
        <v>26</v>
      </c>
      <c r="E698" s="14" t="s">
        <v>67</v>
      </c>
      <c r="F698" s="14" t="s">
        <v>76</v>
      </c>
      <c r="G698" s="16">
        <v>45773</v>
      </c>
      <c r="H698" s="14" t="s">
        <v>26</v>
      </c>
      <c r="I698" s="14" t="s">
        <v>2267</v>
      </c>
      <c r="J698" s="14" t="s">
        <v>2270</v>
      </c>
      <c r="K698" s="14" t="s">
        <v>55</v>
      </c>
      <c r="L698" s="14" t="s">
        <v>87</v>
      </c>
      <c r="M698" s="14" t="s">
        <v>45</v>
      </c>
      <c r="N698" s="17">
        <v>195032</v>
      </c>
      <c r="O698" s="17">
        <v>39596</v>
      </c>
      <c r="P698" s="18">
        <v>97.6</v>
      </c>
      <c r="Q698" s="15">
        <v>8</v>
      </c>
      <c r="R698" s="19">
        <v>8</v>
      </c>
      <c r="S698" s="19">
        <v>5</v>
      </c>
      <c r="T698" s="15">
        <v>27</v>
      </c>
      <c r="U698" s="19">
        <v>61</v>
      </c>
      <c r="V698" s="14" t="s">
        <v>31</v>
      </c>
      <c r="W698" s="14"/>
      <c r="X698" s="14">
        <f>IF(V698="Yes",1,0)</f>
        <v>0</v>
      </c>
      <c r="Y698" s="14">
        <f>IF(H698="Active",0,1)</f>
        <v>0</v>
      </c>
    </row>
    <row r="699" spans="1:25" ht="18" customHeight="1" x14ac:dyDescent="0.35">
      <c r="A699" s="14" t="s">
        <v>1974</v>
      </c>
      <c r="B699" s="14" t="s">
        <v>203</v>
      </c>
      <c r="C699" s="14" t="s">
        <v>34</v>
      </c>
      <c r="D699" s="15">
        <v>51</v>
      </c>
      <c r="E699" s="14" t="s">
        <v>93</v>
      </c>
      <c r="F699" s="14" t="s">
        <v>53</v>
      </c>
      <c r="G699" s="16">
        <v>45773</v>
      </c>
      <c r="H699" s="14" t="s">
        <v>26</v>
      </c>
      <c r="I699" s="14" t="s">
        <v>2267</v>
      </c>
      <c r="J699" s="14" t="s">
        <v>2270</v>
      </c>
      <c r="K699" s="14" t="s">
        <v>2271</v>
      </c>
      <c r="L699" s="14" t="s">
        <v>87</v>
      </c>
      <c r="M699" s="14" t="s">
        <v>45</v>
      </c>
      <c r="N699" s="17">
        <v>176842</v>
      </c>
      <c r="O699" s="17">
        <v>43810</v>
      </c>
      <c r="P699" s="18">
        <v>83.1</v>
      </c>
      <c r="Q699" s="15">
        <v>4</v>
      </c>
      <c r="R699" s="19">
        <v>11</v>
      </c>
      <c r="S699" s="19">
        <v>4</v>
      </c>
      <c r="T699" s="15">
        <v>20</v>
      </c>
      <c r="U699" s="19">
        <v>70</v>
      </c>
      <c r="V699" s="14" t="s">
        <v>31</v>
      </c>
      <c r="W699" s="14"/>
      <c r="X699" s="14">
        <f>IF(V699="Yes",1,0)</f>
        <v>0</v>
      </c>
      <c r="Y699" s="14">
        <f>IF(H699="Active",0,1)</f>
        <v>0</v>
      </c>
    </row>
    <row r="700" spans="1:25" ht="18" customHeight="1" x14ac:dyDescent="0.35">
      <c r="A700" s="14" t="s">
        <v>688</v>
      </c>
      <c r="B700" s="14" t="s">
        <v>104</v>
      </c>
      <c r="C700" s="14" t="s">
        <v>34</v>
      </c>
      <c r="D700" s="15">
        <v>42</v>
      </c>
      <c r="E700" s="14" t="s">
        <v>86</v>
      </c>
      <c r="F700" s="14" t="s">
        <v>72</v>
      </c>
      <c r="G700" s="16">
        <v>45772</v>
      </c>
      <c r="H700" s="14" t="s">
        <v>26</v>
      </c>
      <c r="I700" s="14" t="s">
        <v>27</v>
      </c>
      <c r="J700" s="14" t="s">
        <v>48</v>
      </c>
      <c r="K700" s="14" t="s">
        <v>28</v>
      </c>
      <c r="L700" s="14" t="s">
        <v>68</v>
      </c>
      <c r="M700" s="14" t="s">
        <v>39</v>
      </c>
      <c r="N700" s="17">
        <v>235799</v>
      </c>
      <c r="O700" s="17">
        <v>36661</v>
      </c>
      <c r="P700" s="18">
        <v>81.3</v>
      </c>
      <c r="Q700" s="15">
        <v>7</v>
      </c>
      <c r="R700" s="19">
        <v>26</v>
      </c>
      <c r="S700" s="19">
        <v>5</v>
      </c>
      <c r="T700" s="15">
        <v>23</v>
      </c>
      <c r="U700" s="19">
        <v>91</v>
      </c>
      <c r="V700" s="14" t="s">
        <v>31</v>
      </c>
      <c r="W700" s="14"/>
      <c r="X700" s="14">
        <f>IF(V700="Yes",1,0)</f>
        <v>0</v>
      </c>
      <c r="Y700" s="14">
        <f>IF(H700="Active",0,1)</f>
        <v>0</v>
      </c>
    </row>
    <row r="701" spans="1:25" ht="18" customHeight="1" x14ac:dyDescent="0.35">
      <c r="A701" s="8" t="s">
        <v>1819</v>
      </c>
      <c r="B701" s="8" t="s">
        <v>108</v>
      </c>
      <c r="C701" s="8" t="s">
        <v>25</v>
      </c>
      <c r="D701" s="9">
        <v>57</v>
      </c>
      <c r="E701" s="8" t="s">
        <v>63</v>
      </c>
      <c r="F701" s="8" t="s">
        <v>72</v>
      </c>
      <c r="G701" s="10">
        <v>45772</v>
      </c>
      <c r="H701" s="8" t="s">
        <v>26</v>
      </c>
      <c r="I701" s="8" t="s">
        <v>27</v>
      </c>
      <c r="J701" s="8" t="s">
        <v>2269</v>
      </c>
      <c r="K701" s="8" t="s">
        <v>73</v>
      </c>
      <c r="L701" s="8" t="s">
        <v>38</v>
      </c>
      <c r="M701" s="8" t="s">
        <v>39</v>
      </c>
      <c r="N701" s="11">
        <v>98394</v>
      </c>
      <c r="O701" s="11">
        <v>5046</v>
      </c>
      <c r="P701" s="12">
        <v>91.8</v>
      </c>
      <c r="Q701" s="9">
        <v>8</v>
      </c>
      <c r="R701" s="13">
        <v>29</v>
      </c>
      <c r="S701" s="13">
        <v>5</v>
      </c>
      <c r="T701" s="9">
        <v>18</v>
      </c>
      <c r="U701" s="13">
        <v>90</v>
      </c>
      <c r="V701" s="8" t="s">
        <v>31</v>
      </c>
      <c r="W701" s="8"/>
      <c r="X701" s="22">
        <f>IF(V701="Yes",1,0)</f>
        <v>0</v>
      </c>
      <c r="Y701" s="22">
        <f>IF(H701="Active",0,1)</f>
        <v>0</v>
      </c>
    </row>
    <row r="702" spans="1:25" ht="18" customHeight="1" x14ac:dyDescent="0.35">
      <c r="A702" s="8" t="s">
        <v>1867</v>
      </c>
      <c r="B702" s="8" t="s">
        <v>815</v>
      </c>
      <c r="C702" s="8" t="s">
        <v>25</v>
      </c>
      <c r="D702" s="9">
        <v>48</v>
      </c>
      <c r="E702" s="8" t="s">
        <v>42</v>
      </c>
      <c r="F702" s="8" t="s">
        <v>35</v>
      </c>
      <c r="G702" s="10">
        <v>45772</v>
      </c>
      <c r="H702" s="8" t="s">
        <v>26</v>
      </c>
      <c r="I702" s="8" t="s">
        <v>36</v>
      </c>
      <c r="J702" s="8" t="s">
        <v>80</v>
      </c>
      <c r="K702" s="8" t="s">
        <v>73</v>
      </c>
      <c r="L702" s="8" t="s">
        <v>87</v>
      </c>
      <c r="M702" s="8" t="s">
        <v>60</v>
      </c>
      <c r="N702" s="11">
        <v>93486</v>
      </c>
      <c r="O702" s="11">
        <v>23554</v>
      </c>
      <c r="P702" s="12">
        <v>92</v>
      </c>
      <c r="Q702" s="9">
        <v>9</v>
      </c>
      <c r="R702" s="13">
        <v>29</v>
      </c>
      <c r="S702" s="13">
        <v>5</v>
      </c>
      <c r="T702" s="9">
        <v>30</v>
      </c>
      <c r="U702" s="13">
        <v>72</v>
      </c>
      <c r="V702" s="8" t="s">
        <v>31</v>
      </c>
      <c r="W702" s="8"/>
      <c r="X702" s="22">
        <f>IF(V702="Yes",1,0)</f>
        <v>0</v>
      </c>
      <c r="Y702" s="22">
        <f>IF(H702="Active",0,1)</f>
        <v>0</v>
      </c>
    </row>
    <row r="703" spans="1:25" ht="18" customHeight="1" x14ac:dyDescent="0.35">
      <c r="A703" s="14" t="s">
        <v>1980</v>
      </c>
      <c r="B703" s="14" t="s">
        <v>531</v>
      </c>
      <c r="C703" s="14" t="s">
        <v>25</v>
      </c>
      <c r="D703" s="15">
        <v>57</v>
      </c>
      <c r="E703" s="14" t="s">
        <v>42</v>
      </c>
      <c r="F703" s="14" t="s">
        <v>76</v>
      </c>
      <c r="G703" s="16">
        <v>45772</v>
      </c>
      <c r="H703" s="14" t="s">
        <v>26</v>
      </c>
      <c r="I703" s="14" t="s">
        <v>27</v>
      </c>
      <c r="J703" s="14" t="s">
        <v>80</v>
      </c>
      <c r="K703" s="14" t="s">
        <v>37</v>
      </c>
      <c r="L703" s="14" t="s">
        <v>56</v>
      </c>
      <c r="M703" s="14" t="s">
        <v>30</v>
      </c>
      <c r="N703" s="17">
        <v>51196</v>
      </c>
      <c r="O703" s="17">
        <v>27258</v>
      </c>
      <c r="P703" s="18">
        <v>99.3</v>
      </c>
      <c r="Q703" s="15">
        <v>4</v>
      </c>
      <c r="R703" s="19">
        <v>18</v>
      </c>
      <c r="S703" s="19">
        <v>4</v>
      </c>
      <c r="T703" s="15">
        <v>9</v>
      </c>
      <c r="U703" s="19">
        <v>78</v>
      </c>
      <c r="V703" s="14" t="s">
        <v>31</v>
      </c>
      <c r="W703" s="14"/>
      <c r="X703" s="14">
        <f>IF(V703="Yes",1,0)</f>
        <v>0</v>
      </c>
      <c r="Y703" s="14">
        <f>IF(H703="Active",0,1)</f>
        <v>0</v>
      </c>
    </row>
    <row r="704" spans="1:25" ht="18" customHeight="1" x14ac:dyDescent="0.35">
      <c r="A704" s="14" t="s">
        <v>933</v>
      </c>
      <c r="B704" s="14" t="s">
        <v>567</v>
      </c>
      <c r="C704" s="14" t="s">
        <v>25</v>
      </c>
      <c r="D704" s="15">
        <v>57</v>
      </c>
      <c r="E704" s="14" t="s">
        <v>42</v>
      </c>
      <c r="F704" s="14" t="s">
        <v>53</v>
      </c>
      <c r="G704" s="16">
        <v>45771</v>
      </c>
      <c r="H704" s="14" t="s">
        <v>26</v>
      </c>
      <c r="I704" s="14" t="s">
        <v>2267</v>
      </c>
      <c r="J704" s="14" t="s">
        <v>48</v>
      </c>
      <c r="K704" s="14" t="s">
        <v>37</v>
      </c>
      <c r="L704" s="14" t="s">
        <v>87</v>
      </c>
      <c r="M704" s="14" t="s">
        <v>64</v>
      </c>
      <c r="N704" s="17">
        <v>110584</v>
      </c>
      <c r="O704" s="17">
        <v>23154</v>
      </c>
      <c r="P704" s="18">
        <v>94.9</v>
      </c>
      <c r="Q704" s="15">
        <v>3</v>
      </c>
      <c r="R704" s="19">
        <v>16</v>
      </c>
      <c r="S704" s="19">
        <v>4</v>
      </c>
      <c r="T704" s="15">
        <v>35</v>
      </c>
      <c r="U704" s="19">
        <v>65</v>
      </c>
      <c r="V704" s="14" t="s">
        <v>31</v>
      </c>
      <c r="W704" s="14"/>
      <c r="X704" s="14">
        <f>IF(V704="Yes",1,0)</f>
        <v>0</v>
      </c>
      <c r="Y704" s="14">
        <f>IF(H704="Active",0,1)</f>
        <v>0</v>
      </c>
    </row>
    <row r="705" spans="1:25" ht="18" customHeight="1" x14ac:dyDescent="0.35">
      <c r="A705" s="14" t="s">
        <v>2180</v>
      </c>
      <c r="B705" s="14" t="s">
        <v>165</v>
      </c>
      <c r="C705" s="14" t="s">
        <v>34</v>
      </c>
      <c r="D705" s="15">
        <v>34</v>
      </c>
      <c r="E705" s="14" t="s">
        <v>2304</v>
      </c>
      <c r="F705" s="14" t="s">
        <v>72</v>
      </c>
      <c r="G705" s="16">
        <v>45771</v>
      </c>
      <c r="H705" s="14" t="s">
        <v>26</v>
      </c>
      <c r="I705" s="14" t="s">
        <v>2267</v>
      </c>
      <c r="J705" s="14" t="s">
        <v>2269</v>
      </c>
      <c r="K705" s="14" t="s">
        <v>73</v>
      </c>
      <c r="L705" s="14" t="s">
        <v>38</v>
      </c>
      <c r="M705" s="14" t="s">
        <v>64</v>
      </c>
      <c r="N705" s="17">
        <v>139778</v>
      </c>
      <c r="O705" s="17">
        <v>40813</v>
      </c>
      <c r="P705" s="18">
        <v>98.7</v>
      </c>
      <c r="Q705" s="15">
        <v>6</v>
      </c>
      <c r="R705" s="19">
        <v>7</v>
      </c>
      <c r="S705" s="19">
        <v>5</v>
      </c>
      <c r="T705" s="15">
        <v>40</v>
      </c>
      <c r="U705" s="19">
        <v>94</v>
      </c>
      <c r="V705" s="14" t="s">
        <v>31</v>
      </c>
      <c r="W705" s="14"/>
      <c r="X705" s="14">
        <f>IF(V705="Yes",1,0)</f>
        <v>0</v>
      </c>
      <c r="Y705" s="14">
        <f>IF(H705="Active",0,1)</f>
        <v>0</v>
      </c>
    </row>
    <row r="706" spans="1:25" ht="18" customHeight="1" x14ac:dyDescent="0.35">
      <c r="A706" s="8" t="s">
        <v>536</v>
      </c>
      <c r="B706" s="8" t="s">
        <v>537</v>
      </c>
      <c r="C706" s="8" t="s">
        <v>34</v>
      </c>
      <c r="D706" s="9">
        <v>60</v>
      </c>
      <c r="E706" s="8" t="s">
        <v>93</v>
      </c>
      <c r="F706" s="8" t="s">
        <v>53</v>
      </c>
      <c r="G706" s="10">
        <v>45770</v>
      </c>
      <c r="H706" s="8" t="s">
        <v>26</v>
      </c>
      <c r="I706" s="8" t="s">
        <v>36</v>
      </c>
      <c r="J706" s="8" t="s">
        <v>2270</v>
      </c>
      <c r="K706" s="8" t="s">
        <v>55</v>
      </c>
      <c r="L706" s="8" t="s">
        <v>49</v>
      </c>
      <c r="M706" s="8" t="s">
        <v>64</v>
      </c>
      <c r="N706" s="11">
        <v>187125</v>
      </c>
      <c r="O706" s="11">
        <v>16786</v>
      </c>
      <c r="P706" s="12">
        <v>83.4</v>
      </c>
      <c r="Q706" s="9">
        <v>5</v>
      </c>
      <c r="R706" s="13">
        <v>14</v>
      </c>
      <c r="S706" s="13">
        <v>3</v>
      </c>
      <c r="T706" s="9">
        <v>26</v>
      </c>
      <c r="U706" s="13">
        <v>82</v>
      </c>
      <c r="V706" s="8" t="s">
        <v>31</v>
      </c>
      <c r="W706" s="8"/>
      <c r="X706" s="22">
        <f>IF(V706="Yes",1,0)</f>
        <v>0</v>
      </c>
      <c r="Y706" s="22">
        <f>IF(H706="Active",0,1)</f>
        <v>0</v>
      </c>
    </row>
    <row r="707" spans="1:25" ht="18" customHeight="1" x14ac:dyDescent="0.35">
      <c r="A707" s="14" t="s">
        <v>796</v>
      </c>
      <c r="B707" s="14" t="s">
        <v>792</v>
      </c>
      <c r="C707" s="14" t="s">
        <v>25</v>
      </c>
      <c r="D707" s="15">
        <v>57</v>
      </c>
      <c r="E707" s="14" t="s">
        <v>67</v>
      </c>
      <c r="F707" s="14" t="s">
        <v>72</v>
      </c>
      <c r="G707" s="16">
        <v>45770</v>
      </c>
      <c r="H707" s="14" t="s">
        <v>26</v>
      </c>
      <c r="I707" s="14" t="s">
        <v>27</v>
      </c>
      <c r="J707" s="14" t="s">
        <v>2269</v>
      </c>
      <c r="K707" s="14" t="s">
        <v>2271</v>
      </c>
      <c r="L707" s="14" t="s">
        <v>49</v>
      </c>
      <c r="M707" s="14" t="s">
        <v>39</v>
      </c>
      <c r="N707" s="17">
        <v>102469</v>
      </c>
      <c r="O707" s="17">
        <v>14818</v>
      </c>
      <c r="P707" s="18">
        <v>98.3</v>
      </c>
      <c r="Q707" s="15">
        <v>9</v>
      </c>
      <c r="R707" s="19">
        <v>29</v>
      </c>
      <c r="S707" s="19">
        <v>2</v>
      </c>
      <c r="T707" s="15">
        <v>6</v>
      </c>
      <c r="U707" s="19">
        <v>67</v>
      </c>
      <c r="V707" s="14" t="s">
        <v>31</v>
      </c>
      <c r="W707" s="14"/>
      <c r="X707" s="14">
        <f>IF(V707="Yes",1,0)</f>
        <v>0</v>
      </c>
      <c r="Y707" s="14">
        <f>IF(H707="Active",0,1)</f>
        <v>0</v>
      </c>
    </row>
    <row r="708" spans="1:25" ht="18" customHeight="1" x14ac:dyDescent="0.35">
      <c r="A708" s="14" t="s">
        <v>1152</v>
      </c>
      <c r="B708" s="14" t="s">
        <v>256</v>
      </c>
      <c r="C708" s="14" t="s">
        <v>25</v>
      </c>
      <c r="D708" s="15">
        <v>39</v>
      </c>
      <c r="E708" s="14" t="s">
        <v>86</v>
      </c>
      <c r="F708" s="14" t="s">
        <v>76</v>
      </c>
      <c r="G708" s="16">
        <v>45770</v>
      </c>
      <c r="H708" s="14" t="s">
        <v>26</v>
      </c>
      <c r="I708" s="14" t="s">
        <v>27</v>
      </c>
      <c r="J708" s="14" t="s">
        <v>48</v>
      </c>
      <c r="K708" s="14" t="s">
        <v>2271</v>
      </c>
      <c r="L708" s="14" t="s">
        <v>68</v>
      </c>
      <c r="M708" s="14" t="s">
        <v>39</v>
      </c>
      <c r="N708" s="17">
        <v>189707</v>
      </c>
      <c r="O708" s="17">
        <v>29841</v>
      </c>
      <c r="P708" s="18">
        <v>91.4</v>
      </c>
      <c r="Q708" s="15">
        <v>5</v>
      </c>
      <c r="R708" s="19">
        <v>27</v>
      </c>
      <c r="S708" s="19">
        <v>4</v>
      </c>
      <c r="T708" s="15">
        <v>17</v>
      </c>
      <c r="U708" s="19">
        <v>67</v>
      </c>
      <c r="V708" s="14" t="s">
        <v>31</v>
      </c>
      <c r="W708" s="14"/>
      <c r="X708" s="14">
        <f>IF(V708="Yes",1,0)</f>
        <v>0</v>
      </c>
      <c r="Y708" s="14">
        <f>IF(H708="Active",0,1)</f>
        <v>0</v>
      </c>
    </row>
    <row r="709" spans="1:25" ht="18" customHeight="1" x14ac:dyDescent="0.35">
      <c r="A709" s="14" t="s">
        <v>575</v>
      </c>
      <c r="B709" s="14" t="s">
        <v>197</v>
      </c>
      <c r="C709" s="14" t="s">
        <v>25</v>
      </c>
      <c r="D709" s="15">
        <v>28</v>
      </c>
      <c r="E709" s="14" t="s">
        <v>93</v>
      </c>
      <c r="F709" s="14" t="s">
        <v>53</v>
      </c>
      <c r="G709" s="16">
        <v>45769</v>
      </c>
      <c r="H709" s="14" t="s">
        <v>26</v>
      </c>
      <c r="I709" s="14" t="s">
        <v>27</v>
      </c>
      <c r="J709" s="14" t="s">
        <v>48</v>
      </c>
      <c r="K709" s="14" t="s">
        <v>28</v>
      </c>
      <c r="L709" s="14" t="s">
        <v>44</v>
      </c>
      <c r="M709" s="14" t="s">
        <v>64</v>
      </c>
      <c r="N709" s="17">
        <v>91852</v>
      </c>
      <c r="O709" s="17">
        <v>12309</v>
      </c>
      <c r="P709" s="18">
        <v>83.5</v>
      </c>
      <c r="Q709" s="15">
        <v>2</v>
      </c>
      <c r="R709" s="19">
        <v>19</v>
      </c>
      <c r="S709" s="19">
        <v>4</v>
      </c>
      <c r="T709" s="15">
        <v>6</v>
      </c>
      <c r="U709" s="19">
        <v>72</v>
      </c>
      <c r="V709" s="14" t="s">
        <v>31</v>
      </c>
      <c r="W709" s="14"/>
      <c r="X709" s="14">
        <f>IF(V709="Yes",1,0)</f>
        <v>0</v>
      </c>
      <c r="Y709" s="14">
        <f>IF(H709="Active",0,1)</f>
        <v>0</v>
      </c>
    </row>
    <row r="710" spans="1:25" ht="18" customHeight="1" x14ac:dyDescent="0.35">
      <c r="A710" s="14" t="s">
        <v>2022</v>
      </c>
      <c r="B710" s="14" t="s">
        <v>169</v>
      </c>
      <c r="C710" s="14" t="s">
        <v>25</v>
      </c>
      <c r="D710" s="15">
        <v>35</v>
      </c>
      <c r="E710" s="14" t="s">
        <v>2303</v>
      </c>
      <c r="F710" s="14" t="s">
        <v>76</v>
      </c>
      <c r="G710" s="16">
        <v>45769</v>
      </c>
      <c r="H710" s="14" t="s">
        <v>26</v>
      </c>
      <c r="I710" s="14" t="s">
        <v>2267</v>
      </c>
      <c r="J710" s="14" t="s">
        <v>48</v>
      </c>
      <c r="K710" s="14" t="s">
        <v>37</v>
      </c>
      <c r="L710" s="14" t="s">
        <v>116</v>
      </c>
      <c r="M710" s="14" t="s">
        <v>45</v>
      </c>
      <c r="N710" s="17">
        <v>114794</v>
      </c>
      <c r="O710" s="17">
        <v>40430</v>
      </c>
      <c r="P710" s="18">
        <v>96.2</v>
      </c>
      <c r="Q710" s="15">
        <v>10</v>
      </c>
      <c r="R710" s="19">
        <v>2</v>
      </c>
      <c r="S710" s="19">
        <v>4</v>
      </c>
      <c r="T710" s="15">
        <v>11</v>
      </c>
      <c r="U710" s="19">
        <v>80</v>
      </c>
      <c r="V710" s="14" t="s">
        <v>31</v>
      </c>
      <c r="W710" s="14"/>
      <c r="X710" s="14">
        <f>IF(V710="Yes",1,0)</f>
        <v>0</v>
      </c>
      <c r="Y710" s="14">
        <f>IF(H710="Active",0,1)</f>
        <v>0</v>
      </c>
    </row>
    <row r="711" spans="1:25" ht="18" customHeight="1" x14ac:dyDescent="0.35">
      <c r="A711" s="14" t="s">
        <v>579</v>
      </c>
      <c r="B711" s="14" t="s">
        <v>175</v>
      </c>
      <c r="C711" s="14" t="s">
        <v>25</v>
      </c>
      <c r="D711" s="15">
        <v>60</v>
      </c>
      <c r="E711" s="14" t="s">
        <v>2303</v>
      </c>
      <c r="F711" s="14" t="s">
        <v>43</v>
      </c>
      <c r="G711" s="16">
        <v>45768</v>
      </c>
      <c r="H711" s="14" t="s">
        <v>26</v>
      </c>
      <c r="I711" s="14" t="s">
        <v>36</v>
      </c>
      <c r="J711" s="14" t="s">
        <v>48</v>
      </c>
      <c r="K711" s="14" t="s">
        <v>28</v>
      </c>
      <c r="L711" s="14" t="s">
        <v>68</v>
      </c>
      <c r="M711" s="14" t="s">
        <v>39</v>
      </c>
      <c r="N711" s="17">
        <v>65930</v>
      </c>
      <c r="O711" s="17">
        <v>21319</v>
      </c>
      <c r="P711" s="18">
        <v>88.1</v>
      </c>
      <c r="Q711" s="15">
        <v>0</v>
      </c>
      <c r="R711" s="19">
        <v>30</v>
      </c>
      <c r="S711" s="19">
        <v>2</v>
      </c>
      <c r="T711" s="15">
        <v>36</v>
      </c>
      <c r="U711" s="19">
        <v>90</v>
      </c>
      <c r="V711" s="14" t="s">
        <v>31</v>
      </c>
      <c r="W711" s="14"/>
      <c r="X711" s="14">
        <f>IF(V711="Yes",1,0)</f>
        <v>0</v>
      </c>
      <c r="Y711" s="14">
        <f>IF(H711="Active",0,1)</f>
        <v>0</v>
      </c>
    </row>
    <row r="712" spans="1:25" ht="18" customHeight="1" x14ac:dyDescent="0.35">
      <c r="A712" s="14" t="s">
        <v>980</v>
      </c>
      <c r="B712" s="14" t="s">
        <v>258</v>
      </c>
      <c r="C712" s="14" t="s">
        <v>34</v>
      </c>
      <c r="D712" s="15">
        <v>47</v>
      </c>
      <c r="E712" s="14" t="s">
        <v>93</v>
      </c>
      <c r="F712" s="14" t="s">
        <v>90</v>
      </c>
      <c r="G712" s="16">
        <v>45768</v>
      </c>
      <c r="H712" s="14" t="s">
        <v>26</v>
      </c>
      <c r="I712" s="14" t="s">
        <v>2267</v>
      </c>
      <c r="J712" s="14" t="s">
        <v>48</v>
      </c>
      <c r="K712" s="14" t="s">
        <v>2271</v>
      </c>
      <c r="L712" s="14" t="s">
        <v>56</v>
      </c>
      <c r="M712" s="14" t="s">
        <v>30</v>
      </c>
      <c r="N712" s="17">
        <v>179926</v>
      </c>
      <c r="O712" s="17">
        <v>43601</v>
      </c>
      <c r="P712" s="18">
        <v>85.7</v>
      </c>
      <c r="Q712" s="15">
        <v>1</v>
      </c>
      <c r="R712" s="19">
        <v>1</v>
      </c>
      <c r="S712" s="19">
        <v>1</v>
      </c>
      <c r="T712" s="15">
        <v>13</v>
      </c>
      <c r="U712" s="19">
        <v>95</v>
      </c>
      <c r="V712" s="14" t="s">
        <v>31</v>
      </c>
      <c r="W712" s="14"/>
      <c r="X712" s="14">
        <f>IF(V712="Yes",1,0)</f>
        <v>0</v>
      </c>
      <c r="Y712" s="14">
        <f>IF(H712="Active",0,1)</f>
        <v>0</v>
      </c>
    </row>
    <row r="713" spans="1:25" ht="18" customHeight="1" x14ac:dyDescent="0.35">
      <c r="A713" s="8" t="s">
        <v>1361</v>
      </c>
      <c r="B713" s="8" t="s">
        <v>531</v>
      </c>
      <c r="C713" s="8" t="s">
        <v>34</v>
      </c>
      <c r="D713" s="9">
        <v>58</v>
      </c>
      <c r="E713" s="8" t="s">
        <v>93</v>
      </c>
      <c r="F713" s="8" t="s">
        <v>43</v>
      </c>
      <c r="G713" s="10">
        <v>45768</v>
      </c>
      <c r="H713" s="8" t="s">
        <v>26</v>
      </c>
      <c r="I713" s="8" t="s">
        <v>27</v>
      </c>
      <c r="J713" s="8" t="s">
        <v>48</v>
      </c>
      <c r="K713" s="8" t="s">
        <v>28</v>
      </c>
      <c r="L713" s="8" t="s">
        <v>116</v>
      </c>
      <c r="M713" s="8" t="s">
        <v>30</v>
      </c>
      <c r="N713" s="11">
        <v>84957</v>
      </c>
      <c r="O713" s="11">
        <v>34187</v>
      </c>
      <c r="P713" s="12">
        <v>82.1</v>
      </c>
      <c r="Q713" s="9">
        <v>5</v>
      </c>
      <c r="R713" s="13">
        <v>12</v>
      </c>
      <c r="S713" s="13">
        <v>5</v>
      </c>
      <c r="T713" s="9">
        <v>14</v>
      </c>
      <c r="U713" s="13">
        <v>99</v>
      </c>
      <c r="V713" s="8" t="s">
        <v>31</v>
      </c>
      <c r="W713" s="8"/>
      <c r="X713" s="22">
        <f>IF(V713="Yes",1,0)</f>
        <v>0</v>
      </c>
      <c r="Y713" s="22">
        <f>IF(H713="Active",0,1)</f>
        <v>0</v>
      </c>
    </row>
    <row r="714" spans="1:25" ht="18" customHeight="1" x14ac:dyDescent="0.35">
      <c r="A714" s="14" t="s">
        <v>1954</v>
      </c>
      <c r="B714" s="14" t="s">
        <v>199</v>
      </c>
      <c r="C714" s="14" t="s">
        <v>34</v>
      </c>
      <c r="D714" s="15">
        <v>30</v>
      </c>
      <c r="E714" s="14" t="s">
        <v>2303</v>
      </c>
      <c r="F714" s="14" t="s">
        <v>35</v>
      </c>
      <c r="G714" s="16">
        <v>45768</v>
      </c>
      <c r="H714" s="14" t="s">
        <v>26</v>
      </c>
      <c r="I714" s="14" t="s">
        <v>2267</v>
      </c>
      <c r="J714" s="14" t="s">
        <v>80</v>
      </c>
      <c r="K714" s="14" t="s">
        <v>73</v>
      </c>
      <c r="L714" s="14" t="s">
        <v>68</v>
      </c>
      <c r="M714" s="14" t="s">
        <v>64</v>
      </c>
      <c r="N714" s="17">
        <v>147872</v>
      </c>
      <c r="O714" s="17">
        <v>25707</v>
      </c>
      <c r="P714" s="18">
        <v>96.3</v>
      </c>
      <c r="Q714" s="15">
        <v>6</v>
      </c>
      <c r="R714" s="19">
        <v>24</v>
      </c>
      <c r="S714" s="19">
        <v>3</v>
      </c>
      <c r="T714" s="15">
        <v>28</v>
      </c>
      <c r="U714" s="19">
        <v>81</v>
      </c>
      <c r="V714" s="14" t="s">
        <v>69</v>
      </c>
      <c r="W714" s="14"/>
      <c r="X714" s="14">
        <f>IF(V714="Yes",1,0)</f>
        <v>1</v>
      </c>
      <c r="Y714" s="14">
        <f>IF(H714="Active",0,1)</f>
        <v>0</v>
      </c>
    </row>
    <row r="715" spans="1:25" ht="18" customHeight="1" x14ac:dyDescent="0.35">
      <c r="A715" s="8" t="s">
        <v>1385</v>
      </c>
      <c r="B715" s="8" t="s">
        <v>672</v>
      </c>
      <c r="C715" s="8" t="s">
        <v>25</v>
      </c>
      <c r="D715" s="9">
        <v>27</v>
      </c>
      <c r="E715" s="8" t="s">
        <v>52</v>
      </c>
      <c r="F715" s="8" t="s">
        <v>72</v>
      </c>
      <c r="G715" s="10">
        <v>45767</v>
      </c>
      <c r="H715" s="8" t="s">
        <v>26</v>
      </c>
      <c r="I715" s="8" t="s">
        <v>2267</v>
      </c>
      <c r="J715" s="8" t="s">
        <v>2270</v>
      </c>
      <c r="K715" s="8" t="s">
        <v>55</v>
      </c>
      <c r="L715" s="8" t="s">
        <v>29</v>
      </c>
      <c r="M715" s="8" t="s">
        <v>45</v>
      </c>
      <c r="N715" s="11">
        <v>90520</v>
      </c>
      <c r="O715" s="11">
        <v>17692</v>
      </c>
      <c r="P715" s="12">
        <v>92.5</v>
      </c>
      <c r="Q715" s="9">
        <v>5</v>
      </c>
      <c r="R715" s="13">
        <v>17</v>
      </c>
      <c r="S715" s="13">
        <v>5</v>
      </c>
      <c r="T715" s="9">
        <v>34</v>
      </c>
      <c r="U715" s="13">
        <v>62</v>
      </c>
      <c r="V715" s="8" t="s">
        <v>31</v>
      </c>
      <c r="W715" s="8"/>
      <c r="X715" s="22">
        <f>IF(V715="Yes",1,0)</f>
        <v>0</v>
      </c>
      <c r="Y715" s="22">
        <f>IF(H715="Active",0,1)</f>
        <v>0</v>
      </c>
    </row>
    <row r="716" spans="1:25" ht="18" customHeight="1" x14ac:dyDescent="0.35">
      <c r="A716" s="14" t="s">
        <v>1834</v>
      </c>
      <c r="B716" s="14" t="s">
        <v>250</v>
      </c>
      <c r="C716" s="14" t="s">
        <v>34</v>
      </c>
      <c r="D716" s="15">
        <v>37</v>
      </c>
      <c r="E716" s="14" t="s">
        <v>93</v>
      </c>
      <c r="F716" s="14" t="s">
        <v>43</v>
      </c>
      <c r="G716" s="16">
        <v>45767</v>
      </c>
      <c r="H716" s="14" t="s">
        <v>54</v>
      </c>
      <c r="I716" s="14" t="s">
        <v>36</v>
      </c>
      <c r="J716" s="14" t="s">
        <v>48</v>
      </c>
      <c r="K716" s="14" t="s">
        <v>2271</v>
      </c>
      <c r="L716" s="14" t="s">
        <v>44</v>
      </c>
      <c r="M716" s="14" t="s">
        <v>45</v>
      </c>
      <c r="N716" s="17">
        <v>42891</v>
      </c>
      <c r="O716" s="17">
        <v>33417</v>
      </c>
      <c r="P716" s="18">
        <v>99.4</v>
      </c>
      <c r="Q716" s="15">
        <v>10</v>
      </c>
      <c r="R716" s="19">
        <v>19</v>
      </c>
      <c r="S716" s="19">
        <v>3</v>
      </c>
      <c r="T716" s="15">
        <v>19</v>
      </c>
      <c r="U716" s="19">
        <v>76</v>
      </c>
      <c r="V716" s="14" t="s">
        <v>31</v>
      </c>
      <c r="W716" s="14" t="s">
        <v>123</v>
      </c>
      <c r="X716" s="14">
        <f>IF(V716="Yes",1,0)</f>
        <v>0</v>
      </c>
      <c r="Y716" s="14">
        <f>IF(H716="Active",0,1)</f>
        <v>1</v>
      </c>
    </row>
    <row r="717" spans="1:25" ht="18" customHeight="1" x14ac:dyDescent="0.35">
      <c r="A717" s="14" t="s">
        <v>2014</v>
      </c>
      <c r="B717" s="14" t="s">
        <v>789</v>
      </c>
      <c r="C717" s="14" t="s">
        <v>34</v>
      </c>
      <c r="D717" s="15">
        <v>38</v>
      </c>
      <c r="E717" s="14" t="s">
        <v>93</v>
      </c>
      <c r="F717" s="14" t="s">
        <v>12</v>
      </c>
      <c r="G717" s="16">
        <v>45767</v>
      </c>
      <c r="H717" s="14" t="s">
        <v>26</v>
      </c>
      <c r="I717" s="14" t="s">
        <v>36</v>
      </c>
      <c r="J717" s="14" t="s">
        <v>48</v>
      </c>
      <c r="K717" s="14" t="s">
        <v>37</v>
      </c>
      <c r="L717" s="14" t="s">
        <v>116</v>
      </c>
      <c r="M717" s="14" t="s">
        <v>39</v>
      </c>
      <c r="N717" s="17">
        <v>154186</v>
      </c>
      <c r="O717" s="17">
        <v>26916</v>
      </c>
      <c r="P717" s="18">
        <v>82.8</v>
      </c>
      <c r="Q717" s="15">
        <v>8</v>
      </c>
      <c r="R717" s="19">
        <v>15</v>
      </c>
      <c r="S717" s="19">
        <v>5</v>
      </c>
      <c r="T717" s="15">
        <v>38</v>
      </c>
      <c r="U717" s="19">
        <v>91</v>
      </c>
      <c r="V717" s="14" t="s">
        <v>69</v>
      </c>
      <c r="W717" s="14"/>
      <c r="X717" s="14">
        <f>IF(V717="Yes",1,0)</f>
        <v>1</v>
      </c>
      <c r="Y717" s="14">
        <f>IF(H717="Active",0,1)</f>
        <v>0</v>
      </c>
    </row>
    <row r="718" spans="1:25" ht="18" customHeight="1" x14ac:dyDescent="0.35">
      <c r="A718" s="8" t="s">
        <v>1105</v>
      </c>
      <c r="B718" s="8" t="s">
        <v>169</v>
      </c>
      <c r="C718" s="8" t="s">
        <v>25</v>
      </c>
      <c r="D718" s="9">
        <v>51</v>
      </c>
      <c r="E718" s="8" t="s">
        <v>42</v>
      </c>
      <c r="F718" s="8" t="s">
        <v>53</v>
      </c>
      <c r="G718" s="10">
        <v>45766</v>
      </c>
      <c r="H718" s="8" t="s">
        <v>26</v>
      </c>
      <c r="I718" s="8" t="s">
        <v>36</v>
      </c>
      <c r="J718" s="8" t="s">
        <v>80</v>
      </c>
      <c r="K718" s="8" t="s">
        <v>73</v>
      </c>
      <c r="L718" s="8" t="s">
        <v>116</v>
      </c>
      <c r="M718" s="8" t="s">
        <v>45</v>
      </c>
      <c r="N718" s="11">
        <v>190712</v>
      </c>
      <c r="O718" s="11">
        <v>41887</v>
      </c>
      <c r="P718" s="12">
        <v>93</v>
      </c>
      <c r="Q718" s="9">
        <v>2</v>
      </c>
      <c r="R718" s="13">
        <v>2</v>
      </c>
      <c r="S718" s="13">
        <v>1</v>
      </c>
      <c r="T718" s="9">
        <v>3</v>
      </c>
      <c r="U718" s="13">
        <v>92</v>
      </c>
      <c r="V718" s="8" t="s">
        <v>69</v>
      </c>
      <c r="W718" s="8"/>
      <c r="X718" s="22">
        <f>IF(V718="Yes",1,0)</f>
        <v>1</v>
      </c>
      <c r="Y718" s="22">
        <f>IF(H718="Active",0,1)</f>
        <v>0</v>
      </c>
    </row>
    <row r="719" spans="1:25" ht="18" customHeight="1" x14ac:dyDescent="0.35">
      <c r="A719" s="8" t="s">
        <v>1855</v>
      </c>
      <c r="B719" s="8" t="s">
        <v>403</v>
      </c>
      <c r="C719" s="8" t="s">
        <v>25</v>
      </c>
      <c r="D719" s="9">
        <v>33</v>
      </c>
      <c r="E719" s="8" t="s">
        <v>42</v>
      </c>
      <c r="F719" s="8" t="s">
        <v>43</v>
      </c>
      <c r="G719" s="10">
        <v>45766</v>
      </c>
      <c r="H719" s="8" t="s">
        <v>26</v>
      </c>
      <c r="I719" s="8" t="s">
        <v>2267</v>
      </c>
      <c r="J719" s="8" t="s">
        <v>2269</v>
      </c>
      <c r="K719" s="8" t="s">
        <v>28</v>
      </c>
      <c r="L719" s="8" t="s">
        <v>87</v>
      </c>
      <c r="M719" s="8" t="s">
        <v>30</v>
      </c>
      <c r="N719" s="11">
        <v>115672</v>
      </c>
      <c r="O719" s="11">
        <v>27649</v>
      </c>
      <c r="P719" s="12">
        <v>95.1</v>
      </c>
      <c r="Q719" s="9">
        <v>5</v>
      </c>
      <c r="R719" s="13">
        <v>25</v>
      </c>
      <c r="S719" s="13">
        <v>3</v>
      </c>
      <c r="T719" s="9">
        <v>5</v>
      </c>
      <c r="U719" s="13">
        <v>70</v>
      </c>
      <c r="V719" s="8" t="s">
        <v>31</v>
      </c>
      <c r="W719" s="8"/>
      <c r="X719" s="22">
        <f>IF(V719="Yes",1,0)</f>
        <v>0</v>
      </c>
      <c r="Y719" s="22">
        <f>IF(H719="Active",0,1)</f>
        <v>0</v>
      </c>
    </row>
    <row r="720" spans="1:25" ht="18" customHeight="1" x14ac:dyDescent="0.35">
      <c r="A720" s="14" t="s">
        <v>1225</v>
      </c>
      <c r="B720" s="14" t="s">
        <v>240</v>
      </c>
      <c r="C720" s="14" t="s">
        <v>25</v>
      </c>
      <c r="D720" s="15">
        <v>48</v>
      </c>
      <c r="E720" s="14" t="s">
        <v>2303</v>
      </c>
      <c r="F720" s="14" t="s">
        <v>43</v>
      </c>
      <c r="G720" s="16">
        <v>45765</v>
      </c>
      <c r="H720" s="14" t="s">
        <v>26</v>
      </c>
      <c r="I720" s="14" t="s">
        <v>36</v>
      </c>
      <c r="J720" s="14" t="s">
        <v>2269</v>
      </c>
      <c r="K720" s="14" t="s">
        <v>73</v>
      </c>
      <c r="L720" s="14" t="s">
        <v>38</v>
      </c>
      <c r="M720" s="14" t="s">
        <v>39</v>
      </c>
      <c r="N720" s="17">
        <v>249448</v>
      </c>
      <c r="O720" s="17">
        <v>37720</v>
      </c>
      <c r="P720" s="18">
        <v>97</v>
      </c>
      <c r="Q720" s="15">
        <v>6</v>
      </c>
      <c r="R720" s="19">
        <v>19</v>
      </c>
      <c r="S720" s="19">
        <v>4</v>
      </c>
      <c r="T720" s="15">
        <v>37</v>
      </c>
      <c r="U720" s="19">
        <v>91</v>
      </c>
      <c r="V720" s="14" t="s">
        <v>69</v>
      </c>
      <c r="W720" s="14"/>
      <c r="X720" s="14">
        <f>IF(V720="Yes",1,0)</f>
        <v>1</v>
      </c>
      <c r="Y720" s="14">
        <f>IF(H720="Active",0,1)</f>
        <v>0</v>
      </c>
    </row>
    <row r="721" spans="1:25" ht="18" customHeight="1" x14ac:dyDescent="0.35">
      <c r="A721" s="8" t="s">
        <v>1245</v>
      </c>
      <c r="B721" s="8" t="s">
        <v>815</v>
      </c>
      <c r="C721" s="8" t="s">
        <v>25</v>
      </c>
      <c r="D721" s="9">
        <v>42</v>
      </c>
      <c r="E721" s="8" t="s">
        <v>42</v>
      </c>
      <c r="F721" s="8" t="s">
        <v>72</v>
      </c>
      <c r="G721" s="10">
        <v>45765</v>
      </c>
      <c r="H721" s="8" t="s">
        <v>26</v>
      </c>
      <c r="I721" s="8" t="s">
        <v>2267</v>
      </c>
      <c r="J721" s="8" t="s">
        <v>2269</v>
      </c>
      <c r="K721" s="8" t="s">
        <v>55</v>
      </c>
      <c r="L721" s="8" t="s">
        <v>49</v>
      </c>
      <c r="M721" s="8" t="s">
        <v>60</v>
      </c>
      <c r="N721" s="11">
        <v>173513</v>
      </c>
      <c r="O721" s="11">
        <v>15156</v>
      </c>
      <c r="P721" s="12">
        <v>90.9</v>
      </c>
      <c r="Q721" s="9">
        <v>3</v>
      </c>
      <c r="R721" s="13">
        <v>11</v>
      </c>
      <c r="S721" s="13">
        <v>1</v>
      </c>
      <c r="T721" s="9">
        <v>17</v>
      </c>
      <c r="U721" s="13">
        <v>75</v>
      </c>
      <c r="V721" s="8" t="s">
        <v>31</v>
      </c>
      <c r="W721" s="8"/>
      <c r="X721" s="22">
        <f>IF(V721="Yes",1,0)</f>
        <v>0</v>
      </c>
      <c r="Y721" s="22">
        <f>IF(H721="Active",0,1)</f>
        <v>0</v>
      </c>
    </row>
    <row r="722" spans="1:25" ht="18" customHeight="1" x14ac:dyDescent="0.35">
      <c r="A722" s="8" t="s">
        <v>1387</v>
      </c>
      <c r="B722" s="8" t="s">
        <v>789</v>
      </c>
      <c r="C722" s="8" t="s">
        <v>25</v>
      </c>
      <c r="D722" s="9">
        <v>24</v>
      </c>
      <c r="E722" s="8" t="s">
        <v>63</v>
      </c>
      <c r="F722" s="8" t="s">
        <v>35</v>
      </c>
      <c r="G722" s="10">
        <v>45765</v>
      </c>
      <c r="H722" s="8" t="s">
        <v>26</v>
      </c>
      <c r="I722" s="8" t="s">
        <v>2267</v>
      </c>
      <c r="J722" s="8" t="s">
        <v>80</v>
      </c>
      <c r="K722" s="8" t="s">
        <v>55</v>
      </c>
      <c r="L722" s="8" t="s">
        <v>56</v>
      </c>
      <c r="M722" s="8" t="s">
        <v>30</v>
      </c>
      <c r="N722" s="11">
        <v>121646</v>
      </c>
      <c r="O722" s="11">
        <v>5092</v>
      </c>
      <c r="P722" s="12">
        <v>88.1</v>
      </c>
      <c r="Q722" s="9">
        <v>1</v>
      </c>
      <c r="R722" s="13">
        <v>24</v>
      </c>
      <c r="S722" s="13">
        <v>5</v>
      </c>
      <c r="T722" s="9">
        <v>34</v>
      </c>
      <c r="U722" s="13">
        <v>68</v>
      </c>
      <c r="V722" s="8" t="s">
        <v>31</v>
      </c>
      <c r="W722" s="8"/>
      <c r="X722" s="22">
        <f>IF(V722="Yes",1,0)</f>
        <v>0</v>
      </c>
      <c r="Y722" s="22">
        <f>IF(H722="Active",0,1)</f>
        <v>0</v>
      </c>
    </row>
    <row r="723" spans="1:25" ht="18" customHeight="1" x14ac:dyDescent="0.35">
      <c r="A723" s="14" t="s">
        <v>1774</v>
      </c>
      <c r="B723" s="14" t="s">
        <v>155</v>
      </c>
      <c r="C723" s="14" t="s">
        <v>34</v>
      </c>
      <c r="D723" s="15">
        <v>33</v>
      </c>
      <c r="E723" s="14" t="s">
        <v>42</v>
      </c>
      <c r="F723" s="14" t="s">
        <v>72</v>
      </c>
      <c r="G723" s="16">
        <v>45761</v>
      </c>
      <c r="H723" s="14" t="s">
        <v>26</v>
      </c>
      <c r="I723" s="14" t="s">
        <v>27</v>
      </c>
      <c r="J723" s="14" t="s">
        <v>2270</v>
      </c>
      <c r="K723" s="14" t="s">
        <v>55</v>
      </c>
      <c r="L723" s="14" t="s">
        <v>44</v>
      </c>
      <c r="M723" s="14" t="s">
        <v>60</v>
      </c>
      <c r="N723" s="17">
        <v>234006</v>
      </c>
      <c r="O723" s="17">
        <v>24771</v>
      </c>
      <c r="P723" s="18">
        <v>80.099999999999994</v>
      </c>
      <c r="Q723" s="15">
        <v>5</v>
      </c>
      <c r="R723" s="19">
        <v>2</v>
      </c>
      <c r="S723" s="19">
        <v>4</v>
      </c>
      <c r="T723" s="15">
        <v>13</v>
      </c>
      <c r="U723" s="19">
        <v>63</v>
      </c>
      <c r="V723" s="14" t="s">
        <v>31</v>
      </c>
      <c r="W723" s="14"/>
      <c r="X723" s="14">
        <f>IF(V723="Yes",1,0)</f>
        <v>0</v>
      </c>
      <c r="Y723" s="14">
        <f>IF(H723="Active",0,1)</f>
        <v>0</v>
      </c>
    </row>
    <row r="724" spans="1:25" ht="18" customHeight="1" x14ac:dyDescent="0.35">
      <c r="A724" s="14" t="s">
        <v>2098</v>
      </c>
      <c r="B724" s="14" t="s">
        <v>179</v>
      </c>
      <c r="C724" s="14" t="s">
        <v>34</v>
      </c>
      <c r="D724" s="15">
        <v>38</v>
      </c>
      <c r="E724" s="14" t="s">
        <v>52</v>
      </c>
      <c r="F724" s="14" t="s">
        <v>79</v>
      </c>
      <c r="G724" s="16">
        <v>45761</v>
      </c>
      <c r="H724" s="14" t="s">
        <v>26</v>
      </c>
      <c r="I724" s="14" t="s">
        <v>2267</v>
      </c>
      <c r="J724" s="14" t="s">
        <v>80</v>
      </c>
      <c r="K724" s="14" t="s">
        <v>73</v>
      </c>
      <c r="L724" s="14" t="s">
        <v>44</v>
      </c>
      <c r="M724" s="14" t="s">
        <v>45</v>
      </c>
      <c r="N724" s="17">
        <v>175889</v>
      </c>
      <c r="O724" s="17">
        <v>18548</v>
      </c>
      <c r="P724" s="18">
        <v>94.9</v>
      </c>
      <c r="Q724" s="15">
        <v>9</v>
      </c>
      <c r="R724" s="19">
        <v>7</v>
      </c>
      <c r="S724" s="19">
        <v>4</v>
      </c>
      <c r="T724" s="15">
        <v>37</v>
      </c>
      <c r="U724" s="19">
        <v>70</v>
      </c>
      <c r="V724" s="14" t="s">
        <v>31</v>
      </c>
      <c r="W724" s="14"/>
      <c r="X724" s="14">
        <f>IF(V724="Yes",1,0)</f>
        <v>0</v>
      </c>
      <c r="Y724" s="14">
        <f>IF(H724="Active",0,1)</f>
        <v>0</v>
      </c>
    </row>
    <row r="725" spans="1:25" ht="18" customHeight="1" x14ac:dyDescent="0.35">
      <c r="A725" s="14" t="s">
        <v>249</v>
      </c>
      <c r="B725" s="14" t="s">
        <v>250</v>
      </c>
      <c r="C725" s="14" t="s">
        <v>25</v>
      </c>
      <c r="D725" s="15">
        <v>57</v>
      </c>
      <c r="E725" s="14" t="s">
        <v>93</v>
      </c>
      <c r="F725" s="14" t="s">
        <v>12</v>
      </c>
      <c r="G725" s="16">
        <v>45760</v>
      </c>
      <c r="H725" s="14" t="s">
        <v>26</v>
      </c>
      <c r="I725" s="14" t="s">
        <v>2267</v>
      </c>
      <c r="J725" s="14" t="s">
        <v>48</v>
      </c>
      <c r="K725" s="14" t="s">
        <v>73</v>
      </c>
      <c r="L725" s="14" t="s">
        <v>68</v>
      </c>
      <c r="M725" s="14" t="s">
        <v>60</v>
      </c>
      <c r="N725" s="17">
        <v>121719</v>
      </c>
      <c r="O725" s="17">
        <v>21460</v>
      </c>
      <c r="P725" s="18">
        <v>90.5</v>
      </c>
      <c r="Q725" s="15">
        <v>1</v>
      </c>
      <c r="R725" s="19">
        <v>1</v>
      </c>
      <c r="S725" s="19">
        <v>5</v>
      </c>
      <c r="T725" s="15">
        <v>34</v>
      </c>
      <c r="U725" s="19">
        <v>91</v>
      </c>
      <c r="V725" s="14" t="s">
        <v>31</v>
      </c>
      <c r="W725" s="14"/>
      <c r="X725" s="14">
        <f>IF(V725="Yes",1,0)</f>
        <v>0</v>
      </c>
      <c r="Y725" s="14">
        <f>IF(H725="Active",0,1)</f>
        <v>0</v>
      </c>
    </row>
    <row r="726" spans="1:25" ht="18" customHeight="1" x14ac:dyDescent="0.35">
      <c r="A726" s="8" t="s">
        <v>1285</v>
      </c>
      <c r="B726" s="8" t="s">
        <v>551</v>
      </c>
      <c r="C726" s="8" t="s">
        <v>34</v>
      </c>
      <c r="D726" s="9">
        <v>45</v>
      </c>
      <c r="E726" s="8" t="s">
        <v>109</v>
      </c>
      <c r="F726" s="8" t="s">
        <v>35</v>
      </c>
      <c r="G726" s="10">
        <v>45760</v>
      </c>
      <c r="H726" s="8" t="s">
        <v>26</v>
      </c>
      <c r="I726" s="8" t="s">
        <v>36</v>
      </c>
      <c r="J726" s="8" t="s">
        <v>2269</v>
      </c>
      <c r="K726" s="8" t="s">
        <v>28</v>
      </c>
      <c r="L726" s="8" t="s">
        <v>87</v>
      </c>
      <c r="M726" s="8" t="s">
        <v>60</v>
      </c>
      <c r="N726" s="11">
        <v>106468</v>
      </c>
      <c r="O726" s="11">
        <v>40577</v>
      </c>
      <c r="P726" s="12">
        <v>82.5</v>
      </c>
      <c r="Q726" s="9">
        <v>6</v>
      </c>
      <c r="R726" s="13">
        <v>23</v>
      </c>
      <c r="S726" s="13">
        <v>4</v>
      </c>
      <c r="T726" s="9">
        <v>36</v>
      </c>
      <c r="U726" s="13">
        <v>91</v>
      </c>
      <c r="V726" s="8" t="s">
        <v>69</v>
      </c>
      <c r="W726" s="8"/>
      <c r="X726" s="22">
        <f>IF(V726="Yes",1,0)</f>
        <v>1</v>
      </c>
      <c r="Y726" s="22">
        <f>IF(H726="Active",0,1)</f>
        <v>0</v>
      </c>
    </row>
    <row r="727" spans="1:25" ht="18" customHeight="1" x14ac:dyDescent="0.35">
      <c r="A727" s="8" t="s">
        <v>683</v>
      </c>
      <c r="B727" s="8" t="s">
        <v>300</v>
      </c>
      <c r="C727" s="8" t="s">
        <v>25</v>
      </c>
      <c r="D727" s="9">
        <v>28</v>
      </c>
      <c r="E727" s="8" t="s">
        <v>109</v>
      </c>
      <c r="F727" s="8" t="s">
        <v>90</v>
      </c>
      <c r="G727" s="10">
        <v>45759</v>
      </c>
      <c r="H727" s="8" t="s">
        <v>26</v>
      </c>
      <c r="I727" s="8" t="s">
        <v>2267</v>
      </c>
      <c r="J727" s="8" t="s">
        <v>2268</v>
      </c>
      <c r="K727" s="8" t="s">
        <v>73</v>
      </c>
      <c r="L727" s="8" t="s">
        <v>87</v>
      </c>
      <c r="M727" s="8" t="s">
        <v>64</v>
      </c>
      <c r="N727" s="11">
        <v>116496</v>
      </c>
      <c r="O727" s="11">
        <v>27501</v>
      </c>
      <c r="P727" s="12">
        <v>84.3</v>
      </c>
      <c r="Q727" s="9">
        <v>2</v>
      </c>
      <c r="R727" s="13">
        <v>24</v>
      </c>
      <c r="S727" s="13">
        <v>2</v>
      </c>
      <c r="T727" s="9">
        <v>0</v>
      </c>
      <c r="U727" s="13">
        <v>86</v>
      </c>
      <c r="V727" s="8" t="s">
        <v>31</v>
      </c>
      <c r="W727" s="8"/>
      <c r="X727" s="22">
        <f>IF(V727="Yes",1,0)</f>
        <v>0</v>
      </c>
      <c r="Y727" s="22">
        <f>IF(H727="Active",0,1)</f>
        <v>0</v>
      </c>
    </row>
    <row r="728" spans="1:25" ht="18" customHeight="1" x14ac:dyDescent="0.35">
      <c r="A728" s="14" t="s">
        <v>1534</v>
      </c>
      <c r="B728" s="14" t="s">
        <v>341</v>
      </c>
      <c r="C728" s="14" t="s">
        <v>34</v>
      </c>
      <c r="D728" s="15">
        <v>42</v>
      </c>
      <c r="E728" s="14" t="s">
        <v>63</v>
      </c>
      <c r="F728" s="14" t="s">
        <v>76</v>
      </c>
      <c r="G728" s="16">
        <v>45759</v>
      </c>
      <c r="H728" s="14" t="s">
        <v>26</v>
      </c>
      <c r="I728" s="14" t="s">
        <v>36</v>
      </c>
      <c r="J728" s="14" t="s">
        <v>2270</v>
      </c>
      <c r="K728" s="14" t="s">
        <v>55</v>
      </c>
      <c r="L728" s="14" t="s">
        <v>87</v>
      </c>
      <c r="M728" s="14" t="s">
        <v>39</v>
      </c>
      <c r="N728" s="17">
        <v>191218</v>
      </c>
      <c r="O728" s="17">
        <v>30441</v>
      </c>
      <c r="P728" s="18">
        <v>92.4</v>
      </c>
      <c r="Q728" s="15">
        <v>7</v>
      </c>
      <c r="R728" s="19">
        <v>29</v>
      </c>
      <c r="S728" s="19">
        <v>4</v>
      </c>
      <c r="T728" s="15">
        <v>2</v>
      </c>
      <c r="U728" s="19">
        <v>99</v>
      </c>
      <c r="V728" s="14" t="s">
        <v>31</v>
      </c>
      <c r="W728" s="14"/>
      <c r="X728" s="14">
        <f>IF(V728="Yes",1,0)</f>
        <v>0</v>
      </c>
      <c r="Y728" s="14">
        <f>IF(H728="Active",0,1)</f>
        <v>0</v>
      </c>
    </row>
    <row r="729" spans="1:25" ht="18" customHeight="1" x14ac:dyDescent="0.35">
      <c r="A729" s="14" t="s">
        <v>1942</v>
      </c>
      <c r="B729" s="14" t="s">
        <v>439</v>
      </c>
      <c r="C729" s="14" t="s">
        <v>25</v>
      </c>
      <c r="D729" s="15">
        <v>60</v>
      </c>
      <c r="E729" s="14" t="s">
        <v>67</v>
      </c>
      <c r="F729" s="14" t="s">
        <v>72</v>
      </c>
      <c r="G729" s="16">
        <v>45759</v>
      </c>
      <c r="H729" s="14" t="s">
        <v>26</v>
      </c>
      <c r="I729" s="14" t="s">
        <v>36</v>
      </c>
      <c r="J729" s="14" t="s">
        <v>2268</v>
      </c>
      <c r="K729" s="14" t="s">
        <v>55</v>
      </c>
      <c r="L729" s="14" t="s">
        <v>68</v>
      </c>
      <c r="M729" s="14" t="s">
        <v>45</v>
      </c>
      <c r="N729" s="17">
        <v>72048</v>
      </c>
      <c r="O729" s="17">
        <v>32904</v>
      </c>
      <c r="P729" s="18">
        <v>90</v>
      </c>
      <c r="Q729" s="15">
        <v>1</v>
      </c>
      <c r="R729" s="19">
        <v>26</v>
      </c>
      <c r="S729" s="19">
        <v>1</v>
      </c>
      <c r="T729" s="15">
        <v>11</v>
      </c>
      <c r="U729" s="19">
        <v>73</v>
      </c>
      <c r="V729" s="14" t="s">
        <v>69</v>
      </c>
      <c r="W729" s="14"/>
      <c r="X729" s="14">
        <f>IF(V729="Yes",1,0)</f>
        <v>1</v>
      </c>
      <c r="Y729" s="14">
        <f>IF(H729="Active",0,1)</f>
        <v>0</v>
      </c>
    </row>
    <row r="730" spans="1:25" ht="18" customHeight="1" x14ac:dyDescent="0.35">
      <c r="A730" s="8" t="s">
        <v>2173</v>
      </c>
      <c r="B730" s="8" t="s">
        <v>106</v>
      </c>
      <c r="C730" s="8" t="s">
        <v>34</v>
      </c>
      <c r="D730" s="9">
        <v>22</v>
      </c>
      <c r="E730" s="8" t="s">
        <v>2304</v>
      </c>
      <c r="F730" s="8" t="s">
        <v>72</v>
      </c>
      <c r="G730" s="10">
        <v>45759</v>
      </c>
      <c r="H730" s="8" t="s">
        <v>26</v>
      </c>
      <c r="I730" s="8" t="s">
        <v>2267</v>
      </c>
      <c r="J730" s="8" t="s">
        <v>2270</v>
      </c>
      <c r="K730" s="8" t="s">
        <v>28</v>
      </c>
      <c r="L730" s="8" t="s">
        <v>87</v>
      </c>
      <c r="M730" s="8" t="s">
        <v>30</v>
      </c>
      <c r="N730" s="11">
        <v>249281</v>
      </c>
      <c r="O730" s="11">
        <v>31912</v>
      </c>
      <c r="P730" s="12">
        <v>100</v>
      </c>
      <c r="Q730" s="9">
        <v>7</v>
      </c>
      <c r="R730" s="13">
        <v>19</v>
      </c>
      <c r="S730" s="13">
        <v>5</v>
      </c>
      <c r="T730" s="9">
        <v>5</v>
      </c>
      <c r="U730" s="13">
        <v>86</v>
      </c>
      <c r="V730" s="8" t="s">
        <v>69</v>
      </c>
      <c r="W730" s="8"/>
      <c r="X730" s="22">
        <f>IF(V730="Yes",1,0)</f>
        <v>1</v>
      </c>
      <c r="Y730" s="22">
        <f>IF(H730="Active",0,1)</f>
        <v>0</v>
      </c>
    </row>
    <row r="731" spans="1:25" ht="18" customHeight="1" x14ac:dyDescent="0.35">
      <c r="A731" s="14" t="s">
        <v>395</v>
      </c>
      <c r="B731" s="14" t="s">
        <v>278</v>
      </c>
      <c r="C731" s="14" t="s">
        <v>34</v>
      </c>
      <c r="D731" s="15">
        <v>51</v>
      </c>
      <c r="E731" s="14" t="s">
        <v>52</v>
      </c>
      <c r="F731" s="14" t="s">
        <v>35</v>
      </c>
      <c r="G731" s="16">
        <v>45758</v>
      </c>
      <c r="H731" s="14" t="s">
        <v>54</v>
      </c>
      <c r="I731" s="14" t="s">
        <v>36</v>
      </c>
      <c r="J731" s="14" t="s">
        <v>2268</v>
      </c>
      <c r="K731" s="14" t="s">
        <v>55</v>
      </c>
      <c r="L731" s="14" t="s">
        <v>56</v>
      </c>
      <c r="M731" s="14" t="s">
        <v>64</v>
      </c>
      <c r="N731" s="17">
        <v>104795</v>
      </c>
      <c r="O731" s="17">
        <v>36868</v>
      </c>
      <c r="P731" s="18">
        <v>82.6</v>
      </c>
      <c r="Q731" s="15">
        <v>5</v>
      </c>
      <c r="R731" s="19">
        <v>19</v>
      </c>
      <c r="S731" s="19">
        <v>5</v>
      </c>
      <c r="T731" s="15">
        <v>9</v>
      </c>
      <c r="U731" s="19">
        <v>69</v>
      </c>
      <c r="V731" s="14" t="s">
        <v>31</v>
      </c>
      <c r="W731" s="14" t="s">
        <v>96</v>
      </c>
      <c r="X731" s="14">
        <f>IF(V731="Yes",1,0)</f>
        <v>0</v>
      </c>
      <c r="Y731" s="14">
        <f>IF(H731="Active",0,1)</f>
        <v>1</v>
      </c>
    </row>
    <row r="732" spans="1:25" ht="18" customHeight="1" x14ac:dyDescent="0.35">
      <c r="A732" s="8" t="s">
        <v>448</v>
      </c>
      <c r="B732" s="8" t="s">
        <v>134</v>
      </c>
      <c r="C732" s="8" t="s">
        <v>34</v>
      </c>
      <c r="D732" s="9">
        <v>38</v>
      </c>
      <c r="E732" s="8" t="s">
        <v>67</v>
      </c>
      <c r="F732" s="8" t="s">
        <v>43</v>
      </c>
      <c r="G732" s="10">
        <v>45758</v>
      </c>
      <c r="H732" s="8" t="s">
        <v>26</v>
      </c>
      <c r="I732" s="8" t="s">
        <v>2267</v>
      </c>
      <c r="J732" s="8" t="s">
        <v>2269</v>
      </c>
      <c r="K732" s="8" t="s">
        <v>73</v>
      </c>
      <c r="L732" s="8" t="s">
        <v>29</v>
      </c>
      <c r="M732" s="8" t="s">
        <v>30</v>
      </c>
      <c r="N732" s="11">
        <v>181937</v>
      </c>
      <c r="O732" s="11">
        <v>38907</v>
      </c>
      <c r="P732" s="12">
        <v>83.7</v>
      </c>
      <c r="Q732" s="9">
        <v>9</v>
      </c>
      <c r="R732" s="13">
        <v>17</v>
      </c>
      <c r="S732" s="13">
        <v>1</v>
      </c>
      <c r="T732" s="9">
        <v>7</v>
      </c>
      <c r="U732" s="13">
        <v>61</v>
      </c>
      <c r="V732" s="8" t="s">
        <v>31</v>
      </c>
      <c r="W732" s="8"/>
      <c r="X732" s="22">
        <f>IF(V732="Yes",1,0)</f>
        <v>0</v>
      </c>
      <c r="Y732" s="22">
        <f>IF(H732="Active",0,1)</f>
        <v>0</v>
      </c>
    </row>
    <row r="733" spans="1:25" ht="18" customHeight="1" x14ac:dyDescent="0.35">
      <c r="A733" s="8" t="s">
        <v>693</v>
      </c>
      <c r="B733" s="8" t="s">
        <v>694</v>
      </c>
      <c r="C733" s="8" t="s">
        <v>25</v>
      </c>
      <c r="D733" s="9">
        <v>56</v>
      </c>
      <c r="E733" s="8" t="s">
        <v>52</v>
      </c>
      <c r="F733" s="8" t="s">
        <v>72</v>
      </c>
      <c r="G733" s="10">
        <v>45758</v>
      </c>
      <c r="H733" s="8" t="s">
        <v>26</v>
      </c>
      <c r="I733" s="8" t="s">
        <v>27</v>
      </c>
      <c r="J733" s="8" t="s">
        <v>2270</v>
      </c>
      <c r="K733" s="8" t="s">
        <v>2271</v>
      </c>
      <c r="L733" s="8" t="s">
        <v>68</v>
      </c>
      <c r="M733" s="8" t="s">
        <v>45</v>
      </c>
      <c r="N733" s="11">
        <v>166757</v>
      </c>
      <c r="O733" s="11">
        <v>6110</v>
      </c>
      <c r="P733" s="12">
        <v>94.6</v>
      </c>
      <c r="Q733" s="9">
        <v>2</v>
      </c>
      <c r="R733" s="13">
        <v>4</v>
      </c>
      <c r="S733" s="13">
        <v>5</v>
      </c>
      <c r="T733" s="9">
        <v>14</v>
      </c>
      <c r="U733" s="13">
        <v>75</v>
      </c>
      <c r="V733" s="8" t="s">
        <v>69</v>
      </c>
      <c r="W733" s="8"/>
      <c r="X733" s="22">
        <f>IF(V733="Yes",1,0)</f>
        <v>1</v>
      </c>
      <c r="Y733" s="22">
        <f>IF(H733="Active",0,1)</f>
        <v>0</v>
      </c>
    </row>
    <row r="734" spans="1:25" ht="18" customHeight="1" x14ac:dyDescent="0.35">
      <c r="A734" s="14" t="s">
        <v>1504</v>
      </c>
      <c r="B734" s="14" t="s">
        <v>454</v>
      </c>
      <c r="C734" s="14" t="s">
        <v>34</v>
      </c>
      <c r="D734" s="15">
        <v>41</v>
      </c>
      <c r="E734" s="14" t="s">
        <v>63</v>
      </c>
      <c r="F734" s="14" t="s">
        <v>72</v>
      </c>
      <c r="G734" s="16">
        <v>45758</v>
      </c>
      <c r="H734" s="14" t="s">
        <v>26</v>
      </c>
      <c r="I734" s="14" t="s">
        <v>27</v>
      </c>
      <c r="J734" s="14" t="s">
        <v>48</v>
      </c>
      <c r="K734" s="14" t="s">
        <v>2271</v>
      </c>
      <c r="L734" s="14" t="s">
        <v>49</v>
      </c>
      <c r="M734" s="14" t="s">
        <v>30</v>
      </c>
      <c r="N734" s="17">
        <v>178370</v>
      </c>
      <c r="O734" s="17">
        <v>26232</v>
      </c>
      <c r="P734" s="18">
        <v>93</v>
      </c>
      <c r="Q734" s="15">
        <v>1</v>
      </c>
      <c r="R734" s="19">
        <v>24</v>
      </c>
      <c r="S734" s="19">
        <v>5</v>
      </c>
      <c r="T734" s="15">
        <v>10</v>
      </c>
      <c r="U734" s="19">
        <v>60</v>
      </c>
      <c r="V734" s="14" t="s">
        <v>31</v>
      </c>
      <c r="W734" s="14"/>
      <c r="X734" s="14">
        <f>IF(V734="Yes",1,0)</f>
        <v>0</v>
      </c>
      <c r="Y734" s="14">
        <f>IF(H734="Active",0,1)</f>
        <v>0</v>
      </c>
    </row>
    <row r="735" spans="1:25" ht="18" customHeight="1" x14ac:dyDescent="0.35">
      <c r="A735" s="8" t="s">
        <v>1827</v>
      </c>
      <c r="B735" s="8" t="s">
        <v>184</v>
      </c>
      <c r="C735" s="8" t="s">
        <v>34</v>
      </c>
      <c r="D735" s="9">
        <v>40</v>
      </c>
      <c r="E735" s="8" t="s">
        <v>93</v>
      </c>
      <c r="F735" s="8" t="s">
        <v>35</v>
      </c>
      <c r="G735" s="10">
        <v>45758</v>
      </c>
      <c r="H735" s="8" t="s">
        <v>26</v>
      </c>
      <c r="I735" s="8" t="s">
        <v>36</v>
      </c>
      <c r="J735" s="8" t="s">
        <v>2268</v>
      </c>
      <c r="K735" s="8" t="s">
        <v>55</v>
      </c>
      <c r="L735" s="8" t="s">
        <v>87</v>
      </c>
      <c r="M735" s="8" t="s">
        <v>64</v>
      </c>
      <c r="N735" s="11">
        <v>105806</v>
      </c>
      <c r="O735" s="11">
        <v>22110</v>
      </c>
      <c r="P735" s="12">
        <v>96.6</v>
      </c>
      <c r="Q735" s="9">
        <v>1</v>
      </c>
      <c r="R735" s="13">
        <v>4</v>
      </c>
      <c r="S735" s="13">
        <v>4</v>
      </c>
      <c r="T735" s="9">
        <v>22</v>
      </c>
      <c r="U735" s="13">
        <v>62</v>
      </c>
      <c r="V735" s="8" t="s">
        <v>31</v>
      </c>
      <c r="W735" s="8"/>
      <c r="X735" s="22">
        <f>IF(V735="Yes",1,0)</f>
        <v>0</v>
      </c>
      <c r="Y735" s="22">
        <f>IF(H735="Active",0,1)</f>
        <v>0</v>
      </c>
    </row>
    <row r="736" spans="1:25" ht="18" customHeight="1" x14ac:dyDescent="0.35">
      <c r="A736" s="8" t="s">
        <v>166</v>
      </c>
      <c r="B736" s="8" t="s">
        <v>167</v>
      </c>
      <c r="C736" s="8" t="s">
        <v>34</v>
      </c>
      <c r="D736" s="9">
        <v>46</v>
      </c>
      <c r="E736" s="8" t="s">
        <v>52</v>
      </c>
      <c r="F736" s="8" t="s">
        <v>72</v>
      </c>
      <c r="G736" s="10">
        <v>45757</v>
      </c>
      <c r="H736" s="8" t="s">
        <v>26</v>
      </c>
      <c r="I736" s="8" t="s">
        <v>2267</v>
      </c>
      <c r="J736" s="8" t="s">
        <v>80</v>
      </c>
      <c r="K736" s="8" t="s">
        <v>55</v>
      </c>
      <c r="L736" s="8" t="s">
        <v>44</v>
      </c>
      <c r="M736" s="8" t="s">
        <v>60</v>
      </c>
      <c r="N736" s="11">
        <v>79717</v>
      </c>
      <c r="O736" s="11">
        <v>41608</v>
      </c>
      <c r="P736" s="12">
        <v>96.9</v>
      </c>
      <c r="Q736" s="9">
        <v>8</v>
      </c>
      <c r="R736" s="13">
        <v>11</v>
      </c>
      <c r="S736" s="13">
        <v>3</v>
      </c>
      <c r="T736" s="9">
        <v>28</v>
      </c>
      <c r="U736" s="13">
        <v>77</v>
      </c>
      <c r="V736" s="8" t="s">
        <v>31</v>
      </c>
      <c r="W736" s="8"/>
      <c r="X736" s="22">
        <f>IF(V736="Yes",1,0)</f>
        <v>0</v>
      </c>
      <c r="Y736" s="22">
        <f>IF(H736="Active",0,1)</f>
        <v>0</v>
      </c>
    </row>
    <row r="737" spans="1:25" ht="18" customHeight="1" x14ac:dyDescent="0.35">
      <c r="A737" s="14" t="s">
        <v>1352</v>
      </c>
      <c r="B737" s="14" t="s">
        <v>518</v>
      </c>
      <c r="C737" s="14" t="s">
        <v>34</v>
      </c>
      <c r="D737" s="15">
        <v>47</v>
      </c>
      <c r="E737" s="14" t="s">
        <v>109</v>
      </c>
      <c r="F737" s="14" t="s">
        <v>35</v>
      </c>
      <c r="G737" s="16">
        <v>45757</v>
      </c>
      <c r="H737" s="14" t="s">
        <v>26</v>
      </c>
      <c r="I737" s="14" t="s">
        <v>27</v>
      </c>
      <c r="J737" s="14" t="s">
        <v>2270</v>
      </c>
      <c r="K737" s="14" t="s">
        <v>73</v>
      </c>
      <c r="L737" s="14" t="s">
        <v>49</v>
      </c>
      <c r="M737" s="14" t="s">
        <v>39</v>
      </c>
      <c r="N737" s="17">
        <v>169525</v>
      </c>
      <c r="O737" s="17">
        <v>31181</v>
      </c>
      <c r="P737" s="18">
        <v>96.4</v>
      </c>
      <c r="Q737" s="15">
        <v>9</v>
      </c>
      <c r="R737" s="19">
        <v>7</v>
      </c>
      <c r="S737" s="19">
        <v>2</v>
      </c>
      <c r="T737" s="15">
        <v>32</v>
      </c>
      <c r="U737" s="19">
        <v>81</v>
      </c>
      <c r="V737" s="14" t="s">
        <v>31</v>
      </c>
      <c r="W737" s="14"/>
      <c r="X737" s="14">
        <f>IF(V737="Yes",1,0)</f>
        <v>0</v>
      </c>
      <c r="Y737" s="14">
        <f>IF(H737="Active",0,1)</f>
        <v>0</v>
      </c>
    </row>
    <row r="738" spans="1:25" ht="18" customHeight="1" x14ac:dyDescent="0.35">
      <c r="A738" s="14" t="s">
        <v>1734</v>
      </c>
      <c r="B738" s="14" t="s">
        <v>179</v>
      </c>
      <c r="C738" s="14" t="s">
        <v>25</v>
      </c>
      <c r="D738" s="15">
        <v>28</v>
      </c>
      <c r="E738" s="14" t="s">
        <v>67</v>
      </c>
      <c r="F738" s="14" t="s">
        <v>79</v>
      </c>
      <c r="G738" s="16">
        <v>45757</v>
      </c>
      <c r="H738" s="14" t="s">
        <v>26</v>
      </c>
      <c r="I738" s="14" t="s">
        <v>2267</v>
      </c>
      <c r="J738" s="14" t="s">
        <v>2268</v>
      </c>
      <c r="K738" s="14" t="s">
        <v>73</v>
      </c>
      <c r="L738" s="14" t="s">
        <v>44</v>
      </c>
      <c r="M738" s="14" t="s">
        <v>39</v>
      </c>
      <c r="N738" s="17">
        <v>200795</v>
      </c>
      <c r="O738" s="17">
        <v>29229</v>
      </c>
      <c r="P738" s="18">
        <v>97.6</v>
      </c>
      <c r="Q738" s="15">
        <v>1</v>
      </c>
      <c r="R738" s="19">
        <v>27</v>
      </c>
      <c r="S738" s="19">
        <v>3</v>
      </c>
      <c r="T738" s="15">
        <v>23</v>
      </c>
      <c r="U738" s="19">
        <v>87</v>
      </c>
      <c r="V738" s="14" t="s">
        <v>31</v>
      </c>
      <c r="W738" s="14"/>
      <c r="X738" s="14">
        <f>IF(V738="Yes",1,0)</f>
        <v>0</v>
      </c>
      <c r="Y738" s="14">
        <f>IF(H738="Active",0,1)</f>
        <v>0</v>
      </c>
    </row>
    <row r="739" spans="1:25" ht="18" customHeight="1" x14ac:dyDescent="0.35">
      <c r="A739" s="14" t="s">
        <v>1766</v>
      </c>
      <c r="B739" s="14" t="s">
        <v>149</v>
      </c>
      <c r="C739" s="14" t="s">
        <v>34</v>
      </c>
      <c r="D739" s="15">
        <v>40</v>
      </c>
      <c r="E739" s="14" t="s">
        <v>2304</v>
      </c>
      <c r="F739" s="14" t="s">
        <v>76</v>
      </c>
      <c r="G739" s="16">
        <v>45757</v>
      </c>
      <c r="H739" s="14" t="s">
        <v>26</v>
      </c>
      <c r="I739" s="14" t="s">
        <v>27</v>
      </c>
      <c r="J739" s="14" t="s">
        <v>2268</v>
      </c>
      <c r="K739" s="14" t="s">
        <v>73</v>
      </c>
      <c r="L739" s="14" t="s">
        <v>68</v>
      </c>
      <c r="M739" s="14" t="s">
        <v>60</v>
      </c>
      <c r="N739" s="17">
        <v>38057</v>
      </c>
      <c r="O739" s="17">
        <v>24135</v>
      </c>
      <c r="P739" s="18">
        <v>84.6</v>
      </c>
      <c r="Q739" s="15">
        <v>3</v>
      </c>
      <c r="R739" s="19">
        <v>20</v>
      </c>
      <c r="S739" s="19">
        <v>2</v>
      </c>
      <c r="T739" s="15">
        <v>17</v>
      </c>
      <c r="U739" s="19">
        <v>86</v>
      </c>
      <c r="V739" s="14" t="s">
        <v>31</v>
      </c>
      <c r="W739" s="14"/>
      <c r="X739" s="14">
        <f>IF(V739="Yes",1,0)</f>
        <v>0</v>
      </c>
      <c r="Y739" s="14">
        <f>IF(H739="Active",0,1)</f>
        <v>0</v>
      </c>
    </row>
    <row r="740" spans="1:25" ht="18" customHeight="1" x14ac:dyDescent="0.35">
      <c r="A740" s="8" t="s">
        <v>40</v>
      </c>
      <c r="B740" s="8" t="s">
        <v>41</v>
      </c>
      <c r="C740" s="8" t="s">
        <v>25</v>
      </c>
      <c r="D740" s="9">
        <v>25</v>
      </c>
      <c r="E740" s="8" t="s">
        <v>42</v>
      </c>
      <c r="F740" s="8" t="s">
        <v>43</v>
      </c>
      <c r="G740" s="10">
        <v>45756</v>
      </c>
      <c r="H740" s="8" t="s">
        <v>26</v>
      </c>
      <c r="I740" s="8" t="s">
        <v>27</v>
      </c>
      <c r="J740" s="8" t="s">
        <v>2269</v>
      </c>
      <c r="K740" s="8" t="s">
        <v>2271</v>
      </c>
      <c r="L740" s="8" t="s">
        <v>44</v>
      </c>
      <c r="M740" s="8" t="s">
        <v>45</v>
      </c>
      <c r="N740" s="11">
        <v>244943</v>
      </c>
      <c r="O740" s="11">
        <v>11294</v>
      </c>
      <c r="P740" s="12">
        <v>98.1</v>
      </c>
      <c r="Q740" s="9">
        <v>0</v>
      </c>
      <c r="R740" s="13">
        <v>22</v>
      </c>
      <c r="S740" s="13">
        <v>3</v>
      </c>
      <c r="T740" s="9">
        <v>30</v>
      </c>
      <c r="U740" s="13">
        <v>70</v>
      </c>
      <c r="V740" s="8" t="s">
        <v>31</v>
      </c>
      <c r="W740" s="8"/>
      <c r="X740" s="22">
        <f>IF(V740="Yes",1,0)</f>
        <v>0</v>
      </c>
      <c r="Y740" s="22">
        <f>IF(H740="Active",0,1)</f>
        <v>0</v>
      </c>
    </row>
    <row r="741" spans="1:25" ht="18" customHeight="1" x14ac:dyDescent="0.35">
      <c r="A741" s="8" t="s">
        <v>415</v>
      </c>
      <c r="B741" s="8" t="s">
        <v>244</v>
      </c>
      <c r="C741" s="8" t="s">
        <v>34</v>
      </c>
      <c r="D741" s="9">
        <v>43</v>
      </c>
      <c r="E741" s="8" t="s">
        <v>63</v>
      </c>
      <c r="F741" s="8" t="s">
        <v>76</v>
      </c>
      <c r="G741" s="10">
        <v>45756</v>
      </c>
      <c r="H741" s="8" t="s">
        <v>26</v>
      </c>
      <c r="I741" s="8" t="s">
        <v>2267</v>
      </c>
      <c r="J741" s="8" t="s">
        <v>2268</v>
      </c>
      <c r="K741" s="8" t="s">
        <v>2271</v>
      </c>
      <c r="L741" s="8" t="s">
        <v>68</v>
      </c>
      <c r="M741" s="8" t="s">
        <v>60</v>
      </c>
      <c r="N741" s="11">
        <v>242085</v>
      </c>
      <c r="O741" s="11">
        <v>34286</v>
      </c>
      <c r="P741" s="12">
        <v>81.5</v>
      </c>
      <c r="Q741" s="9">
        <v>8</v>
      </c>
      <c r="R741" s="13">
        <v>22</v>
      </c>
      <c r="S741" s="13">
        <v>1</v>
      </c>
      <c r="T741" s="9">
        <v>18</v>
      </c>
      <c r="U741" s="13">
        <v>61</v>
      </c>
      <c r="V741" s="8" t="s">
        <v>31</v>
      </c>
      <c r="W741" s="8"/>
      <c r="X741" s="22">
        <f>IF(V741="Yes",1,0)</f>
        <v>0</v>
      </c>
      <c r="Y741" s="22">
        <f>IF(H741="Active",0,1)</f>
        <v>0</v>
      </c>
    </row>
    <row r="742" spans="1:25" ht="18" customHeight="1" x14ac:dyDescent="0.35">
      <c r="A742" s="8" t="s">
        <v>1897</v>
      </c>
      <c r="B742" s="8" t="s">
        <v>274</v>
      </c>
      <c r="C742" s="8" t="s">
        <v>34</v>
      </c>
      <c r="D742" s="9">
        <v>48</v>
      </c>
      <c r="E742" s="8" t="s">
        <v>93</v>
      </c>
      <c r="F742" s="8" t="s">
        <v>43</v>
      </c>
      <c r="G742" s="10">
        <v>45756</v>
      </c>
      <c r="H742" s="8" t="s">
        <v>26</v>
      </c>
      <c r="I742" s="8" t="s">
        <v>36</v>
      </c>
      <c r="J742" s="8" t="s">
        <v>2268</v>
      </c>
      <c r="K742" s="8" t="s">
        <v>2271</v>
      </c>
      <c r="L742" s="8" t="s">
        <v>56</v>
      </c>
      <c r="M742" s="8" t="s">
        <v>30</v>
      </c>
      <c r="N742" s="11">
        <v>122076</v>
      </c>
      <c r="O742" s="11">
        <v>47938</v>
      </c>
      <c r="P742" s="12">
        <v>91.2</v>
      </c>
      <c r="Q742" s="9">
        <v>9</v>
      </c>
      <c r="R742" s="13">
        <v>18</v>
      </c>
      <c r="S742" s="13">
        <v>3</v>
      </c>
      <c r="T742" s="9">
        <v>14</v>
      </c>
      <c r="U742" s="13">
        <v>90</v>
      </c>
      <c r="V742" s="8" t="s">
        <v>31</v>
      </c>
      <c r="W742" s="8"/>
      <c r="X742" s="22">
        <f>IF(V742="Yes",1,0)</f>
        <v>0</v>
      </c>
      <c r="Y742" s="22">
        <f>IF(H742="Active",0,1)</f>
        <v>0</v>
      </c>
    </row>
    <row r="743" spans="1:25" ht="18" customHeight="1" x14ac:dyDescent="0.35">
      <c r="A743" s="14" t="s">
        <v>708</v>
      </c>
      <c r="B743" s="14" t="s">
        <v>709</v>
      </c>
      <c r="C743" s="14" t="s">
        <v>34</v>
      </c>
      <c r="D743" s="15">
        <v>24</v>
      </c>
      <c r="E743" s="14" t="s">
        <v>2303</v>
      </c>
      <c r="F743" s="14" t="s">
        <v>43</v>
      </c>
      <c r="G743" s="16">
        <v>45755</v>
      </c>
      <c r="H743" s="14" t="s">
        <v>26</v>
      </c>
      <c r="I743" s="14" t="s">
        <v>27</v>
      </c>
      <c r="J743" s="14" t="s">
        <v>2270</v>
      </c>
      <c r="K743" s="14" t="s">
        <v>28</v>
      </c>
      <c r="L743" s="14" t="s">
        <v>44</v>
      </c>
      <c r="M743" s="14" t="s">
        <v>60</v>
      </c>
      <c r="N743" s="17">
        <v>226231</v>
      </c>
      <c r="O743" s="17">
        <v>38814</v>
      </c>
      <c r="P743" s="18">
        <v>83</v>
      </c>
      <c r="Q743" s="15">
        <v>6</v>
      </c>
      <c r="R743" s="19">
        <v>4</v>
      </c>
      <c r="S743" s="19">
        <v>2</v>
      </c>
      <c r="T743" s="15">
        <v>33</v>
      </c>
      <c r="U743" s="19">
        <v>79</v>
      </c>
      <c r="V743" s="14" t="s">
        <v>31</v>
      </c>
      <c r="W743" s="14"/>
      <c r="X743" s="14">
        <f>IF(V743="Yes",1,0)</f>
        <v>0</v>
      </c>
      <c r="Y743" s="14">
        <f>IF(H743="Active",0,1)</f>
        <v>0</v>
      </c>
    </row>
    <row r="744" spans="1:25" ht="18" customHeight="1" x14ac:dyDescent="0.35">
      <c r="A744" s="8" t="s">
        <v>1119</v>
      </c>
      <c r="B744" s="8" t="s">
        <v>454</v>
      </c>
      <c r="C744" s="8" t="s">
        <v>25</v>
      </c>
      <c r="D744" s="9">
        <v>39</v>
      </c>
      <c r="E744" s="8" t="s">
        <v>2303</v>
      </c>
      <c r="F744" s="8" t="s">
        <v>53</v>
      </c>
      <c r="G744" s="10">
        <v>45755</v>
      </c>
      <c r="H744" s="8" t="s">
        <v>26</v>
      </c>
      <c r="I744" s="8" t="s">
        <v>2267</v>
      </c>
      <c r="J744" s="8" t="s">
        <v>48</v>
      </c>
      <c r="K744" s="8" t="s">
        <v>2271</v>
      </c>
      <c r="L744" s="8" t="s">
        <v>68</v>
      </c>
      <c r="M744" s="8" t="s">
        <v>45</v>
      </c>
      <c r="N744" s="11">
        <v>238131</v>
      </c>
      <c r="O744" s="11">
        <v>9164</v>
      </c>
      <c r="P744" s="12">
        <v>98.1</v>
      </c>
      <c r="Q744" s="9">
        <v>1</v>
      </c>
      <c r="R744" s="13">
        <v>16</v>
      </c>
      <c r="S744" s="13">
        <v>3</v>
      </c>
      <c r="T744" s="9">
        <v>23</v>
      </c>
      <c r="U744" s="13">
        <v>84</v>
      </c>
      <c r="V744" s="8" t="s">
        <v>31</v>
      </c>
      <c r="W744" s="8"/>
      <c r="X744" s="22">
        <f>IF(V744="Yes",1,0)</f>
        <v>0</v>
      </c>
      <c r="Y744" s="22">
        <f>IF(H744="Active",0,1)</f>
        <v>0</v>
      </c>
    </row>
    <row r="745" spans="1:25" ht="18" customHeight="1" x14ac:dyDescent="0.35">
      <c r="A745" s="8" t="s">
        <v>61</v>
      </c>
      <c r="B745" s="8" t="s">
        <v>62</v>
      </c>
      <c r="C745" s="8" t="s">
        <v>25</v>
      </c>
      <c r="D745" s="9">
        <v>57</v>
      </c>
      <c r="E745" s="8" t="s">
        <v>63</v>
      </c>
      <c r="F745" s="8" t="s">
        <v>12</v>
      </c>
      <c r="G745" s="10">
        <v>45753</v>
      </c>
      <c r="H745" s="8" t="s">
        <v>26</v>
      </c>
      <c r="I745" s="8" t="s">
        <v>36</v>
      </c>
      <c r="J745" s="8" t="s">
        <v>2269</v>
      </c>
      <c r="K745" s="8" t="s">
        <v>37</v>
      </c>
      <c r="L745" s="8" t="s">
        <v>49</v>
      </c>
      <c r="M745" s="8" t="s">
        <v>64</v>
      </c>
      <c r="N745" s="11">
        <v>50245</v>
      </c>
      <c r="O745" s="11">
        <v>22453</v>
      </c>
      <c r="P745" s="12">
        <v>100</v>
      </c>
      <c r="Q745" s="9">
        <v>6</v>
      </c>
      <c r="R745" s="13">
        <v>23</v>
      </c>
      <c r="S745" s="13">
        <v>4</v>
      </c>
      <c r="T745" s="9">
        <v>3</v>
      </c>
      <c r="U745" s="13">
        <v>99</v>
      </c>
      <c r="V745" s="8" t="s">
        <v>31</v>
      </c>
      <c r="W745" s="8"/>
      <c r="X745" s="22">
        <f>IF(V745="Yes",1,0)</f>
        <v>0</v>
      </c>
      <c r="Y745" s="22">
        <f>IF(H745="Active",0,1)</f>
        <v>0</v>
      </c>
    </row>
    <row r="746" spans="1:25" ht="18" customHeight="1" x14ac:dyDescent="0.35">
      <c r="A746" s="14" t="s">
        <v>768</v>
      </c>
      <c r="B746" s="14" t="s">
        <v>85</v>
      </c>
      <c r="C746" s="14" t="s">
        <v>34</v>
      </c>
      <c r="D746" s="15">
        <v>44</v>
      </c>
      <c r="E746" s="14" t="s">
        <v>109</v>
      </c>
      <c r="F746" s="14" t="s">
        <v>76</v>
      </c>
      <c r="G746" s="16">
        <v>45753</v>
      </c>
      <c r="H746" s="14" t="s">
        <v>54</v>
      </c>
      <c r="I746" s="14" t="s">
        <v>2267</v>
      </c>
      <c r="J746" s="14" t="s">
        <v>2269</v>
      </c>
      <c r="K746" s="14" t="s">
        <v>2271</v>
      </c>
      <c r="L746" s="14" t="s">
        <v>87</v>
      </c>
      <c r="M746" s="14" t="s">
        <v>30</v>
      </c>
      <c r="N746" s="17">
        <v>212603</v>
      </c>
      <c r="O746" s="17">
        <v>27454</v>
      </c>
      <c r="P746" s="18">
        <v>96</v>
      </c>
      <c r="Q746" s="15">
        <v>8</v>
      </c>
      <c r="R746" s="19">
        <v>29</v>
      </c>
      <c r="S746" s="19">
        <v>4</v>
      </c>
      <c r="T746" s="15">
        <v>32</v>
      </c>
      <c r="U746" s="19">
        <v>78</v>
      </c>
      <c r="V746" s="14" t="s">
        <v>31</v>
      </c>
      <c r="W746" s="14" t="s">
        <v>57</v>
      </c>
      <c r="X746" s="14">
        <f>IF(V746="Yes",1,0)</f>
        <v>0</v>
      </c>
      <c r="Y746" s="14">
        <f>IF(H746="Active",0,1)</f>
        <v>1</v>
      </c>
    </row>
    <row r="747" spans="1:25" ht="18" customHeight="1" x14ac:dyDescent="0.35">
      <c r="A747" s="8" t="s">
        <v>1071</v>
      </c>
      <c r="B747" s="8" t="s">
        <v>175</v>
      </c>
      <c r="C747" s="8" t="s">
        <v>25</v>
      </c>
      <c r="D747" s="9">
        <v>39</v>
      </c>
      <c r="E747" s="8" t="s">
        <v>52</v>
      </c>
      <c r="F747" s="8" t="s">
        <v>79</v>
      </c>
      <c r="G747" s="10">
        <v>45753</v>
      </c>
      <c r="H747" s="8" t="s">
        <v>26</v>
      </c>
      <c r="I747" s="8" t="s">
        <v>27</v>
      </c>
      <c r="J747" s="8" t="s">
        <v>48</v>
      </c>
      <c r="K747" s="8" t="s">
        <v>37</v>
      </c>
      <c r="L747" s="8" t="s">
        <v>44</v>
      </c>
      <c r="M747" s="8" t="s">
        <v>45</v>
      </c>
      <c r="N747" s="11">
        <v>233831</v>
      </c>
      <c r="O747" s="11">
        <v>17167</v>
      </c>
      <c r="P747" s="12">
        <v>95.5</v>
      </c>
      <c r="Q747" s="9">
        <v>0</v>
      </c>
      <c r="R747" s="13">
        <v>23</v>
      </c>
      <c r="S747" s="13">
        <v>3</v>
      </c>
      <c r="T747" s="9">
        <v>21</v>
      </c>
      <c r="U747" s="13">
        <v>62</v>
      </c>
      <c r="V747" s="8" t="s">
        <v>31</v>
      </c>
      <c r="W747" s="8"/>
      <c r="X747" s="22">
        <f>IF(V747="Yes",1,0)</f>
        <v>0</v>
      </c>
      <c r="Y747" s="22">
        <f>IF(H747="Active",0,1)</f>
        <v>0</v>
      </c>
    </row>
    <row r="748" spans="1:25" ht="18" customHeight="1" x14ac:dyDescent="0.35">
      <c r="A748" s="14" t="s">
        <v>1070</v>
      </c>
      <c r="B748" s="14" t="s">
        <v>347</v>
      </c>
      <c r="C748" s="14" t="s">
        <v>25</v>
      </c>
      <c r="D748" s="15">
        <v>30</v>
      </c>
      <c r="E748" s="14" t="s">
        <v>42</v>
      </c>
      <c r="F748" s="14" t="s">
        <v>90</v>
      </c>
      <c r="G748" s="16">
        <v>45751</v>
      </c>
      <c r="H748" s="14" t="s">
        <v>26</v>
      </c>
      <c r="I748" s="14" t="s">
        <v>27</v>
      </c>
      <c r="J748" s="14" t="s">
        <v>48</v>
      </c>
      <c r="K748" s="14" t="s">
        <v>37</v>
      </c>
      <c r="L748" s="14" t="s">
        <v>49</v>
      </c>
      <c r="M748" s="14" t="s">
        <v>60</v>
      </c>
      <c r="N748" s="17">
        <v>71539</v>
      </c>
      <c r="O748" s="17">
        <v>27277</v>
      </c>
      <c r="P748" s="18">
        <v>99.7</v>
      </c>
      <c r="Q748" s="15">
        <v>5</v>
      </c>
      <c r="R748" s="19">
        <v>18</v>
      </c>
      <c r="S748" s="19">
        <v>5</v>
      </c>
      <c r="T748" s="15">
        <v>22</v>
      </c>
      <c r="U748" s="19">
        <v>84</v>
      </c>
      <c r="V748" s="14" t="s">
        <v>31</v>
      </c>
      <c r="W748" s="14"/>
      <c r="X748" s="14">
        <f>IF(V748="Yes",1,0)</f>
        <v>0</v>
      </c>
      <c r="Y748" s="14">
        <f>IF(H748="Active",0,1)</f>
        <v>0</v>
      </c>
    </row>
    <row r="749" spans="1:25" ht="18" customHeight="1" x14ac:dyDescent="0.35">
      <c r="A749" s="8" t="s">
        <v>1196</v>
      </c>
      <c r="B749" s="8" t="s">
        <v>1010</v>
      </c>
      <c r="C749" s="8" t="s">
        <v>25</v>
      </c>
      <c r="D749" s="9">
        <v>26</v>
      </c>
      <c r="E749" s="8" t="s">
        <v>86</v>
      </c>
      <c r="F749" s="8" t="s">
        <v>53</v>
      </c>
      <c r="G749" s="10">
        <v>45751</v>
      </c>
      <c r="H749" s="8" t="s">
        <v>26</v>
      </c>
      <c r="I749" s="8" t="s">
        <v>2267</v>
      </c>
      <c r="J749" s="8" t="s">
        <v>2268</v>
      </c>
      <c r="K749" s="8" t="s">
        <v>28</v>
      </c>
      <c r="L749" s="8" t="s">
        <v>49</v>
      </c>
      <c r="M749" s="8" t="s">
        <v>60</v>
      </c>
      <c r="N749" s="11">
        <v>249776</v>
      </c>
      <c r="O749" s="11">
        <v>30046</v>
      </c>
      <c r="P749" s="12">
        <v>91.7</v>
      </c>
      <c r="Q749" s="9">
        <v>1</v>
      </c>
      <c r="R749" s="13">
        <v>12</v>
      </c>
      <c r="S749" s="13">
        <v>2</v>
      </c>
      <c r="T749" s="9">
        <v>23</v>
      </c>
      <c r="U749" s="13">
        <v>86</v>
      </c>
      <c r="V749" s="8" t="s">
        <v>69</v>
      </c>
      <c r="W749" s="8"/>
      <c r="X749" s="22">
        <f>IF(V749="Yes",1,0)</f>
        <v>1</v>
      </c>
      <c r="Y749" s="22">
        <f>IF(H749="Active",0,1)</f>
        <v>0</v>
      </c>
    </row>
    <row r="750" spans="1:25" ht="18" customHeight="1" x14ac:dyDescent="0.35">
      <c r="A750" s="8" t="s">
        <v>1511</v>
      </c>
      <c r="B750" s="8" t="s">
        <v>62</v>
      </c>
      <c r="C750" s="8" t="s">
        <v>34</v>
      </c>
      <c r="D750" s="9">
        <v>47</v>
      </c>
      <c r="E750" s="8" t="s">
        <v>67</v>
      </c>
      <c r="F750" s="8" t="s">
        <v>12</v>
      </c>
      <c r="G750" s="10">
        <v>45751</v>
      </c>
      <c r="H750" s="8" t="s">
        <v>54</v>
      </c>
      <c r="I750" s="8" t="s">
        <v>27</v>
      </c>
      <c r="J750" s="8" t="s">
        <v>2270</v>
      </c>
      <c r="K750" s="8" t="s">
        <v>73</v>
      </c>
      <c r="L750" s="8" t="s">
        <v>87</v>
      </c>
      <c r="M750" s="8" t="s">
        <v>64</v>
      </c>
      <c r="N750" s="11">
        <v>140053</v>
      </c>
      <c r="O750" s="11">
        <v>29216</v>
      </c>
      <c r="P750" s="12">
        <v>100</v>
      </c>
      <c r="Q750" s="9">
        <v>9</v>
      </c>
      <c r="R750" s="13">
        <v>20</v>
      </c>
      <c r="S750" s="13">
        <v>1</v>
      </c>
      <c r="T750" s="9">
        <v>33</v>
      </c>
      <c r="U750" s="13">
        <v>96</v>
      </c>
      <c r="V750" s="8" t="s">
        <v>31</v>
      </c>
      <c r="W750" s="8" t="s">
        <v>205</v>
      </c>
      <c r="X750" s="22">
        <f>IF(V750="Yes",1,0)</f>
        <v>0</v>
      </c>
      <c r="Y750" s="22">
        <f>IF(H750="Active",0,1)</f>
        <v>1</v>
      </c>
    </row>
    <row r="751" spans="1:25" ht="18" customHeight="1" x14ac:dyDescent="0.35">
      <c r="A751" s="8" t="s">
        <v>1817</v>
      </c>
      <c r="B751" s="8" t="s">
        <v>694</v>
      </c>
      <c r="C751" s="8" t="s">
        <v>34</v>
      </c>
      <c r="D751" s="9">
        <v>60</v>
      </c>
      <c r="E751" s="8" t="s">
        <v>86</v>
      </c>
      <c r="F751" s="8" t="s">
        <v>79</v>
      </c>
      <c r="G751" s="10">
        <v>45751</v>
      </c>
      <c r="H751" s="8" t="s">
        <v>26</v>
      </c>
      <c r="I751" s="8" t="s">
        <v>2267</v>
      </c>
      <c r="J751" s="8" t="s">
        <v>2268</v>
      </c>
      <c r="K751" s="8" t="s">
        <v>73</v>
      </c>
      <c r="L751" s="8" t="s">
        <v>49</v>
      </c>
      <c r="M751" s="8" t="s">
        <v>30</v>
      </c>
      <c r="N751" s="11">
        <v>62848</v>
      </c>
      <c r="O751" s="11">
        <v>45455</v>
      </c>
      <c r="P751" s="12">
        <v>87.1</v>
      </c>
      <c r="Q751" s="9">
        <v>0</v>
      </c>
      <c r="R751" s="13">
        <v>10</v>
      </c>
      <c r="S751" s="13">
        <v>4</v>
      </c>
      <c r="T751" s="9">
        <v>40</v>
      </c>
      <c r="U751" s="13">
        <v>99</v>
      </c>
      <c r="V751" s="8" t="s">
        <v>31</v>
      </c>
      <c r="W751" s="8"/>
      <c r="X751" s="22">
        <f>IF(V751="Yes",1,0)</f>
        <v>0</v>
      </c>
      <c r="Y751" s="22">
        <f>IF(H751="Active",0,1)</f>
        <v>0</v>
      </c>
    </row>
    <row r="752" spans="1:25" ht="18" customHeight="1" x14ac:dyDescent="0.35">
      <c r="A752" s="14" t="s">
        <v>2122</v>
      </c>
      <c r="B752" s="14" t="s">
        <v>24</v>
      </c>
      <c r="C752" s="14" t="s">
        <v>34</v>
      </c>
      <c r="D752" s="15">
        <v>29</v>
      </c>
      <c r="E752" s="14" t="s">
        <v>109</v>
      </c>
      <c r="F752" s="14" t="s">
        <v>43</v>
      </c>
      <c r="G752" s="16">
        <v>45751</v>
      </c>
      <c r="H752" s="14" t="s">
        <v>26</v>
      </c>
      <c r="I752" s="14" t="s">
        <v>27</v>
      </c>
      <c r="J752" s="14" t="s">
        <v>2269</v>
      </c>
      <c r="K752" s="14" t="s">
        <v>55</v>
      </c>
      <c r="L752" s="14" t="s">
        <v>68</v>
      </c>
      <c r="M752" s="14" t="s">
        <v>39</v>
      </c>
      <c r="N752" s="17">
        <v>178856</v>
      </c>
      <c r="O752" s="17">
        <v>9254</v>
      </c>
      <c r="P752" s="18">
        <v>83.6</v>
      </c>
      <c r="Q752" s="15">
        <v>5</v>
      </c>
      <c r="R752" s="19">
        <v>30</v>
      </c>
      <c r="S752" s="19">
        <v>2</v>
      </c>
      <c r="T752" s="15">
        <v>30</v>
      </c>
      <c r="U752" s="19">
        <v>95</v>
      </c>
      <c r="V752" s="14" t="s">
        <v>31</v>
      </c>
      <c r="W752" s="14"/>
      <c r="X752" s="14">
        <f>IF(V752="Yes",1,0)</f>
        <v>0</v>
      </c>
      <c r="Y752" s="14">
        <f>IF(H752="Active",0,1)</f>
        <v>0</v>
      </c>
    </row>
    <row r="753" spans="1:25" ht="18" customHeight="1" x14ac:dyDescent="0.35">
      <c r="A753" s="14" t="s">
        <v>2236</v>
      </c>
      <c r="B753" s="14" t="s">
        <v>71</v>
      </c>
      <c r="C753" s="14" t="s">
        <v>25</v>
      </c>
      <c r="D753" s="15">
        <v>21</v>
      </c>
      <c r="E753" s="14" t="s">
        <v>67</v>
      </c>
      <c r="F753" s="14" t="s">
        <v>76</v>
      </c>
      <c r="G753" s="16">
        <v>45751</v>
      </c>
      <c r="H753" s="14" t="s">
        <v>26</v>
      </c>
      <c r="I753" s="14" t="s">
        <v>2267</v>
      </c>
      <c r="J753" s="14" t="s">
        <v>2268</v>
      </c>
      <c r="K753" s="14" t="s">
        <v>2271</v>
      </c>
      <c r="L753" s="14" t="s">
        <v>38</v>
      </c>
      <c r="M753" s="14" t="s">
        <v>39</v>
      </c>
      <c r="N753" s="17">
        <v>94635</v>
      </c>
      <c r="O753" s="17">
        <v>6806</v>
      </c>
      <c r="P753" s="18">
        <v>93.5</v>
      </c>
      <c r="Q753" s="15">
        <v>5</v>
      </c>
      <c r="R753" s="19">
        <v>10</v>
      </c>
      <c r="S753" s="19">
        <v>3</v>
      </c>
      <c r="T753" s="15">
        <v>8</v>
      </c>
      <c r="U753" s="19">
        <v>88</v>
      </c>
      <c r="V753" s="14" t="s">
        <v>31</v>
      </c>
      <c r="W753" s="14"/>
      <c r="X753" s="14">
        <f>IF(V753="Yes",1,0)</f>
        <v>0</v>
      </c>
      <c r="Y753" s="14">
        <f>IF(H753="Active",0,1)</f>
        <v>0</v>
      </c>
    </row>
    <row r="754" spans="1:25" ht="18" customHeight="1" x14ac:dyDescent="0.35">
      <c r="A754" s="14" t="s">
        <v>978</v>
      </c>
      <c r="B754" s="14" t="s">
        <v>742</v>
      </c>
      <c r="C754" s="14" t="s">
        <v>25</v>
      </c>
      <c r="D754" s="15">
        <v>28</v>
      </c>
      <c r="E754" s="14" t="s">
        <v>52</v>
      </c>
      <c r="F754" s="14" t="s">
        <v>43</v>
      </c>
      <c r="G754" s="16">
        <v>45749</v>
      </c>
      <c r="H754" s="14" t="s">
        <v>26</v>
      </c>
      <c r="I754" s="14" t="s">
        <v>2267</v>
      </c>
      <c r="J754" s="14" t="s">
        <v>2269</v>
      </c>
      <c r="K754" s="14" t="s">
        <v>73</v>
      </c>
      <c r="L754" s="14" t="s">
        <v>56</v>
      </c>
      <c r="M754" s="14" t="s">
        <v>64</v>
      </c>
      <c r="N754" s="17">
        <v>196697</v>
      </c>
      <c r="O754" s="17">
        <v>30559</v>
      </c>
      <c r="P754" s="18">
        <v>94.4</v>
      </c>
      <c r="Q754" s="15">
        <v>0</v>
      </c>
      <c r="R754" s="19">
        <v>13</v>
      </c>
      <c r="S754" s="19">
        <v>4</v>
      </c>
      <c r="T754" s="15">
        <v>9</v>
      </c>
      <c r="U754" s="19">
        <v>69</v>
      </c>
      <c r="V754" s="14" t="s">
        <v>31</v>
      </c>
      <c r="W754" s="14"/>
      <c r="X754" s="14">
        <f>IF(V754="Yes",1,0)</f>
        <v>0</v>
      </c>
      <c r="Y754" s="14">
        <f>IF(H754="Active",0,1)</f>
        <v>0</v>
      </c>
    </row>
    <row r="755" spans="1:25" ht="18" customHeight="1" x14ac:dyDescent="0.35">
      <c r="A755" s="14" t="s">
        <v>282</v>
      </c>
      <c r="B755" s="14" t="s">
        <v>222</v>
      </c>
      <c r="C755" s="14" t="s">
        <v>34</v>
      </c>
      <c r="D755" s="15">
        <v>48</v>
      </c>
      <c r="E755" s="14" t="s">
        <v>52</v>
      </c>
      <c r="F755" s="14" t="s">
        <v>12</v>
      </c>
      <c r="G755" s="16">
        <v>45748</v>
      </c>
      <c r="H755" s="14" t="s">
        <v>26</v>
      </c>
      <c r="I755" s="14" t="s">
        <v>36</v>
      </c>
      <c r="J755" s="14" t="s">
        <v>2268</v>
      </c>
      <c r="K755" s="14" t="s">
        <v>73</v>
      </c>
      <c r="L755" s="14" t="s">
        <v>49</v>
      </c>
      <c r="M755" s="14" t="s">
        <v>60</v>
      </c>
      <c r="N755" s="17">
        <v>227273</v>
      </c>
      <c r="O755" s="17">
        <v>32686</v>
      </c>
      <c r="P755" s="18">
        <v>81.3</v>
      </c>
      <c r="Q755" s="15">
        <v>0</v>
      </c>
      <c r="R755" s="19">
        <v>7</v>
      </c>
      <c r="S755" s="19">
        <v>1</v>
      </c>
      <c r="T755" s="15">
        <v>6</v>
      </c>
      <c r="U755" s="19">
        <v>100</v>
      </c>
      <c r="V755" s="14" t="s">
        <v>31</v>
      </c>
      <c r="W755" s="14"/>
      <c r="X755" s="14">
        <f>IF(V755="Yes",1,0)</f>
        <v>0</v>
      </c>
      <c r="Y755" s="14">
        <f>IF(H755="Active",0,1)</f>
        <v>0</v>
      </c>
    </row>
    <row r="756" spans="1:25" ht="18" customHeight="1" x14ac:dyDescent="0.35">
      <c r="A756" s="14" t="s">
        <v>1300</v>
      </c>
      <c r="B756" s="14" t="s">
        <v>169</v>
      </c>
      <c r="C756" s="14" t="s">
        <v>25</v>
      </c>
      <c r="D756" s="15">
        <v>54</v>
      </c>
      <c r="E756" s="14" t="s">
        <v>109</v>
      </c>
      <c r="F756" s="14" t="s">
        <v>76</v>
      </c>
      <c r="G756" s="16">
        <v>45748</v>
      </c>
      <c r="H756" s="14" t="s">
        <v>26</v>
      </c>
      <c r="I756" s="14" t="s">
        <v>36</v>
      </c>
      <c r="J756" s="14" t="s">
        <v>2269</v>
      </c>
      <c r="K756" s="14" t="s">
        <v>37</v>
      </c>
      <c r="L756" s="14" t="s">
        <v>116</v>
      </c>
      <c r="M756" s="14" t="s">
        <v>64</v>
      </c>
      <c r="N756" s="17">
        <v>54635</v>
      </c>
      <c r="O756" s="17">
        <v>28873</v>
      </c>
      <c r="P756" s="18">
        <v>94.6</v>
      </c>
      <c r="Q756" s="15">
        <v>7</v>
      </c>
      <c r="R756" s="19">
        <v>16</v>
      </c>
      <c r="S756" s="19">
        <v>2</v>
      </c>
      <c r="T756" s="15">
        <v>19</v>
      </c>
      <c r="U756" s="19">
        <v>87</v>
      </c>
      <c r="V756" s="14" t="s">
        <v>31</v>
      </c>
      <c r="W756" s="14"/>
      <c r="X756" s="14">
        <f>IF(V756="Yes",1,0)</f>
        <v>0</v>
      </c>
      <c r="Y756" s="14">
        <f>IF(H756="Active",0,1)</f>
        <v>0</v>
      </c>
    </row>
    <row r="757" spans="1:25" ht="18" customHeight="1" x14ac:dyDescent="0.35">
      <c r="A757" s="8" t="s">
        <v>1301</v>
      </c>
      <c r="B757" s="8" t="s">
        <v>285</v>
      </c>
      <c r="C757" s="8" t="s">
        <v>25</v>
      </c>
      <c r="D757" s="9">
        <v>42</v>
      </c>
      <c r="E757" s="8" t="s">
        <v>52</v>
      </c>
      <c r="F757" s="8" t="s">
        <v>76</v>
      </c>
      <c r="G757" s="10">
        <v>45747</v>
      </c>
      <c r="H757" s="8" t="s">
        <v>26</v>
      </c>
      <c r="I757" s="8" t="s">
        <v>36</v>
      </c>
      <c r="J757" s="8" t="s">
        <v>80</v>
      </c>
      <c r="K757" s="8" t="s">
        <v>55</v>
      </c>
      <c r="L757" s="8" t="s">
        <v>87</v>
      </c>
      <c r="M757" s="8" t="s">
        <v>60</v>
      </c>
      <c r="N757" s="11">
        <v>243233</v>
      </c>
      <c r="O757" s="11">
        <v>38155</v>
      </c>
      <c r="P757" s="12">
        <v>87.3</v>
      </c>
      <c r="Q757" s="9">
        <v>2</v>
      </c>
      <c r="R757" s="13">
        <v>24</v>
      </c>
      <c r="S757" s="13">
        <v>3</v>
      </c>
      <c r="T757" s="9">
        <v>27</v>
      </c>
      <c r="U757" s="13">
        <v>88</v>
      </c>
      <c r="V757" s="8" t="s">
        <v>31</v>
      </c>
      <c r="W757" s="8"/>
      <c r="X757" s="22">
        <f>IF(V757="Yes",1,0)</f>
        <v>0</v>
      </c>
      <c r="Y757" s="22">
        <f>IF(H757="Active",0,1)</f>
        <v>0</v>
      </c>
    </row>
    <row r="758" spans="1:25" ht="18" customHeight="1" x14ac:dyDescent="0.35">
      <c r="A758" s="8" t="s">
        <v>1339</v>
      </c>
      <c r="B758" s="8" t="s">
        <v>548</v>
      </c>
      <c r="C758" s="8" t="s">
        <v>25</v>
      </c>
      <c r="D758" s="9">
        <v>45</v>
      </c>
      <c r="E758" s="8" t="s">
        <v>109</v>
      </c>
      <c r="F758" s="8" t="s">
        <v>90</v>
      </c>
      <c r="G758" s="10">
        <v>45747</v>
      </c>
      <c r="H758" s="8" t="s">
        <v>26</v>
      </c>
      <c r="I758" s="8" t="s">
        <v>27</v>
      </c>
      <c r="J758" s="8" t="s">
        <v>2269</v>
      </c>
      <c r="K758" s="8" t="s">
        <v>37</v>
      </c>
      <c r="L758" s="8" t="s">
        <v>44</v>
      </c>
      <c r="M758" s="8" t="s">
        <v>60</v>
      </c>
      <c r="N758" s="11">
        <v>50717</v>
      </c>
      <c r="O758" s="11">
        <v>28336</v>
      </c>
      <c r="P758" s="12">
        <v>83.7</v>
      </c>
      <c r="Q758" s="9">
        <v>5</v>
      </c>
      <c r="R758" s="13">
        <v>22</v>
      </c>
      <c r="S758" s="13">
        <v>3</v>
      </c>
      <c r="T758" s="9">
        <v>9</v>
      </c>
      <c r="U758" s="13">
        <v>83</v>
      </c>
      <c r="V758" s="8" t="s">
        <v>31</v>
      </c>
      <c r="W758" s="8"/>
      <c r="X758" s="22">
        <f>IF(V758="Yes",1,0)</f>
        <v>0</v>
      </c>
      <c r="Y758" s="22">
        <f>IF(H758="Active",0,1)</f>
        <v>0</v>
      </c>
    </row>
    <row r="759" spans="1:25" ht="18" customHeight="1" x14ac:dyDescent="0.35">
      <c r="A759" s="8" t="s">
        <v>1353</v>
      </c>
      <c r="B759" s="8" t="s">
        <v>151</v>
      </c>
      <c r="C759" s="8" t="s">
        <v>34</v>
      </c>
      <c r="D759" s="9">
        <v>43</v>
      </c>
      <c r="E759" s="8" t="s">
        <v>63</v>
      </c>
      <c r="F759" s="8" t="s">
        <v>53</v>
      </c>
      <c r="G759" s="10">
        <v>45747</v>
      </c>
      <c r="H759" s="8" t="s">
        <v>26</v>
      </c>
      <c r="I759" s="8" t="s">
        <v>2267</v>
      </c>
      <c r="J759" s="8" t="s">
        <v>2269</v>
      </c>
      <c r="K759" s="8" t="s">
        <v>28</v>
      </c>
      <c r="L759" s="8" t="s">
        <v>87</v>
      </c>
      <c r="M759" s="8" t="s">
        <v>30</v>
      </c>
      <c r="N759" s="11">
        <v>99384</v>
      </c>
      <c r="O759" s="11">
        <v>24606</v>
      </c>
      <c r="P759" s="12">
        <v>91.6</v>
      </c>
      <c r="Q759" s="9">
        <v>8</v>
      </c>
      <c r="R759" s="13">
        <v>2</v>
      </c>
      <c r="S759" s="13">
        <v>5</v>
      </c>
      <c r="T759" s="9">
        <v>22</v>
      </c>
      <c r="U759" s="13">
        <v>69</v>
      </c>
      <c r="V759" s="8" t="s">
        <v>31</v>
      </c>
      <c r="W759" s="8"/>
      <c r="X759" s="22">
        <f>IF(V759="Yes",1,0)</f>
        <v>0</v>
      </c>
      <c r="Y759" s="22">
        <f>IF(H759="Active",0,1)</f>
        <v>0</v>
      </c>
    </row>
    <row r="760" spans="1:25" ht="18" customHeight="1" x14ac:dyDescent="0.35">
      <c r="A760" s="14" t="s">
        <v>1350</v>
      </c>
      <c r="B760" s="14" t="s">
        <v>424</v>
      </c>
      <c r="C760" s="14" t="s">
        <v>34</v>
      </c>
      <c r="D760" s="15">
        <v>27</v>
      </c>
      <c r="E760" s="14" t="s">
        <v>2304</v>
      </c>
      <c r="F760" s="14" t="s">
        <v>53</v>
      </c>
      <c r="G760" s="16">
        <v>45746</v>
      </c>
      <c r="H760" s="14" t="s">
        <v>26</v>
      </c>
      <c r="I760" s="14" t="s">
        <v>2267</v>
      </c>
      <c r="J760" s="14" t="s">
        <v>2269</v>
      </c>
      <c r="K760" s="14" t="s">
        <v>55</v>
      </c>
      <c r="L760" s="14" t="s">
        <v>87</v>
      </c>
      <c r="M760" s="14" t="s">
        <v>45</v>
      </c>
      <c r="N760" s="17">
        <v>249909</v>
      </c>
      <c r="O760" s="17">
        <v>21548</v>
      </c>
      <c r="P760" s="18">
        <v>90.6</v>
      </c>
      <c r="Q760" s="15">
        <v>5</v>
      </c>
      <c r="R760" s="19">
        <v>26</v>
      </c>
      <c r="S760" s="19">
        <v>3</v>
      </c>
      <c r="T760" s="15">
        <v>28</v>
      </c>
      <c r="U760" s="19">
        <v>75</v>
      </c>
      <c r="V760" s="14" t="s">
        <v>31</v>
      </c>
      <c r="W760" s="14"/>
      <c r="X760" s="14">
        <f>IF(V760="Yes",1,0)</f>
        <v>0</v>
      </c>
      <c r="Y760" s="14">
        <f>IF(H760="Active",0,1)</f>
        <v>0</v>
      </c>
    </row>
    <row r="761" spans="1:25" ht="18" customHeight="1" x14ac:dyDescent="0.35">
      <c r="A761" s="8" t="s">
        <v>956</v>
      </c>
      <c r="B761" s="8" t="s">
        <v>244</v>
      </c>
      <c r="C761" s="8" t="s">
        <v>34</v>
      </c>
      <c r="D761" s="9">
        <v>34</v>
      </c>
      <c r="E761" s="8" t="s">
        <v>2303</v>
      </c>
      <c r="F761" s="8" t="s">
        <v>35</v>
      </c>
      <c r="G761" s="10">
        <v>45745</v>
      </c>
      <c r="H761" s="8" t="s">
        <v>26</v>
      </c>
      <c r="I761" s="8" t="s">
        <v>36</v>
      </c>
      <c r="J761" s="8" t="s">
        <v>2270</v>
      </c>
      <c r="K761" s="8" t="s">
        <v>73</v>
      </c>
      <c r="L761" s="8" t="s">
        <v>49</v>
      </c>
      <c r="M761" s="8" t="s">
        <v>60</v>
      </c>
      <c r="N761" s="11">
        <v>153374</v>
      </c>
      <c r="O761" s="11">
        <v>33368</v>
      </c>
      <c r="P761" s="12">
        <v>96.5</v>
      </c>
      <c r="Q761" s="9">
        <v>6</v>
      </c>
      <c r="R761" s="13">
        <v>22</v>
      </c>
      <c r="S761" s="13">
        <v>3</v>
      </c>
      <c r="T761" s="9">
        <v>18</v>
      </c>
      <c r="U761" s="13">
        <v>84</v>
      </c>
      <c r="V761" s="8" t="s">
        <v>31</v>
      </c>
      <c r="W761" s="8"/>
      <c r="X761" s="22">
        <f>IF(V761="Yes",1,0)</f>
        <v>0</v>
      </c>
      <c r="Y761" s="22">
        <f>IF(H761="Active",0,1)</f>
        <v>0</v>
      </c>
    </row>
    <row r="762" spans="1:25" ht="18" customHeight="1" x14ac:dyDescent="0.35">
      <c r="A762" s="14" t="s">
        <v>523</v>
      </c>
      <c r="B762" s="14" t="s">
        <v>75</v>
      </c>
      <c r="C762" s="14" t="s">
        <v>25</v>
      </c>
      <c r="D762" s="15">
        <v>46</v>
      </c>
      <c r="E762" s="14" t="s">
        <v>42</v>
      </c>
      <c r="F762" s="14" t="s">
        <v>76</v>
      </c>
      <c r="G762" s="16">
        <v>45744</v>
      </c>
      <c r="H762" s="14" t="s">
        <v>26</v>
      </c>
      <c r="I762" s="14" t="s">
        <v>2267</v>
      </c>
      <c r="J762" s="14" t="s">
        <v>2269</v>
      </c>
      <c r="K762" s="14" t="s">
        <v>55</v>
      </c>
      <c r="L762" s="14" t="s">
        <v>44</v>
      </c>
      <c r="M762" s="14" t="s">
        <v>39</v>
      </c>
      <c r="N762" s="17">
        <v>66163</v>
      </c>
      <c r="O762" s="17">
        <v>37734</v>
      </c>
      <c r="P762" s="18">
        <v>92.8</v>
      </c>
      <c r="Q762" s="15">
        <v>4</v>
      </c>
      <c r="R762" s="19">
        <v>22</v>
      </c>
      <c r="S762" s="19">
        <v>5</v>
      </c>
      <c r="T762" s="15">
        <v>31</v>
      </c>
      <c r="U762" s="19">
        <v>68</v>
      </c>
      <c r="V762" s="14" t="s">
        <v>31</v>
      </c>
      <c r="W762" s="14"/>
      <c r="X762" s="14">
        <f>IF(V762="Yes",1,0)</f>
        <v>0</v>
      </c>
      <c r="Y762" s="14">
        <f>IF(H762="Active",0,1)</f>
        <v>0</v>
      </c>
    </row>
    <row r="763" spans="1:25" ht="18" customHeight="1" x14ac:dyDescent="0.35">
      <c r="A763" s="8" t="s">
        <v>863</v>
      </c>
      <c r="B763" s="8" t="s">
        <v>694</v>
      </c>
      <c r="C763" s="8" t="s">
        <v>25</v>
      </c>
      <c r="D763" s="9">
        <v>25</v>
      </c>
      <c r="E763" s="8" t="s">
        <v>2303</v>
      </c>
      <c r="F763" s="8" t="s">
        <v>53</v>
      </c>
      <c r="G763" s="10">
        <v>45744</v>
      </c>
      <c r="H763" s="8" t="s">
        <v>26</v>
      </c>
      <c r="I763" s="8" t="s">
        <v>27</v>
      </c>
      <c r="J763" s="8" t="s">
        <v>2270</v>
      </c>
      <c r="K763" s="8" t="s">
        <v>55</v>
      </c>
      <c r="L763" s="8" t="s">
        <v>68</v>
      </c>
      <c r="M763" s="8" t="s">
        <v>64</v>
      </c>
      <c r="N763" s="11">
        <v>59690</v>
      </c>
      <c r="O763" s="11">
        <v>46831</v>
      </c>
      <c r="P763" s="12">
        <v>82.3</v>
      </c>
      <c r="Q763" s="9">
        <v>7</v>
      </c>
      <c r="R763" s="13">
        <v>12</v>
      </c>
      <c r="S763" s="13">
        <v>3</v>
      </c>
      <c r="T763" s="9">
        <v>8</v>
      </c>
      <c r="U763" s="13">
        <v>92</v>
      </c>
      <c r="V763" s="8" t="s">
        <v>31</v>
      </c>
      <c r="W763" s="8"/>
      <c r="X763" s="22">
        <f>IF(V763="Yes",1,0)</f>
        <v>0</v>
      </c>
      <c r="Y763" s="22">
        <f>IF(H763="Active",0,1)</f>
        <v>0</v>
      </c>
    </row>
    <row r="764" spans="1:25" ht="18" customHeight="1" x14ac:dyDescent="0.35">
      <c r="A764" s="14" t="s">
        <v>1185</v>
      </c>
      <c r="B764" s="14" t="s">
        <v>467</v>
      </c>
      <c r="C764" s="14" t="s">
        <v>34</v>
      </c>
      <c r="D764" s="15">
        <v>36</v>
      </c>
      <c r="E764" s="14" t="s">
        <v>86</v>
      </c>
      <c r="F764" s="14" t="s">
        <v>72</v>
      </c>
      <c r="G764" s="16">
        <v>45744</v>
      </c>
      <c r="H764" s="14" t="s">
        <v>26</v>
      </c>
      <c r="I764" s="14" t="s">
        <v>36</v>
      </c>
      <c r="J764" s="14" t="s">
        <v>48</v>
      </c>
      <c r="K764" s="14" t="s">
        <v>37</v>
      </c>
      <c r="L764" s="14" t="s">
        <v>116</v>
      </c>
      <c r="M764" s="14" t="s">
        <v>45</v>
      </c>
      <c r="N764" s="17">
        <v>147713</v>
      </c>
      <c r="O764" s="17">
        <v>28478</v>
      </c>
      <c r="P764" s="18">
        <v>98</v>
      </c>
      <c r="Q764" s="15">
        <v>10</v>
      </c>
      <c r="R764" s="19">
        <v>5</v>
      </c>
      <c r="S764" s="19">
        <v>2</v>
      </c>
      <c r="T764" s="15">
        <v>23</v>
      </c>
      <c r="U764" s="19">
        <v>86</v>
      </c>
      <c r="V764" s="14" t="s">
        <v>31</v>
      </c>
      <c r="W764" s="14"/>
      <c r="X764" s="14">
        <f>IF(V764="Yes",1,0)</f>
        <v>0</v>
      </c>
      <c r="Y764" s="14">
        <f>IF(H764="Active",0,1)</f>
        <v>0</v>
      </c>
    </row>
    <row r="765" spans="1:25" ht="18" customHeight="1" x14ac:dyDescent="0.35">
      <c r="A765" s="8" t="s">
        <v>1933</v>
      </c>
      <c r="B765" s="8" t="s">
        <v>311</v>
      </c>
      <c r="C765" s="8" t="s">
        <v>34</v>
      </c>
      <c r="D765" s="9">
        <v>60</v>
      </c>
      <c r="E765" s="8" t="s">
        <v>52</v>
      </c>
      <c r="F765" s="8" t="s">
        <v>72</v>
      </c>
      <c r="G765" s="10">
        <v>45744</v>
      </c>
      <c r="H765" s="8" t="s">
        <v>26</v>
      </c>
      <c r="I765" s="8" t="s">
        <v>2267</v>
      </c>
      <c r="J765" s="8" t="s">
        <v>80</v>
      </c>
      <c r="K765" s="8" t="s">
        <v>37</v>
      </c>
      <c r="L765" s="8" t="s">
        <v>49</v>
      </c>
      <c r="M765" s="8" t="s">
        <v>64</v>
      </c>
      <c r="N765" s="11">
        <v>217994</v>
      </c>
      <c r="O765" s="11">
        <v>10212</v>
      </c>
      <c r="P765" s="12">
        <v>80</v>
      </c>
      <c r="Q765" s="9">
        <v>3</v>
      </c>
      <c r="R765" s="13">
        <v>20</v>
      </c>
      <c r="S765" s="13">
        <v>3</v>
      </c>
      <c r="T765" s="9">
        <v>17</v>
      </c>
      <c r="U765" s="13">
        <v>79</v>
      </c>
      <c r="V765" s="8" t="s">
        <v>31</v>
      </c>
      <c r="W765" s="8"/>
      <c r="X765" s="22">
        <f>IF(V765="Yes",1,0)</f>
        <v>0</v>
      </c>
      <c r="Y765" s="22">
        <f>IF(H765="Active",0,1)</f>
        <v>0</v>
      </c>
    </row>
    <row r="766" spans="1:25" ht="18" customHeight="1" x14ac:dyDescent="0.35">
      <c r="A766" s="14" t="s">
        <v>739</v>
      </c>
      <c r="B766" s="14" t="s">
        <v>403</v>
      </c>
      <c r="C766" s="14" t="s">
        <v>34</v>
      </c>
      <c r="D766" s="15">
        <v>54</v>
      </c>
      <c r="E766" s="14" t="s">
        <v>109</v>
      </c>
      <c r="F766" s="14" t="s">
        <v>79</v>
      </c>
      <c r="G766" s="16">
        <v>45743</v>
      </c>
      <c r="H766" s="14" t="s">
        <v>26</v>
      </c>
      <c r="I766" s="14" t="s">
        <v>27</v>
      </c>
      <c r="J766" s="14" t="s">
        <v>2270</v>
      </c>
      <c r="K766" s="14" t="s">
        <v>37</v>
      </c>
      <c r="L766" s="14" t="s">
        <v>116</v>
      </c>
      <c r="M766" s="14" t="s">
        <v>39</v>
      </c>
      <c r="N766" s="17">
        <v>182040</v>
      </c>
      <c r="O766" s="17">
        <v>21985</v>
      </c>
      <c r="P766" s="18">
        <v>96.1</v>
      </c>
      <c r="Q766" s="15">
        <v>7</v>
      </c>
      <c r="R766" s="19">
        <v>9</v>
      </c>
      <c r="S766" s="19">
        <v>1</v>
      </c>
      <c r="T766" s="15">
        <v>0</v>
      </c>
      <c r="U766" s="19">
        <v>77</v>
      </c>
      <c r="V766" s="14" t="s">
        <v>69</v>
      </c>
      <c r="W766" s="14"/>
      <c r="X766" s="14">
        <f>IF(V766="Yes",1,0)</f>
        <v>1</v>
      </c>
      <c r="Y766" s="14">
        <f>IF(H766="Active",0,1)</f>
        <v>0</v>
      </c>
    </row>
    <row r="767" spans="1:25" ht="18" customHeight="1" x14ac:dyDescent="0.35">
      <c r="A767" s="8" t="s">
        <v>494</v>
      </c>
      <c r="B767" s="8" t="s">
        <v>291</v>
      </c>
      <c r="C767" s="8" t="s">
        <v>34</v>
      </c>
      <c r="D767" s="9">
        <v>55</v>
      </c>
      <c r="E767" s="8" t="s">
        <v>86</v>
      </c>
      <c r="F767" s="8" t="s">
        <v>76</v>
      </c>
      <c r="G767" s="10">
        <v>45742</v>
      </c>
      <c r="H767" s="8" t="s">
        <v>26</v>
      </c>
      <c r="I767" s="8" t="s">
        <v>27</v>
      </c>
      <c r="J767" s="8" t="s">
        <v>80</v>
      </c>
      <c r="K767" s="8" t="s">
        <v>37</v>
      </c>
      <c r="L767" s="8" t="s">
        <v>56</v>
      </c>
      <c r="M767" s="8" t="s">
        <v>60</v>
      </c>
      <c r="N767" s="11">
        <v>98817</v>
      </c>
      <c r="O767" s="11">
        <v>7791</v>
      </c>
      <c r="P767" s="12">
        <v>82.2</v>
      </c>
      <c r="Q767" s="9">
        <v>0</v>
      </c>
      <c r="R767" s="13">
        <v>4</v>
      </c>
      <c r="S767" s="13">
        <v>5</v>
      </c>
      <c r="T767" s="9">
        <v>11</v>
      </c>
      <c r="U767" s="13">
        <v>90</v>
      </c>
      <c r="V767" s="8" t="s">
        <v>31</v>
      </c>
      <c r="W767" s="8"/>
      <c r="X767" s="22">
        <f>IF(V767="Yes",1,0)</f>
        <v>0</v>
      </c>
      <c r="Y767" s="22">
        <f>IF(H767="Active",0,1)</f>
        <v>0</v>
      </c>
    </row>
    <row r="768" spans="1:25" ht="18" customHeight="1" x14ac:dyDescent="0.35">
      <c r="A768" s="14" t="s">
        <v>713</v>
      </c>
      <c r="B768" s="14" t="s">
        <v>714</v>
      </c>
      <c r="C768" s="14" t="s">
        <v>25</v>
      </c>
      <c r="D768" s="15">
        <v>43</v>
      </c>
      <c r="E768" s="14" t="s">
        <v>52</v>
      </c>
      <c r="F768" s="14" t="s">
        <v>72</v>
      </c>
      <c r="G768" s="16">
        <v>45742</v>
      </c>
      <c r="H768" s="14" t="s">
        <v>26</v>
      </c>
      <c r="I768" s="14" t="s">
        <v>2267</v>
      </c>
      <c r="J768" s="14" t="s">
        <v>80</v>
      </c>
      <c r="K768" s="14" t="s">
        <v>55</v>
      </c>
      <c r="L768" s="14" t="s">
        <v>44</v>
      </c>
      <c r="M768" s="14" t="s">
        <v>30</v>
      </c>
      <c r="N768" s="17">
        <v>37357</v>
      </c>
      <c r="O768" s="17">
        <v>48015</v>
      </c>
      <c r="P768" s="18">
        <v>99.7</v>
      </c>
      <c r="Q768" s="15">
        <v>5</v>
      </c>
      <c r="R768" s="19">
        <v>6</v>
      </c>
      <c r="S768" s="19">
        <v>1</v>
      </c>
      <c r="T768" s="15">
        <v>17</v>
      </c>
      <c r="U768" s="19">
        <v>64</v>
      </c>
      <c r="V768" s="14" t="s">
        <v>31</v>
      </c>
      <c r="W768" s="14"/>
      <c r="X768" s="14">
        <f>IF(V768="Yes",1,0)</f>
        <v>0</v>
      </c>
      <c r="Y768" s="14">
        <f>IF(H768="Active",0,1)</f>
        <v>0</v>
      </c>
    </row>
    <row r="769" spans="1:25" ht="18" customHeight="1" x14ac:dyDescent="0.35">
      <c r="A769" s="8" t="s">
        <v>219</v>
      </c>
      <c r="B769" s="8" t="s">
        <v>220</v>
      </c>
      <c r="C769" s="8" t="s">
        <v>25</v>
      </c>
      <c r="D769" s="9">
        <v>36</v>
      </c>
      <c r="E769" s="8" t="s">
        <v>93</v>
      </c>
      <c r="F769" s="8" t="s">
        <v>35</v>
      </c>
      <c r="G769" s="10">
        <v>45741</v>
      </c>
      <c r="H769" s="8" t="s">
        <v>26</v>
      </c>
      <c r="I769" s="8" t="s">
        <v>2267</v>
      </c>
      <c r="J769" s="8" t="s">
        <v>2268</v>
      </c>
      <c r="K769" s="8" t="s">
        <v>73</v>
      </c>
      <c r="L769" s="8" t="s">
        <v>44</v>
      </c>
      <c r="M769" s="8" t="s">
        <v>45</v>
      </c>
      <c r="N769" s="11">
        <v>98061</v>
      </c>
      <c r="O769" s="11">
        <v>7350</v>
      </c>
      <c r="P769" s="12">
        <v>84.2</v>
      </c>
      <c r="Q769" s="9">
        <v>1</v>
      </c>
      <c r="R769" s="13">
        <v>29</v>
      </c>
      <c r="S769" s="13">
        <v>5</v>
      </c>
      <c r="T769" s="9">
        <v>27</v>
      </c>
      <c r="U769" s="13">
        <v>74</v>
      </c>
      <c r="V769" s="8" t="s">
        <v>31</v>
      </c>
      <c r="W769" s="8"/>
      <c r="X769" s="22">
        <f>IF(V769="Yes",1,0)</f>
        <v>0</v>
      </c>
      <c r="Y769" s="22">
        <f>IF(H769="Active",0,1)</f>
        <v>0</v>
      </c>
    </row>
    <row r="770" spans="1:25" ht="18" customHeight="1" x14ac:dyDescent="0.35">
      <c r="A770" s="14" t="s">
        <v>895</v>
      </c>
      <c r="B770" s="14" t="s">
        <v>432</v>
      </c>
      <c r="C770" s="14" t="s">
        <v>34</v>
      </c>
      <c r="D770" s="15">
        <v>34</v>
      </c>
      <c r="E770" s="14" t="s">
        <v>2303</v>
      </c>
      <c r="F770" s="14" t="s">
        <v>35</v>
      </c>
      <c r="G770" s="16">
        <v>45741</v>
      </c>
      <c r="H770" s="14" t="s">
        <v>54</v>
      </c>
      <c r="I770" s="14" t="s">
        <v>36</v>
      </c>
      <c r="J770" s="14" t="s">
        <v>2270</v>
      </c>
      <c r="K770" s="14" t="s">
        <v>37</v>
      </c>
      <c r="L770" s="14" t="s">
        <v>44</v>
      </c>
      <c r="M770" s="14" t="s">
        <v>45</v>
      </c>
      <c r="N770" s="17">
        <v>233783</v>
      </c>
      <c r="O770" s="17">
        <v>23826</v>
      </c>
      <c r="P770" s="18">
        <v>80.099999999999994</v>
      </c>
      <c r="Q770" s="15">
        <v>8</v>
      </c>
      <c r="R770" s="19">
        <v>5</v>
      </c>
      <c r="S770" s="19">
        <v>2</v>
      </c>
      <c r="T770" s="15">
        <v>21</v>
      </c>
      <c r="U770" s="19">
        <v>76</v>
      </c>
      <c r="V770" s="14" t="s">
        <v>31</v>
      </c>
      <c r="W770" s="14" t="s">
        <v>57</v>
      </c>
      <c r="X770" s="14">
        <f>IF(V770="Yes",1,0)</f>
        <v>0</v>
      </c>
      <c r="Y770" s="14">
        <f>IF(H770="Active",0,1)</f>
        <v>1</v>
      </c>
    </row>
    <row r="771" spans="1:25" ht="18" customHeight="1" x14ac:dyDescent="0.35">
      <c r="A771" s="8" t="s">
        <v>1218</v>
      </c>
      <c r="B771" s="8" t="s">
        <v>113</v>
      </c>
      <c r="C771" s="8" t="s">
        <v>34</v>
      </c>
      <c r="D771" s="9">
        <v>51</v>
      </c>
      <c r="E771" s="8" t="s">
        <v>2303</v>
      </c>
      <c r="F771" s="8" t="s">
        <v>90</v>
      </c>
      <c r="G771" s="10">
        <v>45741</v>
      </c>
      <c r="H771" s="8" t="s">
        <v>26</v>
      </c>
      <c r="I771" s="8" t="s">
        <v>27</v>
      </c>
      <c r="J771" s="8" t="s">
        <v>2268</v>
      </c>
      <c r="K771" s="8" t="s">
        <v>73</v>
      </c>
      <c r="L771" s="8" t="s">
        <v>29</v>
      </c>
      <c r="M771" s="8" t="s">
        <v>45</v>
      </c>
      <c r="N771" s="11">
        <v>82811</v>
      </c>
      <c r="O771" s="11">
        <v>14092</v>
      </c>
      <c r="P771" s="12">
        <v>95.7</v>
      </c>
      <c r="Q771" s="9">
        <v>5</v>
      </c>
      <c r="R771" s="13">
        <v>28</v>
      </c>
      <c r="S771" s="13">
        <v>1</v>
      </c>
      <c r="T771" s="9">
        <v>38</v>
      </c>
      <c r="U771" s="13">
        <v>88</v>
      </c>
      <c r="V771" s="8" t="s">
        <v>31</v>
      </c>
      <c r="W771" s="8"/>
      <c r="X771" s="22">
        <f>IF(V771="Yes",1,0)</f>
        <v>0</v>
      </c>
      <c r="Y771" s="22">
        <f>IF(H771="Active",0,1)</f>
        <v>0</v>
      </c>
    </row>
    <row r="772" spans="1:25" ht="18" customHeight="1" x14ac:dyDescent="0.35">
      <c r="A772" s="8" t="s">
        <v>1885</v>
      </c>
      <c r="B772" s="8" t="s">
        <v>278</v>
      </c>
      <c r="C772" s="8" t="s">
        <v>34</v>
      </c>
      <c r="D772" s="9">
        <v>52</v>
      </c>
      <c r="E772" s="8" t="s">
        <v>52</v>
      </c>
      <c r="F772" s="8" t="s">
        <v>90</v>
      </c>
      <c r="G772" s="10">
        <v>45741</v>
      </c>
      <c r="H772" s="8" t="s">
        <v>26</v>
      </c>
      <c r="I772" s="8" t="s">
        <v>2267</v>
      </c>
      <c r="J772" s="8" t="s">
        <v>2268</v>
      </c>
      <c r="K772" s="8" t="s">
        <v>2271</v>
      </c>
      <c r="L772" s="8" t="s">
        <v>87</v>
      </c>
      <c r="M772" s="8" t="s">
        <v>60</v>
      </c>
      <c r="N772" s="11">
        <v>94398</v>
      </c>
      <c r="O772" s="11">
        <v>18540</v>
      </c>
      <c r="P772" s="12">
        <v>82.5</v>
      </c>
      <c r="Q772" s="9">
        <v>3</v>
      </c>
      <c r="R772" s="13">
        <v>8</v>
      </c>
      <c r="S772" s="13">
        <v>3</v>
      </c>
      <c r="T772" s="9">
        <v>30</v>
      </c>
      <c r="U772" s="13">
        <v>66</v>
      </c>
      <c r="V772" s="8" t="s">
        <v>31</v>
      </c>
      <c r="W772" s="8"/>
      <c r="X772" s="22">
        <f>IF(V772="Yes",1,0)</f>
        <v>0</v>
      </c>
      <c r="Y772" s="22">
        <f>IF(H772="Active",0,1)</f>
        <v>0</v>
      </c>
    </row>
    <row r="773" spans="1:25" ht="18" customHeight="1" x14ac:dyDescent="0.35">
      <c r="A773" s="14" t="s">
        <v>2116</v>
      </c>
      <c r="B773" s="14" t="s">
        <v>261</v>
      </c>
      <c r="C773" s="14" t="s">
        <v>25</v>
      </c>
      <c r="D773" s="15">
        <v>25</v>
      </c>
      <c r="E773" s="14" t="s">
        <v>52</v>
      </c>
      <c r="F773" s="14" t="s">
        <v>53</v>
      </c>
      <c r="G773" s="16">
        <v>45741</v>
      </c>
      <c r="H773" s="14" t="s">
        <v>26</v>
      </c>
      <c r="I773" s="14" t="s">
        <v>36</v>
      </c>
      <c r="J773" s="14" t="s">
        <v>2270</v>
      </c>
      <c r="K773" s="14" t="s">
        <v>73</v>
      </c>
      <c r="L773" s="14" t="s">
        <v>44</v>
      </c>
      <c r="M773" s="14" t="s">
        <v>60</v>
      </c>
      <c r="N773" s="17">
        <v>193641</v>
      </c>
      <c r="O773" s="17">
        <v>26717</v>
      </c>
      <c r="P773" s="18">
        <v>99.7</v>
      </c>
      <c r="Q773" s="15">
        <v>5</v>
      </c>
      <c r="R773" s="19">
        <v>3</v>
      </c>
      <c r="S773" s="19">
        <v>1</v>
      </c>
      <c r="T773" s="15">
        <v>1</v>
      </c>
      <c r="U773" s="19">
        <v>80</v>
      </c>
      <c r="V773" s="14" t="s">
        <v>31</v>
      </c>
      <c r="W773" s="14"/>
      <c r="X773" s="14">
        <f>IF(V773="Yes",1,0)</f>
        <v>0</v>
      </c>
      <c r="Y773" s="14">
        <f>IF(H773="Active",0,1)</f>
        <v>0</v>
      </c>
    </row>
    <row r="774" spans="1:25" ht="18" customHeight="1" x14ac:dyDescent="0.35">
      <c r="A774" s="14" t="s">
        <v>154</v>
      </c>
      <c r="B774" s="14" t="s">
        <v>155</v>
      </c>
      <c r="C774" s="14" t="s">
        <v>34</v>
      </c>
      <c r="D774" s="15">
        <v>47</v>
      </c>
      <c r="E774" s="14" t="s">
        <v>42</v>
      </c>
      <c r="F774" s="14" t="s">
        <v>35</v>
      </c>
      <c r="G774" s="16">
        <v>45740</v>
      </c>
      <c r="H774" s="14" t="s">
        <v>26</v>
      </c>
      <c r="I774" s="14" t="s">
        <v>2267</v>
      </c>
      <c r="J774" s="14" t="s">
        <v>2268</v>
      </c>
      <c r="K774" s="14" t="s">
        <v>73</v>
      </c>
      <c r="L774" s="14" t="s">
        <v>38</v>
      </c>
      <c r="M774" s="14" t="s">
        <v>39</v>
      </c>
      <c r="N774" s="17">
        <v>69932</v>
      </c>
      <c r="O774" s="17">
        <v>32704</v>
      </c>
      <c r="P774" s="18">
        <v>93.9</v>
      </c>
      <c r="Q774" s="15">
        <v>2</v>
      </c>
      <c r="R774" s="19">
        <v>5</v>
      </c>
      <c r="S774" s="19">
        <v>1</v>
      </c>
      <c r="T774" s="15">
        <v>30</v>
      </c>
      <c r="U774" s="19">
        <v>71</v>
      </c>
      <c r="V774" s="14" t="s">
        <v>31</v>
      </c>
      <c r="W774" s="14"/>
      <c r="X774" s="14">
        <f>IF(V774="Yes",1,0)</f>
        <v>0</v>
      </c>
      <c r="Y774" s="14">
        <f>IF(H774="Active",0,1)</f>
        <v>0</v>
      </c>
    </row>
    <row r="775" spans="1:25" ht="18" customHeight="1" x14ac:dyDescent="0.35">
      <c r="A775" s="14" t="s">
        <v>1209</v>
      </c>
      <c r="B775" s="14" t="s">
        <v>113</v>
      </c>
      <c r="C775" s="14" t="s">
        <v>25</v>
      </c>
      <c r="D775" s="15">
        <v>46</v>
      </c>
      <c r="E775" s="14" t="s">
        <v>63</v>
      </c>
      <c r="F775" s="14" t="s">
        <v>72</v>
      </c>
      <c r="G775" s="16">
        <v>45740</v>
      </c>
      <c r="H775" s="14" t="s">
        <v>26</v>
      </c>
      <c r="I775" s="14" t="s">
        <v>36</v>
      </c>
      <c r="J775" s="14" t="s">
        <v>80</v>
      </c>
      <c r="K775" s="14" t="s">
        <v>37</v>
      </c>
      <c r="L775" s="14" t="s">
        <v>56</v>
      </c>
      <c r="M775" s="14" t="s">
        <v>45</v>
      </c>
      <c r="N775" s="17">
        <v>143442</v>
      </c>
      <c r="O775" s="17">
        <v>40059</v>
      </c>
      <c r="P775" s="18">
        <v>97.9</v>
      </c>
      <c r="Q775" s="15">
        <v>5</v>
      </c>
      <c r="R775" s="19">
        <v>9</v>
      </c>
      <c r="S775" s="19">
        <v>2</v>
      </c>
      <c r="T775" s="15">
        <v>6</v>
      </c>
      <c r="U775" s="19">
        <v>96</v>
      </c>
      <c r="V775" s="14" t="s">
        <v>31</v>
      </c>
      <c r="W775" s="14"/>
      <c r="X775" s="14">
        <f>IF(V775="Yes",1,0)</f>
        <v>0</v>
      </c>
      <c r="Y775" s="14">
        <f>IF(H775="Active",0,1)</f>
        <v>0</v>
      </c>
    </row>
    <row r="776" spans="1:25" ht="18" customHeight="1" x14ac:dyDescent="0.35">
      <c r="A776" s="14" t="s">
        <v>298</v>
      </c>
      <c r="B776" s="14" t="s">
        <v>295</v>
      </c>
      <c r="C776" s="14" t="s">
        <v>34</v>
      </c>
      <c r="D776" s="15">
        <v>27</v>
      </c>
      <c r="E776" s="14" t="s">
        <v>109</v>
      </c>
      <c r="F776" s="14" t="s">
        <v>43</v>
      </c>
      <c r="G776" s="16">
        <v>45739</v>
      </c>
      <c r="H776" s="14" t="s">
        <v>26</v>
      </c>
      <c r="I776" s="14" t="s">
        <v>36</v>
      </c>
      <c r="J776" s="14" t="s">
        <v>80</v>
      </c>
      <c r="K776" s="14" t="s">
        <v>37</v>
      </c>
      <c r="L776" s="14" t="s">
        <v>87</v>
      </c>
      <c r="M776" s="14" t="s">
        <v>60</v>
      </c>
      <c r="N776" s="17">
        <v>156222</v>
      </c>
      <c r="O776" s="17">
        <v>22729</v>
      </c>
      <c r="P776" s="18">
        <v>86.9</v>
      </c>
      <c r="Q776" s="15">
        <v>5</v>
      </c>
      <c r="R776" s="19">
        <v>23</v>
      </c>
      <c r="S776" s="19">
        <v>2</v>
      </c>
      <c r="T776" s="15">
        <v>36</v>
      </c>
      <c r="U776" s="19">
        <v>92</v>
      </c>
      <c r="V776" s="14" t="s">
        <v>31</v>
      </c>
      <c r="W776" s="14"/>
      <c r="X776" s="14">
        <f>IF(V776="Yes",1,0)</f>
        <v>0</v>
      </c>
      <c r="Y776" s="14">
        <f>IF(H776="Active",0,1)</f>
        <v>0</v>
      </c>
    </row>
    <row r="777" spans="1:25" ht="18" customHeight="1" x14ac:dyDescent="0.35">
      <c r="A777" s="14" t="s">
        <v>784</v>
      </c>
      <c r="B777" s="14" t="s">
        <v>41</v>
      </c>
      <c r="C777" s="14" t="s">
        <v>25</v>
      </c>
      <c r="D777" s="15">
        <v>21</v>
      </c>
      <c r="E777" s="14" t="s">
        <v>67</v>
      </c>
      <c r="F777" s="14" t="s">
        <v>43</v>
      </c>
      <c r="G777" s="16">
        <v>45739</v>
      </c>
      <c r="H777" s="14" t="s">
        <v>26</v>
      </c>
      <c r="I777" s="14" t="s">
        <v>36</v>
      </c>
      <c r="J777" s="14" t="s">
        <v>80</v>
      </c>
      <c r="K777" s="14" t="s">
        <v>37</v>
      </c>
      <c r="L777" s="14" t="s">
        <v>116</v>
      </c>
      <c r="M777" s="14" t="s">
        <v>64</v>
      </c>
      <c r="N777" s="17">
        <v>65267</v>
      </c>
      <c r="O777" s="17">
        <v>14355</v>
      </c>
      <c r="P777" s="18">
        <v>93.4</v>
      </c>
      <c r="Q777" s="15">
        <v>6</v>
      </c>
      <c r="R777" s="19">
        <v>10</v>
      </c>
      <c r="S777" s="19">
        <v>4</v>
      </c>
      <c r="T777" s="15">
        <v>20</v>
      </c>
      <c r="U777" s="19">
        <v>63</v>
      </c>
      <c r="V777" s="14" t="s">
        <v>31</v>
      </c>
      <c r="W777" s="14"/>
      <c r="X777" s="14">
        <f>IF(V777="Yes",1,0)</f>
        <v>0</v>
      </c>
      <c r="Y777" s="14">
        <f>IF(H777="Active",0,1)</f>
        <v>0</v>
      </c>
    </row>
    <row r="778" spans="1:25" ht="18" customHeight="1" x14ac:dyDescent="0.35">
      <c r="A778" s="14" t="s">
        <v>1814</v>
      </c>
      <c r="B778" s="14" t="s">
        <v>567</v>
      </c>
      <c r="C778" s="14" t="s">
        <v>34</v>
      </c>
      <c r="D778" s="15">
        <v>54</v>
      </c>
      <c r="E778" s="14" t="s">
        <v>67</v>
      </c>
      <c r="F778" s="14" t="s">
        <v>72</v>
      </c>
      <c r="G778" s="16">
        <v>45739</v>
      </c>
      <c r="H778" s="14" t="s">
        <v>26</v>
      </c>
      <c r="I778" s="14" t="s">
        <v>27</v>
      </c>
      <c r="J778" s="14" t="s">
        <v>48</v>
      </c>
      <c r="K778" s="14" t="s">
        <v>2271</v>
      </c>
      <c r="L778" s="14" t="s">
        <v>56</v>
      </c>
      <c r="M778" s="14" t="s">
        <v>45</v>
      </c>
      <c r="N778" s="17">
        <v>160125</v>
      </c>
      <c r="O778" s="17">
        <v>39676</v>
      </c>
      <c r="P778" s="18">
        <v>90</v>
      </c>
      <c r="Q778" s="15">
        <v>8</v>
      </c>
      <c r="R778" s="19">
        <v>13</v>
      </c>
      <c r="S778" s="19">
        <v>5</v>
      </c>
      <c r="T778" s="15">
        <v>4</v>
      </c>
      <c r="U778" s="19">
        <v>82</v>
      </c>
      <c r="V778" s="14" t="s">
        <v>31</v>
      </c>
      <c r="W778" s="14"/>
      <c r="X778" s="14">
        <f>IF(V778="Yes",1,0)</f>
        <v>0</v>
      </c>
      <c r="Y778" s="14">
        <f>IF(H778="Active",0,1)</f>
        <v>0</v>
      </c>
    </row>
    <row r="779" spans="1:25" ht="18" customHeight="1" x14ac:dyDescent="0.35">
      <c r="A779" s="14" t="s">
        <v>1846</v>
      </c>
      <c r="B779" s="14" t="s">
        <v>390</v>
      </c>
      <c r="C779" s="14" t="s">
        <v>25</v>
      </c>
      <c r="D779" s="15">
        <v>48</v>
      </c>
      <c r="E779" s="14" t="s">
        <v>109</v>
      </c>
      <c r="F779" s="14" t="s">
        <v>79</v>
      </c>
      <c r="G779" s="16">
        <v>45739</v>
      </c>
      <c r="H779" s="14" t="s">
        <v>26</v>
      </c>
      <c r="I779" s="14" t="s">
        <v>2267</v>
      </c>
      <c r="J779" s="14" t="s">
        <v>48</v>
      </c>
      <c r="K779" s="14" t="s">
        <v>73</v>
      </c>
      <c r="L779" s="14" t="s">
        <v>29</v>
      </c>
      <c r="M779" s="14" t="s">
        <v>30</v>
      </c>
      <c r="N779" s="17">
        <v>198752</v>
      </c>
      <c r="O779" s="17">
        <v>16465</v>
      </c>
      <c r="P779" s="18">
        <v>88.7</v>
      </c>
      <c r="Q779" s="15">
        <v>3</v>
      </c>
      <c r="R779" s="19">
        <v>9</v>
      </c>
      <c r="S779" s="19">
        <v>5</v>
      </c>
      <c r="T779" s="15">
        <v>17</v>
      </c>
      <c r="U779" s="19">
        <v>98</v>
      </c>
      <c r="V779" s="14" t="s">
        <v>31</v>
      </c>
      <c r="W779" s="14"/>
      <c r="X779" s="14">
        <f>IF(V779="Yes",1,0)</f>
        <v>0</v>
      </c>
      <c r="Y779" s="14">
        <f>IF(H779="Active",0,1)</f>
        <v>0</v>
      </c>
    </row>
    <row r="780" spans="1:25" ht="18" customHeight="1" x14ac:dyDescent="0.35">
      <c r="A780" s="14" t="s">
        <v>643</v>
      </c>
      <c r="B780" s="14" t="s">
        <v>267</v>
      </c>
      <c r="C780" s="14" t="s">
        <v>34</v>
      </c>
      <c r="D780" s="15">
        <v>31</v>
      </c>
      <c r="E780" s="14" t="s">
        <v>63</v>
      </c>
      <c r="F780" s="14" t="s">
        <v>79</v>
      </c>
      <c r="G780" s="16">
        <v>45738</v>
      </c>
      <c r="H780" s="14" t="s">
        <v>26</v>
      </c>
      <c r="I780" s="14" t="s">
        <v>27</v>
      </c>
      <c r="J780" s="14" t="s">
        <v>80</v>
      </c>
      <c r="K780" s="14" t="s">
        <v>55</v>
      </c>
      <c r="L780" s="14" t="s">
        <v>38</v>
      </c>
      <c r="M780" s="14" t="s">
        <v>60</v>
      </c>
      <c r="N780" s="17">
        <v>85764</v>
      </c>
      <c r="O780" s="17">
        <v>37510</v>
      </c>
      <c r="P780" s="18">
        <v>85.7</v>
      </c>
      <c r="Q780" s="15">
        <v>10</v>
      </c>
      <c r="R780" s="19">
        <v>19</v>
      </c>
      <c r="S780" s="19">
        <v>5</v>
      </c>
      <c r="T780" s="15">
        <v>14</v>
      </c>
      <c r="U780" s="19">
        <v>94</v>
      </c>
      <c r="V780" s="14" t="s">
        <v>31</v>
      </c>
      <c r="W780" s="14"/>
      <c r="X780" s="14">
        <f>IF(V780="Yes",1,0)</f>
        <v>0</v>
      </c>
      <c r="Y780" s="14">
        <f>IF(H780="Active",0,1)</f>
        <v>0</v>
      </c>
    </row>
    <row r="781" spans="1:25" ht="18" customHeight="1" x14ac:dyDescent="0.35">
      <c r="A781" s="14" t="s">
        <v>1466</v>
      </c>
      <c r="B781" s="14" t="s">
        <v>131</v>
      </c>
      <c r="C781" s="14" t="s">
        <v>34</v>
      </c>
      <c r="D781" s="15">
        <v>34</v>
      </c>
      <c r="E781" s="14" t="s">
        <v>2303</v>
      </c>
      <c r="F781" s="14" t="s">
        <v>76</v>
      </c>
      <c r="G781" s="16">
        <v>45738</v>
      </c>
      <c r="H781" s="14" t="s">
        <v>26</v>
      </c>
      <c r="I781" s="14" t="s">
        <v>27</v>
      </c>
      <c r="J781" s="14" t="s">
        <v>2268</v>
      </c>
      <c r="K781" s="14" t="s">
        <v>2271</v>
      </c>
      <c r="L781" s="14" t="s">
        <v>44</v>
      </c>
      <c r="M781" s="14" t="s">
        <v>64</v>
      </c>
      <c r="N781" s="17">
        <v>110810</v>
      </c>
      <c r="O781" s="17">
        <v>24005</v>
      </c>
      <c r="P781" s="18">
        <v>91.1</v>
      </c>
      <c r="Q781" s="15">
        <v>0</v>
      </c>
      <c r="R781" s="19">
        <v>21</v>
      </c>
      <c r="S781" s="19">
        <v>5</v>
      </c>
      <c r="T781" s="15">
        <v>35</v>
      </c>
      <c r="U781" s="19">
        <v>100</v>
      </c>
      <c r="V781" s="14" t="s">
        <v>31</v>
      </c>
      <c r="W781" s="14"/>
      <c r="X781" s="14">
        <f>IF(V781="Yes",1,0)</f>
        <v>0</v>
      </c>
      <c r="Y781" s="14">
        <f>IF(H781="Active",0,1)</f>
        <v>0</v>
      </c>
    </row>
    <row r="782" spans="1:25" ht="18" customHeight="1" x14ac:dyDescent="0.35">
      <c r="A782" s="8" t="s">
        <v>2039</v>
      </c>
      <c r="B782" s="8" t="s">
        <v>75</v>
      </c>
      <c r="C782" s="8" t="s">
        <v>34</v>
      </c>
      <c r="D782" s="9">
        <v>42</v>
      </c>
      <c r="E782" s="8" t="s">
        <v>67</v>
      </c>
      <c r="F782" s="8" t="s">
        <v>72</v>
      </c>
      <c r="G782" s="10">
        <v>45738</v>
      </c>
      <c r="H782" s="8" t="s">
        <v>26</v>
      </c>
      <c r="I782" s="8" t="s">
        <v>2267</v>
      </c>
      <c r="J782" s="8" t="s">
        <v>80</v>
      </c>
      <c r="K782" s="8" t="s">
        <v>37</v>
      </c>
      <c r="L782" s="8" t="s">
        <v>56</v>
      </c>
      <c r="M782" s="8" t="s">
        <v>30</v>
      </c>
      <c r="N782" s="11">
        <v>48383</v>
      </c>
      <c r="O782" s="11">
        <v>37162</v>
      </c>
      <c r="P782" s="12">
        <v>99.5</v>
      </c>
      <c r="Q782" s="9">
        <v>0</v>
      </c>
      <c r="R782" s="13">
        <v>10</v>
      </c>
      <c r="S782" s="13">
        <v>2</v>
      </c>
      <c r="T782" s="9">
        <v>19</v>
      </c>
      <c r="U782" s="13">
        <v>86</v>
      </c>
      <c r="V782" s="8" t="s">
        <v>69</v>
      </c>
      <c r="W782" s="8"/>
      <c r="X782" s="22">
        <f>IF(V782="Yes",1,0)</f>
        <v>1</v>
      </c>
      <c r="Y782" s="22">
        <f>IF(H782="Active",0,1)</f>
        <v>0</v>
      </c>
    </row>
    <row r="783" spans="1:25" ht="18" customHeight="1" x14ac:dyDescent="0.35">
      <c r="A783" s="8" t="s">
        <v>2205</v>
      </c>
      <c r="B783" s="8" t="s">
        <v>974</v>
      </c>
      <c r="C783" s="8" t="s">
        <v>25</v>
      </c>
      <c r="D783" s="9">
        <v>41</v>
      </c>
      <c r="E783" s="8" t="s">
        <v>42</v>
      </c>
      <c r="F783" s="8" t="s">
        <v>53</v>
      </c>
      <c r="G783" s="10">
        <v>45738</v>
      </c>
      <c r="H783" s="8" t="s">
        <v>26</v>
      </c>
      <c r="I783" s="8" t="s">
        <v>2267</v>
      </c>
      <c r="J783" s="8" t="s">
        <v>80</v>
      </c>
      <c r="K783" s="8" t="s">
        <v>2271</v>
      </c>
      <c r="L783" s="8" t="s">
        <v>44</v>
      </c>
      <c r="M783" s="8" t="s">
        <v>60</v>
      </c>
      <c r="N783" s="11">
        <v>127549</v>
      </c>
      <c r="O783" s="11">
        <v>19882</v>
      </c>
      <c r="P783" s="12">
        <v>97.1</v>
      </c>
      <c r="Q783" s="9">
        <v>8</v>
      </c>
      <c r="R783" s="13">
        <v>11</v>
      </c>
      <c r="S783" s="13">
        <v>1</v>
      </c>
      <c r="T783" s="9">
        <v>33</v>
      </c>
      <c r="U783" s="13">
        <v>81</v>
      </c>
      <c r="V783" s="8" t="s">
        <v>31</v>
      </c>
      <c r="W783" s="8"/>
      <c r="X783" s="22">
        <f>IF(V783="Yes",1,0)</f>
        <v>0</v>
      </c>
      <c r="Y783" s="22">
        <f>IF(H783="Active",0,1)</f>
        <v>0</v>
      </c>
    </row>
    <row r="784" spans="1:25" ht="18" customHeight="1" x14ac:dyDescent="0.35">
      <c r="A784" s="14" t="s">
        <v>161</v>
      </c>
      <c r="B784" s="14" t="s">
        <v>162</v>
      </c>
      <c r="C784" s="14" t="s">
        <v>25</v>
      </c>
      <c r="D784" s="15">
        <v>33</v>
      </c>
      <c r="E784" s="14" t="s">
        <v>67</v>
      </c>
      <c r="F784" s="14" t="s">
        <v>72</v>
      </c>
      <c r="G784" s="16">
        <v>45737</v>
      </c>
      <c r="H784" s="14" t="s">
        <v>26</v>
      </c>
      <c r="I784" s="14" t="s">
        <v>2267</v>
      </c>
      <c r="J784" s="14" t="s">
        <v>48</v>
      </c>
      <c r="K784" s="14" t="s">
        <v>2271</v>
      </c>
      <c r="L784" s="14" t="s">
        <v>29</v>
      </c>
      <c r="M784" s="14" t="s">
        <v>39</v>
      </c>
      <c r="N784" s="17">
        <v>84790</v>
      </c>
      <c r="O784" s="17">
        <v>25362</v>
      </c>
      <c r="P784" s="18">
        <v>97.8</v>
      </c>
      <c r="Q784" s="15">
        <v>0</v>
      </c>
      <c r="R784" s="19">
        <v>23</v>
      </c>
      <c r="S784" s="19">
        <v>3</v>
      </c>
      <c r="T784" s="15">
        <v>39</v>
      </c>
      <c r="U784" s="19">
        <v>89</v>
      </c>
      <c r="V784" s="14" t="s">
        <v>31</v>
      </c>
      <c r="W784" s="14"/>
      <c r="X784" s="14">
        <f>IF(V784="Yes",1,0)</f>
        <v>0</v>
      </c>
      <c r="Y784" s="14">
        <f>IF(H784="Active",0,1)</f>
        <v>0</v>
      </c>
    </row>
    <row r="785" spans="1:25" ht="18" customHeight="1" x14ac:dyDescent="0.35">
      <c r="A785" s="8" t="s">
        <v>805</v>
      </c>
      <c r="B785" s="8" t="s">
        <v>806</v>
      </c>
      <c r="C785" s="8" t="s">
        <v>34</v>
      </c>
      <c r="D785" s="9">
        <v>27</v>
      </c>
      <c r="E785" s="8" t="s">
        <v>109</v>
      </c>
      <c r="F785" s="8" t="s">
        <v>12</v>
      </c>
      <c r="G785" s="10">
        <v>45736</v>
      </c>
      <c r="H785" s="8" t="s">
        <v>26</v>
      </c>
      <c r="I785" s="8" t="s">
        <v>36</v>
      </c>
      <c r="J785" s="8" t="s">
        <v>2269</v>
      </c>
      <c r="K785" s="8" t="s">
        <v>37</v>
      </c>
      <c r="L785" s="8" t="s">
        <v>38</v>
      </c>
      <c r="M785" s="8" t="s">
        <v>39</v>
      </c>
      <c r="N785" s="11">
        <v>201922</v>
      </c>
      <c r="O785" s="11">
        <v>21850</v>
      </c>
      <c r="P785" s="12">
        <v>87.3</v>
      </c>
      <c r="Q785" s="9">
        <v>10</v>
      </c>
      <c r="R785" s="13">
        <v>14</v>
      </c>
      <c r="S785" s="13">
        <v>4</v>
      </c>
      <c r="T785" s="9">
        <v>5</v>
      </c>
      <c r="U785" s="13">
        <v>77</v>
      </c>
      <c r="V785" s="8" t="s">
        <v>69</v>
      </c>
      <c r="W785" s="8"/>
      <c r="X785" s="22">
        <f>IF(V785="Yes",1,0)</f>
        <v>1</v>
      </c>
      <c r="Y785" s="22">
        <f>IF(H785="Active",0,1)</f>
        <v>0</v>
      </c>
    </row>
    <row r="786" spans="1:25" ht="18" customHeight="1" x14ac:dyDescent="0.35">
      <c r="A786" s="14" t="s">
        <v>1356</v>
      </c>
      <c r="B786" s="14" t="s">
        <v>475</v>
      </c>
      <c r="C786" s="14" t="s">
        <v>34</v>
      </c>
      <c r="D786" s="15">
        <v>29</v>
      </c>
      <c r="E786" s="14" t="s">
        <v>2303</v>
      </c>
      <c r="F786" s="14" t="s">
        <v>35</v>
      </c>
      <c r="G786" s="16">
        <v>45736</v>
      </c>
      <c r="H786" s="14" t="s">
        <v>26</v>
      </c>
      <c r="I786" s="14" t="s">
        <v>2267</v>
      </c>
      <c r="J786" s="14" t="s">
        <v>48</v>
      </c>
      <c r="K786" s="14" t="s">
        <v>73</v>
      </c>
      <c r="L786" s="14" t="s">
        <v>56</v>
      </c>
      <c r="M786" s="14" t="s">
        <v>64</v>
      </c>
      <c r="N786" s="17">
        <v>62915</v>
      </c>
      <c r="O786" s="17">
        <v>49561</v>
      </c>
      <c r="P786" s="18">
        <v>84.2</v>
      </c>
      <c r="Q786" s="15">
        <v>4</v>
      </c>
      <c r="R786" s="19">
        <v>20</v>
      </c>
      <c r="S786" s="19">
        <v>3</v>
      </c>
      <c r="T786" s="15">
        <v>20</v>
      </c>
      <c r="U786" s="19">
        <v>95</v>
      </c>
      <c r="V786" s="14" t="s">
        <v>31</v>
      </c>
      <c r="W786" s="14"/>
      <c r="X786" s="14">
        <f>IF(V786="Yes",1,0)</f>
        <v>0</v>
      </c>
      <c r="Y786" s="14">
        <f>IF(H786="Active",0,1)</f>
        <v>0</v>
      </c>
    </row>
    <row r="787" spans="1:25" ht="18" customHeight="1" x14ac:dyDescent="0.35">
      <c r="A787" s="8" t="s">
        <v>1683</v>
      </c>
      <c r="B787" s="8" t="s">
        <v>199</v>
      </c>
      <c r="C787" s="8" t="s">
        <v>25</v>
      </c>
      <c r="D787" s="9">
        <v>38</v>
      </c>
      <c r="E787" s="8" t="s">
        <v>42</v>
      </c>
      <c r="F787" s="8" t="s">
        <v>43</v>
      </c>
      <c r="G787" s="10">
        <v>45736</v>
      </c>
      <c r="H787" s="8" t="s">
        <v>26</v>
      </c>
      <c r="I787" s="8" t="s">
        <v>36</v>
      </c>
      <c r="J787" s="8" t="s">
        <v>48</v>
      </c>
      <c r="K787" s="8" t="s">
        <v>37</v>
      </c>
      <c r="L787" s="8" t="s">
        <v>116</v>
      </c>
      <c r="M787" s="8" t="s">
        <v>39</v>
      </c>
      <c r="N787" s="11">
        <v>97361</v>
      </c>
      <c r="O787" s="11">
        <v>47930</v>
      </c>
      <c r="P787" s="12">
        <v>80.900000000000006</v>
      </c>
      <c r="Q787" s="9">
        <v>9</v>
      </c>
      <c r="R787" s="13">
        <v>19</v>
      </c>
      <c r="S787" s="13">
        <v>1</v>
      </c>
      <c r="T787" s="9">
        <v>12</v>
      </c>
      <c r="U787" s="13">
        <v>80</v>
      </c>
      <c r="V787" s="8" t="s">
        <v>31</v>
      </c>
      <c r="W787" s="8"/>
      <c r="X787" s="22">
        <f>IF(V787="Yes",1,0)</f>
        <v>0</v>
      </c>
      <c r="Y787" s="22">
        <f>IF(H787="Active",0,1)</f>
        <v>0</v>
      </c>
    </row>
    <row r="788" spans="1:25" ht="18" customHeight="1" x14ac:dyDescent="0.35">
      <c r="A788" s="14" t="s">
        <v>1384</v>
      </c>
      <c r="B788" s="14" t="s">
        <v>165</v>
      </c>
      <c r="C788" s="14" t="s">
        <v>25</v>
      </c>
      <c r="D788" s="15">
        <v>56</v>
      </c>
      <c r="E788" s="14" t="s">
        <v>67</v>
      </c>
      <c r="F788" s="14" t="s">
        <v>53</v>
      </c>
      <c r="G788" s="16">
        <v>45735</v>
      </c>
      <c r="H788" s="14" t="s">
        <v>26</v>
      </c>
      <c r="I788" s="14" t="s">
        <v>36</v>
      </c>
      <c r="J788" s="14" t="s">
        <v>2269</v>
      </c>
      <c r="K788" s="14" t="s">
        <v>37</v>
      </c>
      <c r="L788" s="14" t="s">
        <v>87</v>
      </c>
      <c r="M788" s="14" t="s">
        <v>45</v>
      </c>
      <c r="N788" s="17">
        <v>171354</v>
      </c>
      <c r="O788" s="17">
        <v>28795</v>
      </c>
      <c r="P788" s="18">
        <v>83.3</v>
      </c>
      <c r="Q788" s="15">
        <v>5</v>
      </c>
      <c r="R788" s="19">
        <v>11</v>
      </c>
      <c r="S788" s="19">
        <v>3</v>
      </c>
      <c r="T788" s="15">
        <v>33</v>
      </c>
      <c r="U788" s="19">
        <v>82</v>
      </c>
      <c r="V788" s="14" t="s">
        <v>31</v>
      </c>
      <c r="W788" s="14"/>
      <c r="X788" s="14">
        <f>IF(V788="Yes",1,0)</f>
        <v>0</v>
      </c>
      <c r="Y788" s="14">
        <f>IF(H788="Active",0,1)</f>
        <v>0</v>
      </c>
    </row>
    <row r="789" spans="1:25" ht="18" customHeight="1" x14ac:dyDescent="0.35">
      <c r="A789" s="8" t="s">
        <v>1127</v>
      </c>
      <c r="B789" s="8" t="s">
        <v>64</v>
      </c>
      <c r="C789" s="8" t="s">
        <v>25</v>
      </c>
      <c r="D789" s="9">
        <v>57</v>
      </c>
      <c r="E789" s="8" t="s">
        <v>2304</v>
      </c>
      <c r="F789" s="8" t="s">
        <v>79</v>
      </c>
      <c r="G789" s="10">
        <v>45734</v>
      </c>
      <c r="H789" s="8" t="s">
        <v>26</v>
      </c>
      <c r="I789" s="8" t="s">
        <v>36</v>
      </c>
      <c r="J789" s="8" t="s">
        <v>2268</v>
      </c>
      <c r="K789" s="8" t="s">
        <v>37</v>
      </c>
      <c r="L789" s="8" t="s">
        <v>56</v>
      </c>
      <c r="M789" s="8" t="s">
        <v>30</v>
      </c>
      <c r="N789" s="11">
        <v>87004</v>
      </c>
      <c r="O789" s="11">
        <v>29489</v>
      </c>
      <c r="P789" s="12">
        <v>95.7</v>
      </c>
      <c r="Q789" s="9">
        <v>1</v>
      </c>
      <c r="R789" s="13">
        <v>19</v>
      </c>
      <c r="S789" s="13">
        <v>3</v>
      </c>
      <c r="T789" s="9">
        <v>7</v>
      </c>
      <c r="U789" s="13">
        <v>65</v>
      </c>
      <c r="V789" s="8" t="s">
        <v>69</v>
      </c>
      <c r="W789" s="8"/>
      <c r="X789" s="22">
        <f>IF(V789="Yes",1,0)</f>
        <v>1</v>
      </c>
      <c r="Y789" s="22">
        <f>IF(H789="Active",0,1)</f>
        <v>0</v>
      </c>
    </row>
    <row r="790" spans="1:25" ht="18" customHeight="1" x14ac:dyDescent="0.35">
      <c r="A790" s="14" t="s">
        <v>1772</v>
      </c>
      <c r="B790" s="14" t="s">
        <v>144</v>
      </c>
      <c r="C790" s="14" t="s">
        <v>25</v>
      </c>
      <c r="D790" s="15">
        <v>35</v>
      </c>
      <c r="E790" s="14" t="s">
        <v>42</v>
      </c>
      <c r="F790" s="14" t="s">
        <v>90</v>
      </c>
      <c r="G790" s="16">
        <v>45734</v>
      </c>
      <c r="H790" s="14" t="s">
        <v>26</v>
      </c>
      <c r="I790" s="14" t="s">
        <v>2267</v>
      </c>
      <c r="J790" s="14" t="s">
        <v>2268</v>
      </c>
      <c r="K790" s="14" t="s">
        <v>28</v>
      </c>
      <c r="L790" s="14" t="s">
        <v>68</v>
      </c>
      <c r="M790" s="14" t="s">
        <v>64</v>
      </c>
      <c r="N790" s="17">
        <v>71240</v>
      </c>
      <c r="O790" s="17">
        <v>10781</v>
      </c>
      <c r="P790" s="18">
        <v>94.5</v>
      </c>
      <c r="Q790" s="15">
        <v>2</v>
      </c>
      <c r="R790" s="19">
        <v>13</v>
      </c>
      <c r="S790" s="19">
        <v>2</v>
      </c>
      <c r="T790" s="15">
        <v>36</v>
      </c>
      <c r="U790" s="19">
        <v>94</v>
      </c>
      <c r="V790" s="14" t="s">
        <v>31</v>
      </c>
      <c r="W790" s="14"/>
      <c r="X790" s="14">
        <f>IF(V790="Yes",1,0)</f>
        <v>0</v>
      </c>
      <c r="Y790" s="14">
        <f>IF(H790="Active",0,1)</f>
        <v>0</v>
      </c>
    </row>
    <row r="791" spans="1:25" ht="18" customHeight="1" x14ac:dyDescent="0.35">
      <c r="A791" s="14" t="s">
        <v>423</v>
      </c>
      <c r="B791" s="14" t="s">
        <v>424</v>
      </c>
      <c r="C791" s="14" t="s">
        <v>34</v>
      </c>
      <c r="D791" s="15">
        <v>38</v>
      </c>
      <c r="E791" s="14" t="s">
        <v>67</v>
      </c>
      <c r="F791" s="14" t="s">
        <v>53</v>
      </c>
      <c r="G791" s="16">
        <v>45733</v>
      </c>
      <c r="H791" s="14" t="s">
        <v>26</v>
      </c>
      <c r="I791" s="14" t="s">
        <v>2267</v>
      </c>
      <c r="J791" s="14" t="s">
        <v>48</v>
      </c>
      <c r="K791" s="14" t="s">
        <v>28</v>
      </c>
      <c r="L791" s="14" t="s">
        <v>87</v>
      </c>
      <c r="M791" s="14" t="s">
        <v>39</v>
      </c>
      <c r="N791" s="17">
        <v>121602</v>
      </c>
      <c r="O791" s="17">
        <v>20275</v>
      </c>
      <c r="P791" s="18">
        <v>97.7</v>
      </c>
      <c r="Q791" s="15">
        <v>5</v>
      </c>
      <c r="R791" s="19">
        <v>3</v>
      </c>
      <c r="S791" s="19">
        <v>1</v>
      </c>
      <c r="T791" s="15">
        <v>19</v>
      </c>
      <c r="U791" s="19">
        <v>100</v>
      </c>
      <c r="V791" s="14" t="s">
        <v>69</v>
      </c>
      <c r="W791" s="14"/>
      <c r="X791" s="14">
        <f>IF(V791="Yes",1,0)</f>
        <v>1</v>
      </c>
      <c r="Y791" s="14">
        <f>IF(H791="Active",0,1)</f>
        <v>0</v>
      </c>
    </row>
    <row r="792" spans="1:25" ht="18" customHeight="1" x14ac:dyDescent="0.35">
      <c r="A792" s="8" t="s">
        <v>1200</v>
      </c>
      <c r="B792" s="8" t="s">
        <v>195</v>
      </c>
      <c r="C792" s="8" t="s">
        <v>25</v>
      </c>
      <c r="D792" s="9">
        <v>30</v>
      </c>
      <c r="E792" s="8" t="s">
        <v>52</v>
      </c>
      <c r="F792" s="8" t="s">
        <v>35</v>
      </c>
      <c r="G792" s="10">
        <v>45733</v>
      </c>
      <c r="H792" s="8" t="s">
        <v>26</v>
      </c>
      <c r="I792" s="8" t="s">
        <v>2267</v>
      </c>
      <c r="J792" s="8" t="s">
        <v>80</v>
      </c>
      <c r="K792" s="8" t="s">
        <v>55</v>
      </c>
      <c r="L792" s="8" t="s">
        <v>68</v>
      </c>
      <c r="M792" s="8" t="s">
        <v>30</v>
      </c>
      <c r="N792" s="11">
        <v>181260</v>
      </c>
      <c r="O792" s="11">
        <v>26123</v>
      </c>
      <c r="P792" s="12">
        <v>88.7</v>
      </c>
      <c r="Q792" s="9">
        <v>4</v>
      </c>
      <c r="R792" s="13">
        <v>1</v>
      </c>
      <c r="S792" s="13">
        <v>2</v>
      </c>
      <c r="T792" s="9">
        <v>23</v>
      </c>
      <c r="U792" s="13">
        <v>67</v>
      </c>
      <c r="V792" s="8" t="s">
        <v>69</v>
      </c>
      <c r="W792" s="8"/>
      <c r="X792" s="22">
        <f>IF(V792="Yes",1,0)</f>
        <v>1</v>
      </c>
      <c r="Y792" s="22">
        <f>IF(H792="Active",0,1)</f>
        <v>0</v>
      </c>
    </row>
    <row r="793" spans="1:25" ht="18" customHeight="1" x14ac:dyDescent="0.35">
      <c r="A793" s="14" t="s">
        <v>1540</v>
      </c>
      <c r="B793" s="14" t="s">
        <v>246</v>
      </c>
      <c r="C793" s="14" t="s">
        <v>25</v>
      </c>
      <c r="D793" s="15">
        <v>59</v>
      </c>
      <c r="E793" s="14" t="s">
        <v>86</v>
      </c>
      <c r="F793" s="14" t="s">
        <v>12</v>
      </c>
      <c r="G793" s="16">
        <v>45733</v>
      </c>
      <c r="H793" s="14" t="s">
        <v>26</v>
      </c>
      <c r="I793" s="14" t="s">
        <v>2267</v>
      </c>
      <c r="J793" s="14" t="s">
        <v>80</v>
      </c>
      <c r="K793" s="14" t="s">
        <v>55</v>
      </c>
      <c r="L793" s="14" t="s">
        <v>68</v>
      </c>
      <c r="M793" s="14" t="s">
        <v>64</v>
      </c>
      <c r="N793" s="17">
        <v>197771</v>
      </c>
      <c r="O793" s="17">
        <v>24356</v>
      </c>
      <c r="P793" s="18">
        <v>91</v>
      </c>
      <c r="Q793" s="15">
        <v>7</v>
      </c>
      <c r="R793" s="19">
        <v>19</v>
      </c>
      <c r="S793" s="19">
        <v>5</v>
      </c>
      <c r="T793" s="15">
        <v>11</v>
      </c>
      <c r="U793" s="19">
        <v>100</v>
      </c>
      <c r="V793" s="14" t="s">
        <v>31</v>
      </c>
      <c r="W793" s="14"/>
      <c r="X793" s="14">
        <f>IF(V793="Yes",1,0)</f>
        <v>0</v>
      </c>
      <c r="Y793" s="14">
        <f>IF(H793="Active",0,1)</f>
        <v>0</v>
      </c>
    </row>
    <row r="794" spans="1:25" ht="18" customHeight="1" x14ac:dyDescent="0.35">
      <c r="A794" s="14" t="s">
        <v>1171</v>
      </c>
      <c r="B794" s="14" t="s">
        <v>520</v>
      </c>
      <c r="C794" s="14" t="s">
        <v>34</v>
      </c>
      <c r="D794" s="15">
        <v>28</v>
      </c>
      <c r="E794" s="14" t="s">
        <v>93</v>
      </c>
      <c r="F794" s="14" t="s">
        <v>76</v>
      </c>
      <c r="G794" s="16">
        <v>45732</v>
      </c>
      <c r="H794" s="14" t="s">
        <v>26</v>
      </c>
      <c r="I794" s="14" t="s">
        <v>27</v>
      </c>
      <c r="J794" s="14" t="s">
        <v>48</v>
      </c>
      <c r="K794" s="14" t="s">
        <v>37</v>
      </c>
      <c r="L794" s="14" t="s">
        <v>38</v>
      </c>
      <c r="M794" s="14" t="s">
        <v>39</v>
      </c>
      <c r="N794" s="17">
        <v>95308</v>
      </c>
      <c r="O794" s="17">
        <v>19793</v>
      </c>
      <c r="P794" s="18">
        <v>87</v>
      </c>
      <c r="Q794" s="15">
        <v>8</v>
      </c>
      <c r="R794" s="19">
        <v>0</v>
      </c>
      <c r="S794" s="19">
        <v>5</v>
      </c>
      <c r="T794" s="15">
        <v>8</v>
      </c>
      <c r="U794" s="19">
        <v>78</v>
      </c>
      <c r="V794" s="14" t="s">
        <v>31</v>
      </c>
      <c r="W794" s="14"/>
      <c r="X794" s="14">
        <f>IF(V794="Yes",1,0)</f>
        <v>0</v>
      </c>
      <c r="Y794" s="14">
        <f>IF(H794="Active",0,1)</f>
        <v>0</v>
      </c>
    </row>
    <row r="795" spans="1:25" ht="18" customHeight="1" x14ac:dyDescent="0.35">
      <c r="A795" s="14" t="s">
        <v>1602</v>
      </c>
      <c r="B795" s="14" t="s">
        <v>311</v>
      </c>
      <c r="C795" s="14" t="s">
        <v>25</v>
      </c>
      <c r="D795" s="15">
        <v>44</v>
      </c>
      <c r="E795" s="14" t="s">
        <v>67</v>
      </c>
      <c r="F795" s="14" t="s">
        <v>79</v>
      </c>
      <c r="G795" s="16">
        <v>45732</v>
      </c>
      <c r="H795" s="14" t="s">
        <v>26</v>
      </c>
      <c r="I795" s="14" t="s">
        <v>2267</v>
      </c>
      <c r="J795" s="14" t="s">
        <v>48</v>
      </c>
      <c r="K795" s="14" t="s">
        <v>2271</v>
      </c>
      <c r="L795" s="14" t="s">
        <v>49</v>
      </c>
      <c r="M795" s="14" t="s">
        <v>64</v>
      </c>
      <c r="N795" s="17">
        <v>149502</v>
      </c>
      <c r="O795" s="17">
        <v>23376</v>
      </c>
      <c r="P795" s="18">
        <v>98.8</v>
      </c>
      <c r="Q795" s="15">
        <v>7</v>
      </c>
      <c r="R795" s="19">
        <v>15</v>
      </c>
      <c r="S795" s="19">
        <v>5</v>
      </c>
      <c r="T795" s="15">
        <v>17</v>
      </c>
      <c r="U795" s="19">
        <v>98</v>
      </c>
      <c r="V795" s="14" t="s">
        <v>31</v>
      </c>
      <c r="W795" s="14"/>
      <c r="X795" s="14">
        <f>IF(V795="Yes",1,0)</f>
        <v>0</v>
      </c>
      <c r="Y795" s="14">
        <f>IF(H795="Active",0,1)</f>
        <v>0</v>
      </c>
    </row>
    <row r="796" spans="1:25" ht="18" customHeight="1" x14ac:dyDescent="0.35">
      <c r="A796" s="8" t="s">
        <v>417</v>
      </c>
      <c r="B796" s="8" t="s">
        <v>367</v>
      </c>
      <c r="C796" s="8" t="s">
        <v>25</v>
      </c>
      <c r="D796" s="9">
        <v>40</v>
      </c>
      <c r="E796" s="8" t="s">
        <v>2303</v>
      </c>
      <c r="F796" s="8" t="s">
        <v>72</v>
      </c>
      <c r="G796" s="10">
        <v>45730</v>
      </c>
      <c r="H796" s="8" t="s">
        <v>26</v>
      </c>
      <c r="I796" s="8" t="s">
        <v>36</v>
      </c>
      <c r="J796" s="8" t="s">
        <v>80</v>
      </c>
      <c r="K796" s="8" t="s">
        <v>55</v>
      </c>
      <c r="L796" s="8" t="s">
        <v>87</v>
      </c>
      <c r="M796" s="8" t="s">
        <v>45</v>
      </c>
      <c r="N796" s="11">
        <v>103483</v>
      </c>
      <c r="O796" s="11">
        <v>10217</v>
      </c>
      <c r="P796" s="12">
        <v>81.7</v>
      </c>
      <c r="Q796" s="9">
        <v>0</v>
      </c>
      <c r="R796" s="13">
        <v>9</v>
      </c>
      <c r="S796" s="13">
        <v>4</v>
      </c>
      <c r="T796" s="9">
        <v>36</v>
      </c>
      <c r="U796" s="13">
        <v>99</v>
      </c>
      <c r="V796" s="8" t="s">
        <v>31</v>
      </c>
      <c r="W796" s="8"/>
      <c r="X796" s="22">
        <f>IF(V796="Yes",1,0)</f>
        <v>0</v>
      </c>
      <c r="Y796" s="22">
        <f>IF(H796="Active",0,1)</f>
        <v>0</v>
      </c>
    </row>
    <row r="797" spans="1:25" ht="18" customHeight="1" x14ac:dyDescent="0.35">
      <c r="A797" s="14" t="s">
        <v>164</v>
      </c>
      <c r="B797" s="14" t="s">
        <v>165</v>
      </c>
      <c r="C797" s="14" t="s">
        <v>34</v>
      </c>
      <c r="D797" s="15">
        <v>29</v>
      </c>
      <c r="E797" s="14" t="s">
        <v>109</v>
      </c>
      <c r="F797" s="14" t="s">
        <v>43</v>
      </c>
      <c r="G797" s="16">
        <v>45729</v>
      </c>
      <c r="H797" s="14" t="s">
        <v>26</v>
      </c>
      <c r="I797" s="14" t="s">
        <v>27</v>
      </c>
      <c r="J797" s="14" t="s">
        <v>2269</v>
      </c>
      <c r="K797" s="14" t="s">
        <v>28</v>
      </c>
      <c r="L797" s="14" t="s">
        <v>68</v>
      </c>
      <c r="M797" s="14" t="s">
        <v>45</v>
      </c>
      <c r="N797" s="17">
        <v>53989</v>
      </c>
      <c r="O797" s="17">
        <v>16510</v>
      </c>
      <c r="P797" s="18">
        <v>99.7</v>
      </c>
      <c r="Q797" s="15">
        <v>5</v>
      </c>
      <c r="R797" s="19">
        <v>16</v>
      </c>
      <c r="S797" s="19">
        <v>4</v>
      </c>
      <c r="T797" s="15">
        <v>19</v>
      </c>
      <c r="U797" s="19">
        <v>96</v>
      </c>
      <c r="V797" s="14" t="s">
        <v>31</v>
      </c>
      <c r="W797" s="14"/>
      <c r="X797" s="14">
        <f>IF(V797="Yes",1,0)</f>
        <v>0</v>
      </c>
      <c r="Y797" s="14">
        <f>IF(H797="Active",0,1)</f>
        <v>0</v>
      </c>
    </row>
    <row r="798" spans="1:25" ht="18" customHeight="1" x14ac:dyDescent="0.35">
      <c r="A798" s="8" t="s">
        <v>1835</v>
      </c>
      <c r="B798" s="8" t="s">
        <v>274</v>
      </c>
      <c r="C798" s="8" t="s">
        <v>34</v>
      </c>
      <c r="D798" s="9">
        <v>29</v>
      </c>
      <c r="E798" s="8" t="s">
        <v>63</v>
      </c>
      <c r="F798" s="8" t="s">
        <v>43</v>
      </c>
      <c r="G798" s="10">
        <v>45729</v>
      </c>
      <c r="H798" s="8" t="s">
        <v>26</v>
      </c>
      <c r="I798" s="8" t="s">
        <v>2267</v>
      </c>
      <c r="J798" s="8" t="s">
        <v>80</v>
      </c>
      <c r="K798" s="8" t="s">
        <v>28</v>
      </c>
      <c r="L798" s="8" t="s">
        <v>56</v>
      </c>
      <c r="M798" s="8" t="s">
        <v>60</v>
      </c>
      <c r="N798" s="11">
        <v>124064</v>
      </c>
      <c r="O798" s="11">
        <v>18208</v>
      </c>
      <c r="P798" s="12">
        <v>83.3</v>
      </c>
      <c r="Q798" s="9">
        <v>7</v>
      </c>
      <c r="R798" s="13">
        <v>21</v>
      </c>
      <c r="S798" s="13">
        <v>2</v>
      </c>
      <c r="T798" s="9">
        <v>14</v>
      </c>
      <c r="U798" s="13">
        <v>71</v>
      </c>
      <c r="V798" s="8" t="s">
        <v>31</v>
      </c>
      <c r="W798" s="8"/>
      <c r="X798" s="22">
        <f>IF(V798="Yes",1,0)</f>
        <v>0</v>
      </c>
      <c r="Y798" s="22">
        <f>IF(H798="Active",0,1)</f>
        <v>0</v>
      </c>
    </row>
    <row r="799" spans="1:25" ht="18" customHeight="1" x14ac:dyDescent="0.35">
      <c r="A799" s="14" t="s">
        <v>1946</v>
      </c>
      <c r="B799" s="14" t="s">
        <v>250</v>
      </c>
      <c r="C799" s="14" t="s">
        <v>25</v>
      </c>
      <c r="D799" s="15">
        <v>59</v>
      </c>
      <c r="E799" s="14" t="s">
        <v>109</v>
      </c>
      <c r="F799" s="14" t="s">
        <v>12</v>
      </c>
      <c r="G799" s="16">
        <v>45729</v>
      </c>
      <c r="H799" s="14" t="s">
        <v>26</v>
      </c>
      <c r="I799" s="14" t="s">
        <v>2267</v>
      </c>
      <c r="J799" s="14" t="s">
        <v>48</v>
      </c>
      <c r="K799" s="14" t="s">
        <v>28</v>
      </c>
      <c r="L799" s="14" t="s">
        <v>56</v>
      </c>
      <c r="M799" s="14" t="s">
        <v>39</v>
      </c>
      <c r="N799" s="17">
        <v>224795</v>
      </c>
      <c r="O799" s="17">
        <v>28827</v>
      </c>
      <c r="P799" s="18">
        <v>81.2</v>
      </c>
      <c r="Q799" s="15">
        <v>7</v>
      </c>
      <c r="R799" s="19">
        <v>20</v>
      </c>
      <c r="S799" s="19">
        <v>2</v>
      </c>
      <c r="T799" s="15">
        <v>2</v>
      </c>
      <c r="U799" s="19">
        <v>75</v>
      </c>
      <c r="V799" s="14" t="s">
        <v>31</v>
      </c>
      <c r="W799" s="14"/>
      <c r="X799" s="14">
        <f>IF(V799="Yes",1,0)</f>
        <v>0</v>
      </c>
      <c r="Y799" s="14">
        <f>IF(H799="Active",0,1)</f>
        <v>0</v>
      </c>
    </row>
    <row r="800" spans="1:25" ht="18" customHeight="1" x14ac:dyDescent="0.35">
      <c r="A800" s="14" t="s">
        <v>172</v>
      </c>
      <c r="B800" s="14" t="s">
        <v>173</v>
      </c>
      <c r="C800" s="14" t="s">
        <v>25</v>
      </c>
      <c r="D800" s="15">
        <v>57</v>
      </c>
      <c r="E800" s="14" t="s">
        <v>93</v>
      </c>
      <c r="F800" s="14" t="s">
        <v>90</v>
      </c>
      <c r="G800" s="16">
        <v>45728</v>
      </c>
      <c r="H800" s="14" t="s">
        <v>26</v>
      </c>
      <c r="I800" s="14" t="s">
        <v>36</v>
      </c>
      <c r="J800" s="14" t="s">
        <v>2270</v>
      </c>
      <c r="K800" s="14" t="s">
        <v>73</v>
      </c>
      <c r="L800" s="14" t="s">
        <v>116</v>
      </c>
      <c r="M800" s="14" t="s">
        <v>30</v>
      </c>
      <c r="N800" s="17">
        <v>240366</v>
      </c>
      <c r="O800" s="17">
        <v>27260</v>
      </c>
      <c r="P800" s="18">
        <v>93.9</v>
      </c>
      <c r="Q800" s="15">
        <v>4</v>
      </c>
      <c r="R800" s="19">
        <v>3</v>
      </c>
      <c r="S800" s="19">
        <v>5</v>
      </c>
      <c r="T800" s="15">
        <v>39</v>
      </c>
      <c r="U800" s="19">
        <v>77</v>
      </c>
      <c r="V800" s="14" t="s">
        <v>31</v>
      </c>
      <c r="W800" s="14"/>
      <c r="X800" s="14">
        <f>IF(V800="Yes",1,0)</f>
        <v>0</v>
      </c>
      <c r="Y800" s="14">
        <f>IF(H800="Active",0,1)</f>
        <v>0</v>
      </c>
    </row>
    <row r="801" spans="1:25" ht="18" customHeight="1" x14ac:dyDescent="0.35">
      <c r="A801" s="8" t="s">
        <v>1091</v>
      </c>
      <c r="B801" s="8" t="s">
        <v>92</v>
      </c>
      <c r="C801" s="8" t="s">
        <v>34</v>
      </c>
      <c r="D801" s="9">
        <v>47</v>
      </c>
      <c r="E801" s="8" t="s">
        <v>2304</v>
      </c>
      <c r="F801" s="8" t="s">
        <v>79</v>
      </c>
      <c r="G801" s="10">
        <v>45728</v>
      </c>
      <c r="H801" s="8" t="s">
        <v>26</v>
      </c>
      <c r="I801" s="8" t="s">
        <v>2267</v>
      </c>
      <c r="J801" s="8" t="s">
        <v>2268</v>
      </c>
      <c r="K801" s="8" t="s">
        <v>55</v>
      </c>
      <c r="L801" s="8" t="s">
        <v>116</v>
      </c>
      <c r="M801" s="8" t="s">
        <v>60</v>
      </c>
      <c r="N801" s="11">
        <v>98740</v>
      </c>
      <c r="O801" s="11">
        <v>29335</v>
      </c>
      <c r="P801" s="12">
        <v>98.3</v>
      </c>
      <c r="Q801" s="9">
        <v>0</v>
      </c>
      <c r="R801" s="13">
        <v>24</v>
      </c>
      <c r="S801" s="13">
        <v>2</v>
      </c>
      <c r="T801" s="9">
        <v>15</v>
      </c>
      <c r="U801" s="13">
        <v>61</v>
      </c>
      <c r="V801" s="8" t="s">
        <v>31</v>
      </c>
      <c r="W801" s="8"/>
      <c r="X801" s="22">
        <f>IF(V801="Yes",1,0)</f>
        <v>0</v>
      </c>
      <c r="Y801" s="22">
        <f>IF(H801="Active",0,1)</f>
        <v>0</v>
      </c>
    </row>
    <row r="802" spans="1:25" ht="18" customHeight="1" x14ac:dyDescent="0.35">
      <c r="A802" s="8" t="s">
        <v>1214</v>
      </c>
      <c r="B802" s="8" t="s">
        <v>210</v>
      </c>
      <c r="C802" s="8" t="s">
        <v>25</v>
      </c>
      <c r="D802" s="9">
        <v>24</v>
      </c>
      <c r="E802" s="8" t="s">
        <v>2304</v>
      </c>
      <c r="F802" s="8" t="s">
        <v>43</v>
      </c>
      <c r="G802" s="10">
        <v>45728</v>
      </c>
      <c r="H802" s="8" t="s">
        <v>26</v>
      </c>
      <c r="I802" s="8" t="s">
        <v>36</v>
      </c>
      <c r="J802" s="8" t="s">
        <v>80</v>
      </c>
      <c r="K802" s="8" t="s">
        <v>2271</v>
      </c>
      <c r="L802" s="8" t="s">
        <v>49</v>
      </c>
      <c r="M802" s="8" t="s">
        <v>64</v>
      </c>
      <c r="N802" s="11">
        <v>180860</v>
      </c>
      <c r="O802" s="11">
        <v>6960</v>
      </c>
      <c r="P802" s="12">
        <v>90.2</v>
      </c>
      <c r="Q802" s="9">
        <v>6</v>
      </c>
      <c r="R802" s="13">
        <v>4</v>
      </c>
      <c r="S802" s="13">
        <v>2</v>
      </c>
      <c r="T802" s="9">
        <v>9</v>
      </c>
      <c r="U802" s="13">
        <v>62</v>
      </c>
      <c r="V802" s="8" t="s">
        <v>69</v>
      </c>
      <c r="W802" s="8"/>
      <c r="X802" s="22">
        <f>IF(V802="Yes",1,0)</f>
        <v>1</v>
      </c>
      <c r="Y802" s="22">
        <f>IF(H802="Active",0,1)</f>
        <v>0</v>
      </c>
    </row>
    <row r="803" spans="1:25" ht="18" customHeight="1" x14ac:dyDescent="0.35">
      <c r="A803" s="14" t="s">
        <v>2102</v>
      </c>
      <c r="B803" s="14" t="s">
        <v>51</v>
      </c>
      <c r="C803" s="14" t="s">
        <v>25</v>
      </c>
      <c r="D803" s="15">
        <v>32</v>
      </c>
      <c r="E803" s="14" t="s">
        <v>109</v>
      </c>
      <c r="F803" s="14" t="s">
        <v>12</v>
      </c>
      <c r="G803" s="16">
        <v>45728</v>
      </c>
      <c r="H803" s="14" t="s">
        <v>54</v>
      </c>
      <c r="I803" s="14" t="s">
        <v>2267</v>
      </c>
      <c r="J803" s="14" t="s">
        <v>2270</v>
      </c>
      <c r="K803" s="14" t="s">
        <v>28</v>
      </c>
      <c r="L803" s="14" t="s">
        <v>68</v>
      </c>
      <c r="M803" s="14" t="s">
        <v>39</v>
      </c>
      <c r="N803" s="17">
        <v>48364</v>
      </c>
      <c r="O803" s="17">
        <v>15978</v>
      </c>
      <c r="P803" s="18">
        <v>83.6</v>
      </c>
      <c r="Q803" s="15">
        <v>4</v>
      </c>
      <c r="R803" s="19">
        <v>29</v>
      </c>
      <c r="S803" s="19">
        <v>1</v>
      </c>
      <c r="T803" s="15">
        <v>1</v>
      </c>
      <c r="U803" s="19">
        <v>100</v>
      </c>
      <c r="V803" s="14" t="s">
        <v>31</v>
      </c>
      <c r="W803" s="14" t="s">
        <v>83</v>
      </c>
      <c r="X803" s="14">
        <f>IF(V803="Yes",1,0)</f>
        <v>0</v>
      </c>
      <c r="Y803" s="14">
        <f>IF(H803="Active",0,1)</f>
        <v>1</v>
      </c>
    </row>
    <row r="804" spans="1:25" ht="18" customHeight="1" x14ac:dyDescent="0.35">
      <c r="A804" s="8" t="s">
        <v>419</v>
      </c>
      <c r="B804" s="8" t="s">
        <v>413</v>
      </c>
      <c r="C804" s="8" t="s">
        <v>34</v>
      </c>
      <c r="D804" s="9">
        <v>50</v>
      </c>
      <c r="E804" s="8" t="s">
        <v>93</v>
      </c>
      <c r="F804" s="8" t="s">
        <v>43</v>
      </c>
      <c r="G804" s="10">
        <v>45727</v>
      </c>
      <c r="H804" s="8" t="s">
        <v>26</v>
      </c>
      <c r="I804" s="8" t="s">
        <v>27</v>
      </c>
      <c r="J804" s="8" t="s">
        <v>48</v>
      </c>
      <c r="K804" s="8" t="s">
        <v>37</v>
      </c>
      <c r="L804" s="8" t="s">
        <v>56</v>
      </c>
      <c r="M804" s="8" t="s">
        <v>64</v>
      </c>
      <c r="N804" s="11">
        <v>67246</v>
      </c>
      <c r="O804" s="11">
        <v>49211</v>
      </c>
      <c r="P804" s="12">
        <v>97.6</v>
      </c>
      <c r="Q804" s="9">
        <v>2</v>
      </c>
      <c r="R804" s="13">
        <v>11</v>
      </c>
      <c r="S804" s="13">
        <v>5</v>
      </c>
      <c r="T804" s="9">
        <v>37</v>
      </c>
      <c r="U804" s="13">
        <v>60</v>
      </c>
      <c r="V804" s="8" t="s">
        <v>31</v>
      </c>
      <c r="W804" s="8"/>
      <c r="X804" s="22">
        <f>IF(V804="Yes",1,0)</f>
        <v>0</v>
      </c>
      <c r="Y804" s="22">
        <f>IF(H804="Active",0,1)</f>
        <v>0</v>
      </c>
    </row>
    <row r="805" spans="1:25" ht="18" customHeight="1" x14ac:dyDescent="0.35">
      <c r="A805" s="14" t="s">
        <v>595</v>
      </c>
      <c r="B805" s="14" t="s">
        <v>129</v>
      </c>
      <c r="C805" s="14" t="s">
        <v>25</v>
      </c>
      <c r="D805" s="15">
        <v>35</v>
      </c>
      <c r="E805" s="14" t="s">
        <v>2304</v>
      </c>
      <c r="F805" s="14" t="s">
        <v>35</v>
      </c>
      <c r="G805" s="16">
        <v>45727</v>
      </c>
      <c r="H805" s="14" t="s">
        <v>26</v>
      </c>
      <c r="I805" s="14" t="s">
        <v>27</v>
      </c>
      <c r="J805" s="14" t="s">
        <v>2269</v>
      </c>
      <c r="K805" s="14" t="s">
        <v>55</v>
      </c>
      <c r="L805" s="14" t="s">
        <v>68</v>
      </c>
      <c r="M805" s="14" t="s">
        <v>60</v>
      </c>
      <c r="N805" s="17">
        <v>89341</v>
      </c>
      <c r="O805" s="17">
        <v>18912</v>
      </c>
      <c r="P805" s="18">
        <v>94</v>
      </c>
      <c r="Q805" s="15">
        <v>4</v>
      </c>
      <c r="R805" s="19">
        <v>26</v>
      </c>
      <c r="S805" s="19">
        <v>1</v>
      </c>
      <c r="T805" s="15">
        <v>28</v>
      </c>
      <c r="U805" s="19">
        <v>88</v>
      </c>
      <c r="V805" s="14" t="s">
        <v>69</v>
      </c>
      <c r="W805" s="14"/>
      <c r="X805" s="14">
        <f>IF(V805="Yes",1,0)</f>
        <v>1</v>
      </c>
      <c r="Y805" s="14">
        <f>IF(H805="Active",0,1)</f>
        <v>0</v>
      </c>
    </row>
    <row r="806" spans="1:25" ht="18" customHeight="1" x14ac:dyDescent="0.35">
      <c r="A806" s="14" t="s">
        <v>809</v>
      </c>
      <c r="B806" s="14" t="s">
        <v>169</v>
      </c>
      <c r="C806" s="14" t="s">
        <v>25</v>
      </c>
      <c r="D806" s="15">
        <v>38</v>
      </c>
      <c r="E806" s="14" t="s">
        <v>63</v>
      </c>
      <c r="F806" s="14" t="s">
        <v>43</v>
      </c>
      <c r="G806" s="16">
        <v>45727</v>
      </c>
      <c r="H806" s="14" t="s">
        <v>26</v>
      </c>
      <c r="I806" s="14" t="s">
        <v>2267</v>
      </c>
      <c r="J806" s="14" t="s">
        <v>2270</v>
      </c>
      <c r="K806" s="14" t="s">
        <v>37</v>
      </c>
      <c r="L806" s="14" t="s">
        <v>44</v>
      </c>
      <c r="M806" s="14" t="s">
        <v>64</v>
      </c>
      <c r="N806" s="17">
        <v>125330</v>
      </c>
      <c r="O806" s="17">
        <v>21731</v>
      </c>
      <c r="P806" s="18">
        <v>81.5</v>
      </c>
      <c r="Q806" s="15">
        <v>2</v>
      </c>
      <c r="R806" s="19">
        <v>30</v>
      </c>
      <c r="S806" s="19">
        <v>4</v>
      </c>
      <c r="T806" s="15">
        <v>33</v>
      </c>
      <c r="U806" s="19">
        <v>97</v>
      </c>
      <c r="V806" s="14" t="s">
        <v>31</v>
      </c>
      <c r="W806" s="14"/>
      <c r="X806" s="14">
        <f>IF(V806="Yes",1,0)</f>
        <v>0</v>
      </c>
      <c r="Y806" s="14">
        <f>IF(H806="Active",0,1)</f>
        <v>0</v>
      </c>
    </row>
    <row r="807" spans="1:25" ht="18" customHeight="1" x14ac:dyDescent="0.35">
      <c r="A807" s="8" t="s">
        <v>1667</v>
      </c>
      <c r="B807" s="8" t="s">
        <v>714</v>
      </c>
      <c r="C807" s="8" t="s">
        <v>25</v>
      </c>
      <c r="D807" s="9">
        <v>56</v>
      </c>
      <c r="E807" s="8" t="s">
        <v>2304</v>
      </c>
      <c r="F807" s="8" t="s">
        <v>76</v>
      </c>
      <c r="G807" s="10">
        <v>45727</v>
      </c>
      <c r="H807" s="8" t="s">
        <v>26</v>
      </c>
      <c r="I807" s="8" t="s">
        <v>2267</v>
      </c>
      <c r="J807" s="8" t="s">
        <v>2269</v>
      </c>
      <c r="K807" s="8" t="s">
        <v>37</v>
      </c>
      <c r="L807" s="8" t="s">
        <v>29</v>
      </c>
      <c r="M807" s="8" t="s">
        <v>64</v>
      </c>
      <c r="N807" s="11">
        <v>84040</v>
      </c>
      <c r="O807" s="11">
        <v>25150</v>
      </c>
      <c r="P807" s="12">
        <v>83</v>
      </c>
      <c r="Q807" s="9">
        <v>2</v>
      </c>
      <c r="R807" s="13">
        <v>9</v>
      </c>
      <c r="S807" s="13">
        <v>4</v>
      </c>
      <c r="T807" s="9">
        <v>17</v>
      </c>
      <c r="U807" s="13">
        <v>86</v>
      </c>
      <c r="V807" s="8" t="s">
        <v>69</v>
      </c>
      <c r="W807" s="8"/>
      <c r="X807" s="22">
        <f>IF(V807="Yes",1,0)</f>
        <v>1</v>
      </c>
      <c r="Y807" s="22">
        <f>IF(H807="Active",0,1)</f>
        <v>0</v>
      </c>
    </row>
    <row r="808" spans="1:25" ht="18" customHeight="1" x14ac:dyDescent="0.35">
      <c r="A808" s="8" t="s">
        <v>1019</v>
      </c>
      <c r="B808" s="8" t="s">
        <v>518</v>
      </c>
      <c r="C808" s="8" t="s">
        <v>25</v>
      </c>
      <c r="D808" s="9">
        <v>44</v>
      </c>
      <c r="E808" s="8" t="s">
        <v>93</v>
      </c>
      <c r="F808" s="8" t="s">
        <v>43</v>
      </c>
      <c r="G808" s="10">
        <v>45726</v>
      </c>
      <c r="H808" s="8" t="s">
        <v>26</v>
      </c>
      <c r="I808" s="8" t="s">
        <v>36</v>
      </c>
      <c r="J808" s="8" t="s">
        <v>80</v>
      </c>
      <c r="K808" s="8" t="s">
        <v>37</v>
      </c>
      <c r="L808" s="8" t="s">
        <v>38</v>
      </c>
      <c r="M808" s="8" t="s">
        <v>30</v>
      </c>
      <c r="N808" s="11">
        <v>151762</v>
      </c>
      <c r="O808" s="11">
        <v>25105</v>
      </c>
      <c r="P808" s="12">
        <v>98.4</v>
      </c>
      <c r="Q808" s="9">
        <v>3</v>
      </c>
      <c r="R808" s="13">
        <v>24</v>
      </c>
      <c r="S808" s="13">
        <v>5</v>
      </c>
      <c r="T808" s="9">
        <v>32</v>
      </c>
      <c r="U808" s="13">
        <v>63</v>
      </c>
      <c r="V808" s="8" t="s">
        <v>31</v>
      </c>
      <c r="W808" s="8"/>
      <c r="X808" s="22">
        <f>IF(V808="Yes",1,0)</f>
        <v>0</v>
      </c>
      <c r="Y808" s="22">
        <f>IF(H808="Active",0,1)</f>
        <v>0</v>
      </c>
    </row>
    <row r="809" spans="1:25" ht="18" customHeight="1" x14ac:dyDescent="0.35">
      <c r="A809" s="8" t="s">
        <v>1569</v>
      </c>
      <c r="B809" s="8" t="s">
        <v>127</v>
      </c>
      <c r="C809" s="8" t="s">
        <v>34</v>
      </c>
      <c r="D809" s="9">
        <v>43</v>
      </c>
      <c r="E809" s="8" t="s">
        <v>93</v>
      </c>
      <c r="F809" s="8" t="s">
        <v>72</v>
      </c>
      <c r="G809" s="10">
        <v>45726</v>
      </c>
      <c r="H809" s="8" t="s">
        <v>26</v>
      </c>
      <c r="I809" s="8" t="s">
        <v>36</v>
      </c>
      <c r="J809" s="8" t="s">
        <v>2270</v>
      </c>
      <c r="K809" s="8" t="s">
        <v>55</v>
      </c>
      <c r="L809" s="8" t="s">
        <v>38</v>
      </c>
      <c r="M809" s="8" t="s">
        <v>39</v>
      </c>
      <c r="N809" s="11">
        <v>140952</v>
      </c>
      <c r="O809" s="11">
        <v>19627</v>
      </c>
      <c r="P809" s="12">
        <v>99</v>
      </c>
      <c r="Q809" s="9">
        <v>4</v>
      </c>
      <c r="R809" s="13">
        <v>9</v>
      </c>
      <c r="S809" s="13">
        <v>4</v>
      </c>
      <c r="T809" s="9">
        <v>26</v>
      </c>
      <c r="U809" s="13">
        <v>86</v>
      </c>
      <c r="V809" s="8" t="s">
        <v>31</v>
      </c>
      <c r="W809" s="8"/>
      <c r="X809" s="22">
        <f>IF(V809="Yes",1,0)</f>
        <v>0</v>
      </c>
      <c r="Y809" s="22">
        <f>IF(H809="Active",0,1)</f>
        <v>0</v>
      </c>
    </row>
    <row r="810" spans="1:25" ht="18" customHeight="1" x14ac:dyDescent="0.35">
      <c r="A810" s="8" t="s">
        <v>1635</v>
      </c>
      <c r="B810" s="8" t="s">
        <v>181</v>
      </c>
      <c r="C810" s="8" t="s">
        <v>25</v>
      </c>
      <c r="D810" s="9">
        <v>21</v>
      </c>
      <c r="E810" s="8" t="s">
        <v>2304</v>
      </c>
      <c r="F810" s="8" t="s">
        <v>90</v>
      </c>
      <c r="G810" s="10">
        <v>45726</v>
      </c>
      <c r="H810" s="8" t="s">
        <v>26</v>
      </c>
      <c r="I810" s="8" t="s">
        <v>2267</v>
      </c>
      <c r="J810" s="8" t="s">
        <v>48</v>
      </c>
      <c r="K810" s="8" t="s">
        <v>37</v>
      </c>
      <c r="L810" s="8" t="s">
        <v>49</v>
      </c>
      <c r="M810" s="8" t="s">
        <v>60</v>
      </c>
      <c r="N810" s="11">
        <v>208113</v>
      </c>
      <c r="O810" s="11">
        <v>27118</v>
      </c>
      <c r="P810" s="12">
        <v>89.8</v>
      </c>
      <c r="Q810" s="9">
        <v>6</v>
      </c>
      <c r="R810" s="13">
        <v>2</v>
      </c>
      <c r="S810" s="13">
        <v>5</v>
      </c>
      <c r="T810" s="9">
        <v>2</v>
      </c>
      <c r="U810" s="13">
        <v>96</v>
      </c>
      <c r="V810" s="8" t="s">
        <v>31</v>
      </c>
      <c r="W810" s="8"/>
      <c r="X810" s="22">
        <f>IF(V810="Yes",1,0)</f>
        <v>0</v>
      </c>
      <c r="Y810" s="22">
        <f>IF(H810="Active",0,1)</f>
        <v>0</v>
      </c>
    </row>
    <row r="811" spans="1:25" ht="18" customHeight="1" x14ac:dyDescent="0.35">
      <c r="A811" s="14" t="s">
        <v>1856</v>
      </c>
      <c r="B811" s="14" t="s">
        <v>300</v>
      </c>
      <c r="C811" s="14" t="s">
        <v>34</v>
      </c>
      <c r="D811" s="15">
        <v>39</v>
      </c>
      <c r="E811" s="14" t="s">
        <v>2304</v>
      </c>
      <c r="F811" s="14" t="s">
        <v>72</v>
      </c>
      <c r="G811" s="16">
        <v>45726</v>
      </c>
      <c r="H811" s="14" t="s">
        <v>26</v>
      </c>
      <c r="I811" s="14" t="s">
        <v>27</v>
      </c>
      <c r="J811" s="14" t="s">
        <v>48</v>
      </c>
      <c r="K811" s="14" t="s">
        <v>73</v>
      </c>
      <c r="L811" s="14" t="s">
        <v>44</v>
      </c>
      <c r="M811" s="14" t="s">
        <v>30</v>
      </c>
      <c r="N811" s="17">
        <v>183815</v>
      </c>
      <c r="O811" s="17">
        <v>45830</v>
      </c>
      <c r="P811" s="18">
        <v>80.7</v>
      </c>
      <c r="Q811" s="15">
        <v>7</v>
      </c>
      <c r="R811" s="19">
        <v>30</v>
      </c>
      <c r="S811" s="19">
        <v>2</v>
      </c>
      <c r="T811" s="15">
        <v>0</v>
      </c>
      <c r="U811" s="19">
        <v>98</v>
      </c>
      <c r="V811" s="14" t="s">
        <v>31</v>
      </c>
      <c r="W811" s="14"/>
      <c r="X811" s="14">
        <f>IF(V811="Yes",1,0)</f>
        <v>0</v>
      </c>
      <c r="Y811" s="14">
        <f>IF(H811="Active",0,1)</f>
        <v>0</v>
      </c>
    </row>
    <row r="812" spans="1:25" ht="18" customHeight="1" x14ac:dyDescent="0.35">
      <c r="A812" s="8" t="s">
        <v>808</v>
      </c>
      <c r="B812" s="8" t="s">
        <v>388</v>
      </c>
      <c r="C812" s="8" t="s">
        <v>34</v>
      </c>
      <c r="D812" s="9">
        <v>34</v>
      </c>
      <c r="E812" s="8" t="s">
        <v>52</v>
      </c>
      <c r="F812" s="8" t="s">
        <v>35</v>
      </c>
      <c r="G812" s="10">
        <v>45725</v>
      </c>
      <c r="H812" s="8" t="s">
        <v>26</v>
      </c>
      <c r="I812" s="8" t="s">
        <v>27</v>
      </c>
      <c r="J812" s="8" t="s">
        <v>80</v>
      </c>
      <c r="K812" s="8" t="s">
        <v>28</v>
      </c>
      <c r="L812" s="8" t="s">
        <v>29</v>
      </c>
      <c r="M812" s="8" t="s">
        <v>60</v>
      </c>
      <c r="N812" s="11">
        <v>36235</v>
      </c>
      <c r="O812" s="11">
        <v>8652</v>
      </c>
      <c r="P812" s="12">
        <v>94.8</v>
      </c>
      <c r="Q812" s="9">
        <v>6</v>
      </c>
      <c r="R812" s="13">
        <v>14</v>
      </c>
      <c r="S812" s="13">
        <v>3</v>
      </c>
      <c r="T812" s="9">
        <v>29</v>
      </c>
      <c r="U812" s="13">
        <v>68</v>
      </c>
      <c r="V812" s="8" t="s">
        <v>31</v>
      </c>
      <c r="W812" s="8"/>
      <c r="X812" s="22">
        <f>IF(V812="Yes",1,0)</f>
        <v>0</v>
      </c>
      <c r="Y812" s="22">
        <f>IF(H812="Active",0,1)</f>
        <v>0</v>
      </c>
    </row>
    <row r="813" spans="1:25" ht="18" customHeight="1" x14ac:dyDescent="0.35">
      <c r="A813" s="14" t="s">
        <v>1036</v>
      </c>
      <c r="B813" s="14" t="s">
        <v>581</v>
      </c>
      <c r="C813" s="14" t="s">
        <v>25</v>
      </c>
      <c r="D813" s="15">
        <v>55</v>
      </c>
      <c r="E813" s="14" t="s">
        <v>52</v>
      </c>
      <c r="F813" s="14" t="s">
        <v>90</v>
      </c>
      <c r="G813" s="16">
        <v>45725</v>
      </c>
      <c r="H813" s="14" t="s">
        <v>26</v>
      </c>
      <c r="I813" s="14" t="s">
        <v>2267</v>
      </c>
      <c r="J813" s="14" t="s">
        <v>2268</v>
      </c>
      <c r="K813" s="14" t="s">
        <v>2271</v>
      </c>
      <c r="L813" s="14" t="s">
        <v>56</v>
      </c>
      <c r="M813" s="14" t="s">
        <v>60</v>
      </c>
      <c r="N813" s="17">
        <v>59179</v>
      </c>
      <c r="O813" s="17">
        <v>7991</v>
      </c>
      <c r="P813" s="18">
        <v>93.3</v>
      </c>
      <c r="Q813" s="15">
        <v>7</v>
      </c>
      <c r="R813" s="19">
        <v>24</v>
      </c>
      <c r="S813" s="19">
        <v>5</v>
      </c>
      <c r="T813" s="15">
        <v>7</v>
      </c>
      <c r="U813" s="19">
        <v>76</v>
      </c>
      <c r="V813" s="14" t="s">
        <v>31</v>
      </c>
      <c r="W813" s="14"/>
      <c r="X813" s="14">
        <f>IF(V813="Yes",1,0)</f>
        <v>0</v>
      </c>
      <c r="Y813" s="14">
        <f>IF(H813="Active",0,1)</f>
        <v>0</v>
      </c>
    </row>
    <row r="814" spans="1:25" ht="18" customHeight="1" x14ac:dyDescent="0.35">
      <c r="A814" s="8" t="s">
        <v>2007</v>
      </c>
      <c r="B814" s="8" t="s">
        <v>379</v>
      </c>
      <c r="C814" s="8" t="s">
        <v>25</v>
      </c>
      <c r="D814" s="9">
        <v>33</v>
      </c>
      <c r="E814" s="8" t="s">
        <v>63</v>
      </c>
      <c r="F814" s="8" t="s">
        <v>43</v>
      </c>
      <c r="G814" s="10">
        <v>45725</v>
      </c>
      <c r="H814" s="8" t="s">
        <v>54</v>
      </c>
      <c r="I814" s="8" t="s">
        <v>2267</v>
      </c>
      <c r="J814" s="8" t="s">
        <v>2268</v>
      </c>
      <c r="K814" s="8" t="s">
        <v>2271</v>
      </c>
      <c r="L814" s="8" t="s">
        <v>87</v>
      </c>
      <c r="M814" s="8" t="s">
        <v>60</v>
      </c>
      <c r="N814" s="11">
        <v>167055</v>
      </c>
      <c r="O814" s="11">
        <v>8122</v>
      </c>
      <c r="P814" s="12">
        <v>92.5</v>
      </c>
      <c r="Q814" s="9">
        <v>2</v>
      </c>
      <c r="R814" s="13">
        <v>28</v>
      </c>
      <c r="S814" s="13">
        <v>3</v>
      </c>
      <c r="T814" s="9">
        <v>15</v>
      </c>
      <c r="U814" s="13">
        <v>67</v>
      </c>
      <c r="V814" s="8" t="s">
        <v>31</v>
      </c>
      <c r="W814" s="8" t="s">
        <v>96</v>
      </c>
      <c r="X814" s="22">
        <f>IF(V814="Yes",1,0)</f>
        <v>0</v>
      </c>
      <c r="Y814" s="22">
        <f>IF(H814="Active",0,1)</f>
        <v>1</v>
      </c>
    </row>
    <row r="815" spans="1:25" ht="18" customHeight="1" x14ac:dyDescent="0.35">
      <c r="A815" s="14" t="s">
        <v>2126</v>
      </c>
      <c r="B815" s="14" t="s">
        <v>506</v>
      </c>
      <c r="C815" s="14" t="s">
        <v>25</v>
      </c>
      <c r="D815" s="15">
        <v>42</v>
      </c>
      <c r="E815" s="14" t="s">
        <v>63</v>
      </c>
      <c r="F815" s="14" t="s">
        <v>72</v>
      </c>
      <c r="G815" s="16">
        <v>45725</v>
      </c>
      <c r="H815" s="14" t="s">
        <v>26</v>
      </c>
      <c r="I815" s="14" t="s">
        <v>2267</v>
      </c>
      <c r="J815" s="14" t="s">
        <v>80</v>
      </c>
      <c r="K815" s="14" t="s">
        <v>73</v>
      </c>
      <c r="L815" s="14" t="s">
        <v>68</v>
      </c>
      <c r="M815" s="14" t="s">
        <v>30</v>
      </c>
      <c r="N815" s="17">
        <v>144579</v>
      </c>
      <c r="O815" s="17">
        <v>45760</v>
      </c>
      <c r="P815" s="18">
        <v>89.1</v>
      </c>
      <c r="Q815" s="15">
        <v>3</v>
      </c>
      <c r="R815" s="19">
        <v>10</v>
      </c>
      <c r="S815" s="19">
        <v>4</v>
      </c>
      <c r="T815" s="15">
        <v>34</v>
      </c>
      <c r="U815" s="19">
        <v>89</v>
      </c>
      <c r="V815" s="14" t="s">
        <v>69</v>
      </c>
      <c r="W815" s="14"/>
      <c r="X815" s="14">
        <f>IF(V815="Yes",1,0)</f>
        <v>1</v>
      </c>
      <c r="Y815" s="14">
        <f>IF(H815="Active",0,1)</f>
        <v>0</v>
      </c>
    </row>
    <row r="816" spans="1:25" ht="18" customHeight="1" x14ac:dyDescent="0.35">
      <c r="A816" s="14" t="s">
        <v>599</v>
      </c>
      <c r="B816" s="14" t="s">
        <v>506</v>
      </c>
      <c r="C816" s="14" t="s">
        <v>25</v>
      </c>
      <c r="D816" s="15">
        <v>29</v>
      </c>
      <c r="E816" s="14" t="s">
        <v>2303</v>
      </c>
      <c r="F816" s="14" t="s">
        <v>76</v>
      </c>
      <c r="G816" s="16">
        <v>45724</v>
      </c>
      <c r="H816" s="14" t="s">
        <v>26</v>
      </c>
      <c r="I816" s="14" t="s">
        <v>36</v>
      </c>
      <c r="J816" s="14" t="s">
        <v>2270</v>
      </c>
      <c r="K816" s="14" t="s">
        <v>73</v>
      </c>
      <c r="L816" s="14" t="s">
        <v>44</v>
      </c>
      <c r="M816" s="14" t="s">
        <v>39</v>
      </c>
      <c r="N816" s="17">
        <v>164005</v>
      </c>
      <c r="O816" s="17">
        <v>10567</v>
      </c>
      <c r="P816" s="18">
        <v>94.8</v>
      </c>
      <c r="Q816" s="15">
        <v>0</v>
      </c>
      <c r="R816" s="19">
        <v>26</v>
      </c>
      <c r="S816" s="19">
        <v>5</v>
      </c>
      <c r="T816" s="15">
        <v>5</v>
      </c>
      <c r="U816" s="19">
        <v>70</v>
      </c>
      <c r="V816" s="14" t="s">
        <v>69</v>
      </c>
      <c r="W816" s="14"/>
      <c r="X816" s="14">
        <f>IF(V816="Yes",1,0)</f>
        <v>1</v>
      </c>
      <c r="Y816" s="14">
        <f>IF(H816="Active",0,1)</f>
        <v>0</v>
      </c>
    </row>
    <row r="817" spans="1:25" ht="18" customHeight="1" x14ac:dyDescent="0.35">
      <c r="A817" s="14" t="s">
        <v>538</v>
      </c>
      <c r="B817" s="14" t="s">
        <v>288</v>
      </c>
      <c r="C817" s="14" t="s">
        <v>34</v>
      </c>
      <c r="D817" s="15">
        <v>41</v>
      </c>
      <c r="E817" s="14" t="s">
        <v>67</v>
      </c>
      <c r="F817" s="14" t="s">
        <v>76</v>
      </c>
      <c r="G817" s="16">
        <v>45723</v>
      </c>
      <c r="H817" s="14" t="s">
        <v>26</v>
      </c>
      <c r="I817" s="14" t="s">
        <v>36</v>
      </c>
      <c r="J817" s="14" t="s">
        <v>2270</v>
      </c>
      <c r="K817" s="14" t="s">
        <v>2271</v>
      </c>
      <c r="L817" s="14" t="s">
        <v>87</v>
      </c>
      <c r="M817" s="14" t="s">
        <v>39</v>
      </c>
      <c r="N817" s="17">
        <v>235975</v>
      </c>
      <c r="O817" s="17">
        <v>46971</v>
      </c>
      <c r="P817" s="18">
        <v>93.1</v>
      </c>
      <c r="Q817" s="15">
        <v>3</v>
      </c>
      <c r="R817" s="19">
        <v>6</v>
      </c>
      <c r="S817" s="19">
        <v>1</v>
      </c>
      <c r="T817" s="15">
        <v>15</v>
      </c>
      <c r="U817" s="19">
        <v>67</v>
      </c>
      <c r="V817" s="14" t="s">
        <v>69</v>
      </c>
      <c r="W817" s="14"/>
      <c r="X817" s="14">
        <f>IF(V817="Yes",1,0)</f>
        <v>1</v>
      </c>
      <c r="Y817" s="14">
        <f>IF(H817="Active",0,1)</f>
        <v>0</v>
      </c>
    </row>
    <row r="818" spans="1:25" ht="18" customHeight="1" x14ac:dyDescent="0.35">
      <c r="A818" s="8" t="s">
        <v>2191</v>
      </c>
      <c r="B818" s="8" t="s">
        <v>155</v>
      </c>
      <c r="C818" s="8" t="s">
        <v>34</v>
      </c>
      <c r="D818" s="9">
        <v>38</v>
      </c>
      <c r="E818" s="8" t="s">
        <v>86</v>
      </c>
      <c r="F818" s="8" t="s">
        <v>53</v>
      </c>
      <c r="G818" s="10">
        <v>45723</v>
      </c>
      <c r="H818" s="8" t="s">
        <v>26</v>
      </c>
      <c r="I818" s="8" t="s">
        <v>27</v>
      </c>
      <c r="J818" s="8" t="s">
        <v>80</v>
      </c>
      <c r="K818" s="8" t="s">
        <v>37</v>
      </c>
      <c r="L818" s="8" t="s">
        <v>87</v>
      </c>
      <c r="M818" s="8" t="s">
        <v>60</v>
      </c>
      <c r="N818" s="11">
        <v>196947</v>
      </c>
      <c r="O818" s="11">
        <v>6377</v>
      </c>
      <c r="P818" s="12">
        <v>88.8</v>
      </c>
      <c r="Q818" s="9">
        <v>5</v>
      </c>
      <c r="R818" s="13">
        <v>8</v>
      </c>
      <c r="S818" s="13">
        <v>3</v>
      </c>
      <c r="T818" s="9">
        <v>18</v>
      </c>
      <c r="U818" s="13">
        <v>93</v>
      </c>
      <c r="V818" s="8" t="s">
        <v>31</v>
      </c>
      <c r="W818" s="8"/>
      <c r="X818" s="22">
        <f>IF(V818="Yes",1,0)</f>
        <v>0</v>
      </c>
      <c r="Y818" s="22">
        <f>IF(H818="Active",0,1)</f>
        <v>0</v>
      </c>
    </row>
    <row r="819" spans="1:25" ht="18" customHeight="1" x14ac:dyDescent="0.35">
      <c r="A819" s="8" t="s">
        <v>631</v>
      </c>
      <c r="B819" s="8" t="s">
        <v>197</v>
      </c>
      <c r="C819" s="8" t="s">
        <v>34</v>
      </c>
      <c r="D819" s="9">
        <v>37</v>
      </c>
      <c r="E819" s="8" t="s">
        <v>63</v>
      </c>
      <c r="F819" s="8" t="s">
        <v>53</v>
      </c>
      <c r="G819" s="10">
        <v>45722</v>
      </c>
      <c r="H819" s="8" t="s">
        <v>26</v>
      </c>
      <c r="I819" s="8" t="s">
        <v>27</v>
      </c>
      <c r="J819" s="8" t="s">
        <v>48</v>
      </c>
      <c r="K819" s="8" t="s">
        <v>37</v>
      </c>
      <c r="L819" s="8" t="s">
        <v>38</v>
      </c>
      <c r="M819" s="8" t="s">
        <v>45</v>
      </c>
      <c r="N819" s="11">
        <v>164505</v>
      </c>
      <c r="O819" s="11">
        <v>43044</v>
      </c>
      <c r="P819" s="12">
        <v>86.6</v>
      </c>
      <c r="Q819" s="9">
        <v>3</v>
      </c>
      <c r="R819" s="13">
        <v>2</v>
      </c>
      <c r="S819" s="13">
        <v>2</v>
      </c>
      <c r="T819" s="9">
        <v>24</v>
      </c>
      <c r="U819" s="13">
        <v>85</v>
      </c>
      <c r="V819" s="8" t="s">
        <v>31</v>
      </c>
      <c r="W819" s="8"/>
      <c r="X819" s="22">
        <f>IF(V819="Yes",1,0)</f>
        <v>0</v>
      </c>
      <c r="Y819" s="22">
        <f>IF(H819="Active",0,1)</f>
        <v>0</v>
      </c>
    </row>
    <row r="820" spans="1:25" ht="18" customHeight="1" x14ac:dyDescent="0.35">
      <c r="A820" s="14" t="s">
        <v>1340</v>
      </c>
      <c r="B820" s="14" t="s">
        <v>405</v>
      </c>
      <c r="C820" s="14" t="s">
        <v>25</v>
      </c>
      <c r="D820" s="15">
        <v>44</v>
      </c>
      <c r="E820" s="14" t="s">
        <v>63</v>
      </c>
      <c r="F820" s="14" t="s">
        <v>90</v>
      </c>
      <c r="G820" s="16">
        <v>45722</v>
      </c>
      <c r="H820" s="14" t="s">
        <v>26</v>
      </c>
      <c r="I820" s="14" t="s">
        <v>2267</v>
      </c>
      <c r="J820" s="14" t="s">
        <v>80</v>
      </c>
      <c r="K820" s="14" t="s">
        <v>37</v>
      </c>
      <c r="L820" s="14" t="s">
        <v>38</v>
      </c>
      <c r="M820" s="14" t="s">
        <v>64</v>
      </c>
      <c r="N820" s="17">
        <v>164499</v>
      </c>
      <c r="O820" s="17">
        <v>10904</v>
      </c>
      <c r="P820" s="18">
        <v>83.2</v>
      </c>
      <c r="Q820" s="15">
        <v>6</v>
      </c>
      <c r="R820" s="19">
        <v>22</v>
      </c>
      <c r="S820" s="19">
        <v>3</v>
      </c>
      <c r="T820" s="15">
        <v>2</v>
      </c>
      <c r="U820" s="19">
        <v>79</v>
      </c>
      <c r="V820" s="14" t="s">
        <v>31</v>
      </c>
      <c r="W820" s="14"/>
      <c r="X820" s="14">
        <f>IF(V820="Yes",1,0)</f>
        <v>0</v>
      </c>
      <c r="Y820" s="14">
        <f>IF(H820="Active",0,1)</f>
        <v>0</v>
      </c>
    </row>
    <row r="821" spans="1:25" ht="18" customHeight="1" x14ac:dyDescent="0.35">
      <c r="A821" s="8" t="s">
        <v>1651</v>
      </c>
      <c r="B821" s="8" t="s">
        <v>311</v>
      </c>
      <c r="C821" s="8" t="s">
        <v>34</v>
      </c>
      <c r="D821" s="9">
        <v>35</v>
      </c>
      <c r="E821" s="8" t="s">
        <v>2304</v>
      </c>
      <c r="F821" s="8" t="s">
        <v>43</v>
      </c>
      <c r="G821" s="10">
        <v>45722</v>
      </c>
      <c r="H821" s="8" t="s">
        <v>26</v>
      </c>
      <c r="I821" s="8" t="s">
        <v>27</v>
      </c>
      <c r="J821" s="8" t="s">
        <v>2270</v>
      </c>
      <c r="K821" s="8" t="s">
        <v>73</v>
      </c>
      <c r="L821" s="8" t="s">
        <v>29</v>
      </c>
      <c r="M821" s="8" t="s">
        <v>60</v>
      </c>
      <c r="N821" s="11">
        <v>72716</v>
      </c>
      <c r="O821" s="11">
        <v>26848</v>
      </c>
      <c r="P821" s="12">
        <v>83.8</v>
      </c>
      <c r="Q821" s="9">
        <v>0</v>
      </c>
      <c r="R821" s="13">
        <v>25</v>
      </c>
      <c r="S821" s="13">
        <v>2</v>
      </c>
      <c r="T821" s="9">
        <v>7</v>
      </c>
      <c r="U821" s="13">
        <v>76</v>
      </c>
      <c r="V821" s="8" t="s">
        <v>31</v>
      </c>
      <c r="W821" s="8"/>
      <c r="X821" s="22">
        <f>IF(V821="Yes",1,0)</f>
        <v>0</v>
      </c>
      <c r="Y821" s="22">
        <f>IF(H821="Active",0,1)</f>
        <v>0</v>
      </c>
    </row>
    <row r="822" spans="1:25" ht="18" customHeight="1" x14ac:dyDescent="0.35">
      <c r="A822" s="14" t="s">
        <v>1332</v>
      </c>
      <c r="B822" s="14" t="s">
        <v>630</v>
      </c>
      <c r="C822" s="14" t="s">
        <v>34</v>
      </c>
      <c r="D822" s="15">
        <v>35</v>
      </c>
      <c r="E822" s="14" t="s">
        <v>63</v>
      </c>
      <c r="F822" s="14" t="s">
        <v>76</v>
      </c>
      <c r="G822" s="16">
        <v>45721</v>
      </c>
      <c r="H822" s="14" t="s">
        <v>26</v>
      </c>
      <c r="I822" s="14" t="s">
        <v>27</v>
      </c>
      <c r="J822" s="14" t="s">
        <v>2270</v>
      </c>
      <c r="K822" s="14" t="s">
        <v>2271</v>
      </c>
      <c r="L822" s="14" t="s">
        <v>44</v>
      </c>
      <c r="M822" s="14" t="s">
        <v>45</v>
      </c>
      <c r="N822" s="17">
        <v>58315</v>
      </c>
      <c r="O822" s="17">
        <v>30747</v>
      </c>
      <c r="P822" s="18">
        <v>85.6</v>
      </c>
      <c r="Q822" s="15">
        <v>5</v>
      </c>
      <c r="R822" s="19">
        <v>30</v>
      </c>
      <c r="S822" s="19">
        <v>2</v>
      </c>
      <c r="T822" s="15">
        <v>15</v>
      </c>
      <c r="U822" s="19">
        <v>73</v>
      </c>
      <c r="V822" s="14" t="s">
        <v>31</v>
      </c>
      <c r="W822" s="14"/>
      <c r="X822" s="14">
        <f>IF(V822="Yes",1,0)</f>
        <v>0</v>
      </c>
      <c r="Y822" s="14">
        <f>IF(H822="Active",0,1)</f>
        <v>0</v>
      </c>
    </row>
    <row r="823" spans="1:25" ht="18" customHeight="1" x14ac:dyDescent="0.35">
      <c r="A823" s="14" t="s">
        <v>1890</v>
      </c>
      <c r="B823" s="14" t="s">
        <v>347</v>
      </c>
      <c r="C823" s="14" t="s">
        <v>25</v>
      </c>
      <c r="D823" s="15">
        <v>25</v>
      </c>
      <c r="E823" s="14" t="s">
        <v>109</v>
      </c>
      <c r="F823" s="14" t="s">
        <v>90</v>
      </c>
      <c r="G823" s="16">
        <v>45721</v>
      </c>
      <c r="H823" s="14" t="s">
        <v>26</v>
      </c>
      <c r="I823" s="14" t="s">
        <v>2267</v>
      </c>
      <c r="J823" s="14" t="s">
        <v>48</v>
      </c>
      <c r="K823" s="14" t="s">
        <v>73</v>
      </c>
      <c r="L823" s="14" t="s">
        <v>87</v>
      </c>
      <c r="M823" s="14" t="s">
        <v>45</v>
      </c>
      <c r="N823" s="17">
        <v>155601</v>
      </c>
      <c r="O823" s="17">
        <v>16883</v>
      </c>
      <c r="P823" s="18">
        <v>89.4</v>
      </c>
      <c r="Q823" s="15">
        <v>0</v>
      </c>
      <c r="R823" s="19">
        <v>18</v>
      </c>
      <c r="S823" s="19">
        <v>4</v>
      </c>
      <c r="T823" s="15">
        <v>31</v>
      </c>
      <c r="U823" s="19">
        <v>88</v>
      </c>
      <c r="V823" s="14" t="s">
        <v>31</v>
      </c>
      <c r="W823" s="14"/>
      <c r="X823" s="14">
        <f>IF(V823="Yes",1,0)</f>
        <v>0</v>
      </c>
      <c r="Y823" s="14">
        <f>IF(H823="Active",0,1)</f>
        <v>0</v>
      </c>
    </row>
    <row r="824" spans="1:25" ht="18" customHeight="1" x14ac:dyDescent="0.35">
      <c r="A824" s="14" t="s">
        <v>533</v>
      </c>
      <c r="B824" s="14" t="s">
        <v>104</v>
      </c>
      <c r="C824" s="14" t="s">
        <v>34</v>
      </c>
      <c r="D824" s="15">
        <v>29</v>
      </c>
      <c r="E824" s="14" t="s">
        <v>52</v>
      </c>
      <c r="F824" s="14" t="s">
        <v>35</v>
      </c>
      <c r="G824" s="16">
        <v>45720</v>
      </c>
      <c r="H824" s="14" t="s">
        <v>26</v>
      </c>
      <c r="I824" s="14" t="s">
        <v>27</v>
      </c>
      <c r="J824" s="14" t="s">
        <v>80</v>
      </c>
      <c r="K824" s="14" t="s">
        <v>2271</v>
      </c>
      <c r="L824" s="14" t="s">
        <v>44</v>
      </c>
      <c r="M824" s="14" t="s">
        <v>60</v>
      </c>
      <c r="N824" s="17">
        <v>146791</v>
      </c>
      <c r="O824" s="17">
        <v>37425</v>
      </c>
      <c r="P824" s="18">
        <v>87.4</v>
      </c>
      <c r="Q824" s="15">
        <v>10</v>
      </c>
      <c r="R824" s="19">
        <v>9</v>
      </c>
      <c r="S824" s="19">
        <v>3</v>
      </c>
      <c r="T824" s="15">
        <v>31</v>
      </c>
      <c r="U824" s="19">
        <v>64</v>
      </c>
      <c r="V824" s="14" t="s">
        <v>69</v>
      </c>
      <c r="W824" s="14"/>
      <c r="X824" s="14">
        <f>IF(V824="Yes",1,0)</f>
        <v>1</v>
      </c>
      <c r="Y824" s="14">
        <f>IF(H824="Active",0,1)</f>
        <v>0</v>
      </c>
    </row>
    <row r="825" spans="1:25" ht="18" customHeight="1" x14ac:dyDescent="0.35">
      <c r="A825" s="8" t="s">
        <v>1047</v>
      </c>
      <c r="B825" s="8" t="s">
        <v>314</v>
      </c>
      <c r="C825" s="8" t="s">
        <v>34</v>
      </c>
      <c r="D825" s="9">
        <v>38</v>
      </c>
      <c r="E825" s="8" t="s">
        <v>52</v>
      </c>
      <c r="F825" s="8" t="s">
        <v>35</v>
      </c>
      <c r="G825" s="10">
        <v>45720</v>
      </c>
      <c r="H825" s="8" t="s">
        <v>54</v>
      </c>
      <c r="I825" s="8" t="s">
        <v>27</v>
      </c>
      <c r="J825" s="8" t="s">
        <v>2269</v>
      </c>
      <c r="K825" s="8" t="s">
        <v>37</v>
      </c>
      <c r="L825" s="8" t="s">
        <v>44</v>
      </c>
      <c r="M825" s="8" t="s">
        <v>39</v>
      </c>
      <c r="N825" s="11">
        <v>243795</v>
      </c>
      <c r="O825" s="11">
        <v>44369</v>
      </c>
      <c r="P825" s="12">
        <v>95.8</v>
      </c>
      <c r="Q825" s="9">
        <v>2</v>
      </c>
      <c r="R825" s="13">
        <v>13</v>
      </c>
      <c r="S825" s="13">
        <v>2</v>
      </c>
      <c r="T825" s="9">
        <v>20</v>
      </c>
      <c r="U825" s="13">
        <v>83</v>
      </c>
      <c r="V825" s="8" t="s">
        <v>31</v>
      </c>
      <c r="W825" s="8" t="s">
        <v>57</v>
      </c>
      <c r="X825" s="22">
        <f>IF(V825="Yes",1,0)</f>
        <v>0</v>
      </c>
      <c r="Y825" s="22">
        <f>IF(H825="Active",0,1)</f>
        <v>1</v>
      </c>
    </row>
    <row r="826" spans="1:25" ht="18" customHeight="1" x14ac:dyDescent="0.35">
      <c r="A826" s="14" t="s">
        <v>1205</v>
      </c>
      <c r="B826" s="14" t="s">
        <v>1015</v>
      </c>
      <c r="C826" s="14" t="s">
        <v>34</v>
      </c>
      <c r="D826" s="15">
        <v>54</v>
      </c>
      <c r="E826" s="14" t="s">
        <v>63</v>
      </c>
      <c r="F826" s="14" t="s">
        <v>76</v>
      </c>
      <c r="G826" s="16">
        <v>45720</v>
      </c>
      <c r="H826" s="14" t="s">
        <v>26</v>
      </c>
      <c r="I826" s="14" t="s">
        <v>27</v>
      </c>
      <c r="J826" s="14" t="s">
        <v>2268</v>
      </c>
      <c r="K826" s="14" t="s">
        <v>37</v>
      </c>
      <c r="L826" s="14" t="s">
        <v>68</v>
      </c>
      <c r="M826" s="14" t="s">
        <v>45</v>
      </c>
      <c r="N826" s="17">
        <v>35916</v>
      </c>
      <c r="O826" s="17">
        <v>10579</v>
      </c>
      <c r="P826" s="18">
        <v>99.3</v>
      </c>
      <c r="Q826" s="15">
        <v>6</v>
      </c>
      <c r="R826" s="19">
        <v>2</v>
      </c>
      <c r="S826" s="19">
        <v>3</v>
      </c>
      <c r="T826" s="15">
        <v>36</v>
      </c>
      <c r="U826" s="19">
        <v>86</v>
      </c>
      <c r="V826" s="14" t="s">
        <v>31</v>
      </c>
      <c r="W826" s="14"/>
      <c r="X826" s="14">
        <f>IF(V826="Yes",1,0)</f>
        <v>0</v>
      </c>
      <c r="Y826" s="14">
        <f>IF(H826="Active",0,1)</f>
        <v>0</v>
      </c>
    </row>
    <row r="827" spans="1:25" ht="18" customHeight="1" x14ac:dyDescent="0.35">
      <c r="A827" s="14" t="s">
        <v>1338</v>
      </c>
      <c r="B827" s="14" t="s">
        <v>661</v>
      </c>
      <c r="C827" s="14" t="s">
        <v>25</v>
      </c>
      <c r="D827" s="15">
        <v>33</v>
      </c>
      <c r="E827" s="14" t="s">
        <v>93</v>
      </c>
      <c r="F827" s="14" t="s">
        <v>53</v>
      </c>
      <c r="G827" s="16">
        <v>45720</v>
      </c>
      <c r="H827" s="14" t="s">
        <v>54</v>
      </c>
      <c r="I827" s="14" t="s">
        <v>27</v>
      </c>
      <c r="J827" s="14" t="s">
        <v>80</v>
      </c>
      <c r="K827" s="14" t="s">
        <v>37</v>
      </c>
      <c r="L827" s="14" t="s">
        <v>56</v>
      </c>
      <c r="M827" s="14" t="s">
        <v>30</v>
      </c>
      <c r="N827" s="17">
        <v>178888</v>
      </c>
      <c r="O827" s="17">
        <v>13991</v>
      </c>
      <c r="P827" s="18">
        <v>99.1</v>
      </c>
      <c r="Q827" s="15">
        <v>5</v>
      </c>
      <c r="R827" s="19">
        <v>29</v>
      </c>
      <c r="S827" s="19">
        <v>1</v>
      </c>
      <c r="T827" s="15">
        <v>37</v>
      </c>
      <c r="U827" s="19">
        <v>75</v>
      </c>
      <c r="V827" s="14" t="s">
        <v>69</v>
      </c>
      <c r="W827" s="14" t="s">
        <v>123</v>
      </c>
      <c r="X827" s="14">
        <f>IF(V827="Yes",1,0)</f>
        <v>1</v>
      </c>
      <c r="Y827" s="14">
        <f>IF(H827="Active",0,1)</f>
        <v>1</v>
      </c>
    </row>
    <row r="828" spans="1:25" ht="18" customHeight="1" x14ac:dyDescent="0.35">
      <c r="A828" s="8" t="s">
        <v>1170</v>
      </c>
      <c r="B828" s="8" t="s">
        <v>226</v>
      </c>
      <c r="C828" s="8" t="s">
        <v>25</v>
      </c>
      <c r="D828" s="9">
        <v>42</v>
      </c>
      <c r="E828" s="8" t="s">
        <v>42</v>
      </c>
      <c r="F828" s="8" t="s">
        <v>53</v>
      </c>
      <c r="G828" s="10">
        <v>45718</v>
      </c>
      <c r="H828" s="8" t="s">
        <v>26</v>
      </c>
      <c r="I828" s="8" t="s">
        <v>2267</v>
      </c>
      <c r="J828" s="8" t="s">
        <v>2268</v>
      </c>
      <c r="K828" s="8" t="s">
        <v>2271</v>
      </c>
      <c r="L828" s="8" t="s">
        <v>68</v>
      </c>
      <c r="M828" s="8" t="s">
        <v>39</v>
      </c>
      <c r="N828" s="11">
        <v>197110</v>
      </c>
      <c r="O828" s="11">
        <v>35192</v>
      </c>
      <c r="P828" s="12">
        <v>83.4</v>
      </c>
      <c r="Q828" s="9">
        <v>10</v>
      </c>
      <c r="R828" s="13">
        <v>15</v>
      </c>
      <c r="S828" s="13">
        <v>5</v>
      </c>
      <c r="T828" s="9">
        <v>27</v>
      </c>
      <c r="U828" s="13">
        <v>94</v>
      </c>
      <c r="V828" s="8" t="s">
        <v>31</v>
      </c>
      <c r="W828" s="8"/>
      <c r="X828" s="22">
        <f>IF(V828="Yes",1,0)</f>
        <v>0</v>
      </c>
      <c r="Y828" s="22">
        <f>IF(H828="Active",0,1)</f>
        <v>0</v>
      </c>
    </row>
    <row r="829" spans="1:25" ht="18" customHeight="1" x14ac:dyDescent="0.35">
      <c r="A829" s="14" t="s">
        <v>1782</v>
      </c>
      <c r="B829" s="14" t="s">
        <v>432</v>
      </c>
      <c r="C829" s="14" t="s">
        <v>25</v>
      </c>
      <c r="D829" s="15">
        <v>21</v>
      </c>
      <c r="E829" s="14" t="s">
        <v>2304</v>
      </c>
      <c r="F829" s="14" t="s">
        <v>72</v>
      </c>
      <c r="G829" s="16">
        <v>45718</v>
      </c>
      <c r="H829" s="14" t="s">
        <v>26</v>
      </c>
      <c r="I829" s="14" t="s">
        <v>2267</v>
      </c>
      <c r="J829" s="14" t="s">
        <v>48</v>
      </c>
      <c r="K829" s="14" t="s">
        <v>37</v>
      </c>
      <c r="L829" s="14" t="s">
        <v>38</v>
      </c>
      <c r="M829" s="14" t="s">
        <v>64</v>
      </c>
      <c r="N829" s="17">
        <v>247278</v>
      </c>
      <c r="O829" s="17">
        <v>38011</v>
      </c>
      <c r="P829" s="18">
        <v>86.4</v>
      </c>
      <c r="Q829" s="15">
        <v>4</v>
      </c>
      <c r="R829" s="19">
        <v>29</v>
      </c>
      <c r="S829" s="19">
        <v>2</v>
      </c>
      <c r="T829" s="15">
        <v>26</v>
      </c>
      <c r="U829" s="19">
        <v>79</v>
      </c>
      <c r="V829" s="14" t="s">
        <v>31</v>
      </c>
      <c r="W829" s="14"/>
      <c r="X829" s="14">
        <f>IF(V829="Yes",1,0)</f>
        <v>0</v>
      </c>
      <c r="Y829" s="14">
        <f>IF(H829="Active",0,1)</f>
        <v>0</v>
      </c>
    </row>
    <row r="830" spans="1:25" ht="18" customHeight="1" x14ac:dyDescent="0.35">
      <c r="A830" s="8" t="s">
        <v>705</v>
      </c>
      <c r="B830" s="8" t="s">
        <v>458</v>
      </c>
      <c r="C830" s="8" t="s">
        <v>34</v>
      </c>
      <c r="D830" s="9">
        <v>30</v>
      </c>
      <c r="E830" s="8" t="s">
        <v>93</v>
      </c>
      <c r="F830" s="8" t="s">
        <v>76</v>
      </c>
      <c r="G830" s="10">
        <v>45717</v>
      </c>
      <c r="H830" s="8" t="s">
        <v>26</v>
      </c>
      <c r="I830" s="8" t="s">
        <v>36</v>
      </c>
      <c r="J830" s="8" t="s">
        <v>2270</v>
      </c>
      <c r="K830" s="8" t="s">
        <v>55</v>
      </c>
      <c r="L830" s="8" t="s">
        <v>44</v>
      </c>
      <c r="M830" s="8" t="s">
        <v>60</v>
      </c>
      <c r="N830" s="11">
        <v>38068</v>
      </c>
      <c r="O830" s="11">
        <v>32329</v>
      </c>
      <c r="P830" s="12">
        <v>84</v>
      </c>
      <c r="Q830" s="9">
        <v>2</v>
      </c>
      <c r="R830" s="13">
        <v>29</v>
      </c>
      <c r="S830" s="13">
        <v>3</v>
      </c>
      <c r="T830" s="9">
        <v>22</v>
      </c>
      <c r="U830" s="13">
        <v>63</v>
      </c>
      <c r="V830" s="8" t="s">
        <v>31</v>
      </c>
      <c r="W830" s="8"/>
      <c r="X830" s="22">
        <f>IF(V830="Yes",1,0)</f>
        <v>0</v>
      </c>
      <c r="Y830" s="22">
        <f>IF(H830="Active",0,1)</f>
        <v>0</v>
      </c>
    </row>
    <row r="831" spans="1:25" ht="18" customHeight="1" x14ac:dyDescent="0.35">
      <c r="A831" s="14" t="s">
        <v>864</v>
      </c>
      <c r="B831" s="14" t="s">
        <v>435</v>
      </c>
      <c r="C831" s="14" t="s">
        <v>34</v>
      </c>
      <c r="D831" s="15">
        <v>36</v>
      </c>
      <c r="E831" s="14" t="s">
        <v>67</v>
      </c>
      <c r="F831" s="14" t="s">
        <v>90</v>
      </c>
      <c r="G831" s="16">
        <v>45717</v>
      </c>
      <c r="H831" s="14" t="s">
        <v>26</v>
      </c>
      <c r="I831" s="14" t="s">
        <v>36</v>
      </c>
      <c r="J831" s="14" t="s">
        <v>2268</v>
      </c>
      <c r="K831" s="14" t="s">
        <v>37</v>
      </c>
      <c r="L831" s="14" t="s">
        <v>44</v>
      </c>
      <c r="M831" s="14" t="s">
        <v>60</v>
      </c>
      <c r="N831" s="17">
        <v>134258</v>
      </c>
      <c r="O831" s="17">
        <v>45085</v>
      </c>
      <c r="P831" s="18">
        <v>86.1</v>
      </c>
      <c r="Q831" s="15">
        <v>2</v>
      </c>
      <c r="R831" s="19">
        <v>8</v>
      </c>
      <c r="S831" s="19">
        <v>4</v>
      </c>
      <c r="T831" s="15">
        <v>38</v>
      </c>
      <c r="U831" s="19">
        <v>78</v>
      </c>
      <c r="V831" s="14" t="s">
        <v>69</v>
      </c>
      <c r="W831" s="14"/>
      <c r="X831" s="14">
        <f>IF(V831="Yes",1,0)</f>
        <v>1</v>
      </c>
      <c r="Y831" s="14">
        <f>IF(H831="Active",0,1)</f>
        <v>0</v>
      </c>
    </row>
    <row r="832" spans="1:25" ht="18" customHeight="1" x14ac:dyDescent="0.35">
      <c r="A832" s="14" t="s">
        <v>1456</v>
      </c>
      <c r="B832" s="14" t="s">
        <v>806</v>
      </c>
      <c r="C832" s="14" t="s">
        <v>25</v>
      </c>
      <c r="D832" s="15">
        <v>23</v>
      </c>
      <c r="E832" s="14" t="s">
        <v>42</v>
      </c>
      <c r="F832" s="14" t="s">
        <v>53</v>
      </c>
      <c r="G832" s="16">
        <v>45717</v>
      </c>
      <c r="H832" s="14" t="s">
        <v>26</v>
      </c>
      <c r="I832" s="14" t="s">
        <v>36</v>
      </c>
      <c r="J832" s="14" t="s">
        <v>2269</v>
      </c>
      <c r="K832" s="14" t="s">
        <v>28</v>
      </c>
      <c r="L832" s="14" t="s">
        <v>38</v>
      </c>
      <c r="M832" s="14" t="s">
        <v>45</v>
      </c>
      <c r="N832" s="17">
        <v>241554</v>
      </c>
      <c r="O832" s="17">
        <v>5815</v>
      </c>
      <c r="P832" s="18">
        <v>93.6</v>
      </c>
      <c r="Q832" s="15">
        <v>10</v>
      </c>
      <c r="R832" s="19">
        <v>1</v>
      </c>
      <c r="S832" s="19">
        <v>5</v>
      </c>
      <c r="T832" s="15">
        <v>19</v>
      </c>
      <c r="U832" s="19">
        <v>60</v>
      </c>
      <c r="V832" s="14" t="s">
        <v>69</v>
      </c>
      <c r="W832" s="14"/>
      <c r="X832" s="14">
        <f>IF(V832="Yes",1,0)</f>
        <v>1</v>
      </c>
      <c r="Y832" s="14">
        <f>IF(H832="Active",0,1)</f>
        <v>0</v>
      </c>
    </row>
    <row r="833" spans="1:25" ht="18" customHeight="1" x14ac:dyDescent="0.35">
      <c r="A833" s="8" t="s">
        <v>309</v>
      </c>
      <c r="B833" s="8" t="s">
        <v>171</v>
      </c>
      <c r="C833" s="8" t="s">
        <v>34</v>
      </c>
      <c r="D833" s="9">
        <v>55</v>
      </c>
      <c r="E833" s="8" t="s">
        <v>63</v>
      </c>
      <c r="F833" s="8" t="s">
        <v>43</v>
      </c>
      <c r="G833" s="10">
        <v>45716</v>
      </c>
      <c r="H833" s="8" t="s">
        <v>26</v>
      </c>
      <c r="I833" s="8" t="s">
        <v>36</v>
      </c>
      <c r="J833" s="8" t="s">
        <v>2268</v>
      </c>
      <c r="K833" s="8" t="s">
        <v>73</v>
      </c>
      <c r="L833" s="8" t="s">
        <v>44</v>
      </c>
      <c r="M833" s="8" t="s">
        <v>64</v>
      </c>
      <c r="N833" s="11">
        <v>148466</v>
      </c>
      <c r="O833" s="11">
        <v>32568</v>
      </c>
      <c r="P833" s="12">
        <v>87.1</v>
      </c>
      <c r="Q833" s="9">
        <v>3</v>
      </c>
      <c r="R833" s="13">
        <v>2</v>
      </c>
      <c r="S833" s="13">
        <v>3</v>
      </c>
      <c r="T833" s="9">
        <v>26</v>
      </c>
      <c r="U833" s="13">
        <v>85</v>
      </c>
      <c r="V833" s="8" t="s">
        <v>69</v>
      </c>
      <c r="W833" s="8"/>
      <c r="X833" s="22">
        <f>IF(V833="Yes",1,0)</f>
        <v>1</v>
      </c>
      <c r="Y833" s="22">
        <f>IF(H833="Active",0,1)</f>
        <v>0</v>
      </c>
    </row>
    <row r="834" spans="1:25" ht="18" customHeight="1" x14ac:dyDescent="0.35">
      <c r="A834" s="14" t="s">
        <v>1187</v>
      </c>
      <c r="B834" s="14" t="s">
        <v>308</v>
      </c>
      <c r="C834" s="14" t="s">
        <v>25</v>
      </c>
      <c r="D834" s="15">
        <v>45</v>
      </c>
      <c r="E834" s="14" t="s">
        <v>2304</v>
      </c>
      <c r="F834" s="14" t="s">
        <v>43</v>
      </c>
      <c r="G834" s="16">
        <v>45716</v>
      </c>
      <c r="H834" s="14" t="s">
        <v>26</v>
      </c>
      <c r="I834" s="14" t="s">
        <v>36</v>
      </c>
      <c r="J834" s="14" t="s">
        <v>48</v>
      </c>
      <c r="K834" s="14" t="s">
        <v>55</v>
      </c>
      <c r="L834" s="14" t="s">
        <v>56</v>
      </c>
      <c r="M834" s="14" t="s">
        <v>60</v>
      </c>
      <c r="N834" s="17">
        <v>39331</v>
      </c>
      <c r="O834" s="17">
        <v>41363</v>
      </c>
      <c r="P834" s="18">
        <v>83.4</v>
      </c>
      <c r="Q834" s="15">
        <v>7</v>
      </c>
      <c r="R834" s="19">
        <v>17</v>
      </c>
      <c r="S834" s="19">
        <v>4</v>
      </c>
      <c r="T834" s="15">
        <v>26</v>
      </c>
      <c r="U834" s="19">
        <v>77</v>
      </c>
      <c r="V834" s="14" t="s">
        <v>69</v>
      </c>
      <c r="W834" s="14"/>
      <c r="X834" s="14">
        <f>IF(V834="Yes",1,0)</f>
        <v>1</v>
      </c>
      <c r="Y834" s="14">
        <f>IF(H834="Active",0,1)</f>
        <v>0</v>
      </c>
    </row>
    <row r="835" spans="1:25" ht="18" customHeight="1" x14ac:dyDescent="0.35">
      <c r="A835" s="14" t="s">
        <v>1278</v>
      </c>
      <c r="B835" s="14" t="s">
        <v>587</v>
      </c>
      <c r="C835" s="14" t="s">
        <v>25</v>
      </c>
      <c r="D835" s="15">
        <v>25</v>
      </c>
      <c r="E835" s="14" t="s">
        <v>42</v>
      </c>
      <c r="F835" s="14" t="s">
        <v>12</v>
      </c>
      <c r="G835" s="16">
        <v>45716</v>
      </c>
      <c r="H835" s="14" t="s">
        <v>26</v>
      </c>
      <c r="I835" s="14" t="s">
        <v>2267</v>
      </c>
      <c r="J835" s="14" t="s">
        <v>80</v>
      </c>
      <c r="K835" s="14" t="s">
        <v>55</v>
      </c>
      <c r="L835" s="14" t="s">
        <v>44</v>
      </c>
      <c r="M835" s="14" t="s">
        <v>60</v>
      </c>
      <c r="N835" s="17">
        <v>70132</v>
      </c>
      <c r="O835" s="17">
        <v>23888</v>
      </c>
      <c r="P835" s="18">
        <v>85.8</v>
      </c>
      <c r="Q835" s="15">
        <v>4</v>
      </c>
      <c r="R835" s="19">
        <v>24</v>
      </c>
      <c r="S835" s="19">
        <v>1</v>
      </c>
      <c r="T835" s="15">
        <v>39</v>
      </c>
      <c r="U835" s="19">
        <v>98</v>
      </c>
      <c r="V835" s="14" t="s">
        <v>69</v>
      </c>
      <c r="W835" s="14"/>
      <c r="X835" s="14">
        <f>IF(V835="Yes",1,0)</f>
        <v>1</v>
      </c>
      <c r="Y835" s="14">
        <f>IF(H835="Active",0,1)</f>
        <v>0</v>
      </c>
    </row>
    <row r="836" spans="1:25" ht="18" customHeight="1" x14ac:dyDescent="0.35">
      <c r="A836" s="8" t="s">
        <v>1403</v>
      </c>
      <c r="B836" s="8" t="s">
        <v>308</v>
      </c>
      <c r="C836" s="8" t="s">
        <v>25</v>
      </c>
      <c r="D836" s="9">
        <v>34</v>
      </c>
      <c r="E836" s="8" t="s">
        <v>93</v>
      </c>
      <c r="F836" s="8" t="s">
        <v>53</v>
      </c>
      <c r="G836" s="10">
        <v>45716</v>
      </c>
      <c r="H836" s="8" t="s">
        <v>26</v>
      </c>
      <c r="I836" s="8" t="s">
        <v>27</v>
      </c>
      <c r="J836" s="8" t="s">
        <v>2269</v>
      </c>
      <c r="K836" s="8" t="s">
        <v>37</v>
      </c>
      <c r="L836" s="8" t="s">
        <v>87</v>
      </c>
      <c r="M836" s="8" t="s">
        <v>60</v>
      </c>
      <c r="N836" s="11">
        <v>74122</v>
      </c>
      <c r="O836" s="11">
        <v>14311</v>
      </c>
      <c r="P836" s="12">
        <v>81.900000000000006</v>
      </c>
      <c r="Q836" s="9">
        <v>4</v>
      </c>
      <c r="R836" s="13">
        <v>9</v>
      </c>
      <c r="S836" s="13">
        <v>1</v>
      </c>
      <c r="T836" s="9">
        <v>24</v>
      </c>
      <c r="U836" s="13">
        <v>87</v>
      </c>
      <c r="V836" s="8" t="s">
        <v>31</v>
      </c>
      <c r="W836" s="8"/>
      <c r="X836" s="22">
        <f>IF(V836="Yes",1,0)</f>
        <v>0</v>
      </c>
      <c r="Y836" s="22">
        <f>IF(H836="Active",0,1)</f>
        <v>0</v>
      </c>
    </row>
    <row r="837" spans="1:25" ht="18" customHeight="1" x14ac:dyDescent="0.35">
      <c r="A837" s="8" t="s">
        <v>1671</v>
      </c>
      <c r="B837" s="8" t="s">
        <v>41</v>
      </c>
      <c r="C837" s="8" t="s">
        <v>34</v>
      </c>
      <c r="D837" s="9">
        <v>49</v>
      </c>
      <c r="E837" s="8" t="s">
        <v>42</v>
      </c>
      <c r="F837" s="8" t="s">
        <v>53</v>
      </c>
      <c r="G837" s="10">
        <v>45716</v>
      </c>
      <c r="H837" s="8" t="s">
        <v>26</v>
      </c>
      <c r="I837" s="8" t="s">
        <v>36</v>
      </c>
      <c r="J837" s="8" t="s">
        <v>48</v>
      </c>
      <c r="K837" s="8" t="s">
        <v>55</v>
      </c>
      <c r="L837" s="8" t="s">
        <v>38</v>
      </c>
      <c r="M837" s="8" t="s">
        <v>30</v>
      </c>
      <c r="N837" s="11">
        <v>212146</v>
      </c>
      <c r="O837" s="11">
        <v>39346</v>
      </c>
      <c r="P837" s="12">
        <v>99</v>
      </c>
      <c r="Q837" s="9">
        <v>3</v>
      </c>
      <c r="R837" s="13">
        <v>12</v>
      </c>
      <c r="S837" s="13">
        <v>2</v>
      </c>
      <c r="T837" s="9">
        <v>36</v>
      </c>
      <c r="U837" s="13">
        <v>87</v>
      </c>
      <c r="V837" s="8" t="s">
        <v>69</v>
      </c>
      <c r="W837" s="8"/>
      <c r="X837" s="22">
        <f>IF(V837="Yes",1,0)</f>
        <v>1</v>
      </c>
      <c r="Y837" s="22">
        <f>IF(H837="Active",0,1)</f>
        <v>0</v>
      </c>
    </row>
    <row r="838" spans="1:25" ht="18" customHeight="1" x14ac:dyDescent="0.35">
      <c r="A838" s="14" t="s">
        <v>2066</v>
      </c>
      <c r="B838" s="14" t="s">
        <v>134</v>
      </c>
      <c r="C838" s="14" t="s">
        <v>25</v>
      </c>
      <c r="D838" s="15">
        <v>24</v>
      </c>
      <c r="E838" s="14" t="s">
        <v>42</v>
      </c>
      <c r="F838" s="14" t="s">
        <v>76</v>
      </c>
      <c r="G838" s="16">
        <v>45716</v>
      </c>
      <c r="H838" s="14" t="s">
        <v>26</v>
      </c>
      <c r="I838" s="14" t="s">
        <v>27</v>
      </c>
      <c r="J838" s="14" t="s">
        <v>48</v>
      </c>
      <c r="K838" s="14" t="s">
        <v>73</v>
      </c>
      <c r="L838" s="14" t="s">
        <v>38</v>
      </c>
      <c r="M838" s="14" t="s">
        <v>64</v>
      </c>
      <c r="N838" s="17">
        <v>194749</v>
      </c>
      <c r="O838" s="17">
        <v>38715</v>
      </c>
      <c r="P838" s="18">
        <v>94.9</v>
      </c>
      <c r="Q838" s="15">
        <v>9</v>
      </c>
      <c r="R838" s="19">
        <v>14</v>
      </c>
      <c r="S838" s="19">
        <v>5</v>
      </c>
      <c r="T838" s="15">
        <v>38</v>
      </c>
      <c r="U838" s="19">
        <v>80</v>
      </c>
      <c r="V838" s="14" t="s">
        <v>31</v>
      </c>
      <c r="W838" s="14"/>
      <c r="X838" s="14">
        <f>IF(V838="Yes",1,0)</f>
        <v>0</v>
      </c>
      <c r="Y838" s="14">
        <f>IF(H838="Active",0,1)</f>
        <v>0</v>
      </c>
    </row>
    <row r="839" spans="1:25" ht="18" customHeight="1" x14ac:dyDescent="0.35">
      <c r="A839" s="14" t="s">
        <v>2214</v>
      </c>
      <c r="B839" s="14" t="s">
        <v>1235</v>
      </c>
      <c r="C839" s="14" t="s">
        <v>25</v>
      </c>
      <c r="D839" s="15">
        <v>31</v>
      </c>
      <c r="E839" s="14" t="s">
        <v>109</v>
      </c>
      <c r="F839" s="14" t="s">
        <v>72</v>
      </c>
      <c r="G839" s="16">
        <v>45716</v>
      </c>
      <c r="H839" s="14" t="s">
        <v>26</v>
      </c>
      <c r="I839" s="14" t="s">
        <v>36</v>
      </c>
      <c r="J839" s="14" t="s">
        <v>2269</v>
      </c>
      <c r="K839" s="14" t="s">
        <v>2271</v>
      </c>
      <c r="L839" s="14" t="s">
        <v>56</v>
      </c>
      <c r="M839" s="14" t="s">
        <v>60</v>
      </c>
      <c r="N839" s="17">
        <v>234133</v>
      </c>
      <c r="O839" s="17">
        <v>11292</v>
      </c>
      <c r="P839" s="18">
        <v>91.5</v>
      </c>
      <c r="Q839" s="15">
        <v>10</v>
      </c>
      <c r="R839" s="19">
        <v>5</v>
      </c>
      <c r="S839" s="19">
        <v>1</v>
      </c>
      <c r="T839" s="15">
        <v>5</v>
      </c>
      <c r="U839" s="19">
        <v>82</v>
      </c>
      <c r="V839" s="14" t="s">
        <v>31</v>
      </c>
      <c r="W839" s="14"/>
      <c r="X839" s="14">
        <f>IF(V839="Yes",1,0)</f>
        <v>0</v>
      </c>
      <c r="Y839" s="14">
        <f>IF(H839="Active",0,1)</f>
        <v>0</v>
      </c>
    </row>
    <row r="840" spans="1:25" ht="18" customHeight="1" x14ac:dyDescent="0.35">
      <c r="A840" s="14" t="s">
        <v>1195</v>
      </c>
      <c r="B840" s="14" t="s">
        <v>263</v>
      </c>
      <c r="C840" s="14" t="s">
        <v>34</v>
      </c>
      <c r="D840" s="15">
        <v>43</v>
      </c>
      <c r="E840" s="14" t="s">
        <v>109</v>
      </c>
      <c r="F840" s="14" t="s">
        <v>53</v>
      </c>
      <c r="G840" s="16">
        <v>45715</v>
      </c>
      <c r="H840" s="14" t="s">
        <v>26</v>
      </c>
      <c r="I840" s="14" t="s">
        <v>2267</v>
      </c>
      <c r="J840" s="14" t="s">
        <v>2269</v>
      </c>
      <c r="K840" s="14" t="s">
        <v>55</v>
      </c>
      <c r="L840" s="14" t="s">
        <v>87</v>
      </c>
      <c r="M840" s="14" t="s">
        <v>30</v>
      </c>
      <c r="N840" s="17">
        <v>46852</v>
      </c>
      <c r="O840" s="17">
        <v>36720</v>
      </c>
      <c r="P840" s="18">
        <v>90.5</v>
      </c>
      <c r="Q840" s="15">
        <v>8</v>
      </c>
      <c r="R840" s="19">
        <v>28</v>
      </c>
      <c r="S840" s="19">
        <v>2</v>
      </c>
      <c r="T840" s="15">
        <v>3</v>
      </c>
      <c r="U840" s="19">
        <v>93</v>
      </c>
      <c r="V840" s="14" t="s">
        <v>31</v>
      </c>
      <c r="W840" s="14"/>
      <c r="X840" s="14">
        <f>IF(V840="Yes",1,0)</f>
        <v>0</v>
      </c>
      <c r="Y840" s="14">
        <f>IF(H840="Active",0,1)</f>
        <v>0</v>
      </c>
    </row>
    <row r="841" spans="1:25" ht="18" customHeight="1" x14ac:dyDescent="0.35">
      <c r="A841" s="8" t="s">
        <v>1721</v>
      </c>
      <c r="B841" s="8" t="s">
        <v>329</v>
      </c>
      <c r="C841" s="8" t="s">
        <v>25</v>
      </c>
      <c r="D841" s="9">
        <v>45</v>
      </c>
      <c r="E841" s="8" t="s">
        <v>2303</v>
      </c>
      <c r="F841" s="8" t="s">
        <v>90</v>
      </c>
      <c r="G841" s="10">
        <v>45715</v>
      </c>
      <c r="H841" s="8" t="s">
        <v>26</v>
      </c>
      <c r="I841" s="8" t="s">
        <v>2267</v>
      </c>
      <c r="J841" s="8" t="s">
        <v>2270</v>
      </c>
      <c r="K841" s="8" t="s">
        <v>37</v>
      </c>
      <c r="L841" s="8" t="s">
        <v>49</v>
      </c>
      <c r="M841" s="8" t="s">
        <v>64</v>
      </c>
      <c r="N841" s="11">
        <v>171905</v>
      </c>
      <c r="O841" s="11">
        <v>18516</v>
      </c>
      <c r="P841" s="12">
        <v>82.6</v>
      </c>
      <c r="Q841" s="9">
        <v>4</v>
      </c>
      <c r="R841" s="13">
        <v>2</v>
      </c>
      <c r="S841" s="13">
        <v>3</v>
      </c>
      <c r="T841" s="9">
        <v>19</v>
      </c>
      <c r="U841" s="13">
        <v>86</v>
      </c>
      <c r="V841" s="8" t="s">
        <v>31</v>
      </c>
      <c r="W841" s="8"/>
      <c r="X841" s="22">
        <f>IF(V841="Yes",1,0)</f>
        <v>0</v>
      </c>
      <c r="Y841" s="22">
        <f>IF(H841="Active",0,1)</f>
        <v>0</v>
      </c>
    </row>
    <row r="842" spans="1:25" ht="18" customHeight="1" x14ac:dyDescent="0.35">
      <c r="A842" s="14" t="s">
        <v>2002</v>
      </c>
      <c r="B842" s="14" t="s">
        <v>471</v>
      </c>
      <c r="C842" s="14" t="s">
        <v>25</v>
      </c>
      <c r="D842" s="15">
        <v>55</v>
      </c>
      <c r="E842" s="14" t="s">
        <v>63</v>
      </c>
      <c r="F842" s="14" t="s">
        <v>72</v>
      </c>
      <c r="G842" s="16">
        <v>45715</v>
      </c>
      <c r="H842" s="14" t="s">
        <v>26</v>
      </c>
      <c r="I842" s="14" t="s">
        <v>27</v>
      </c>
      <c r="J842" s="14" t="s">
        <v>2270</v>
      </c>
      <c r="K842" s="14" t="s">
        <v>55</v>
      </c>
      <c r="L842" s="14" t="s">
        <v>44</v>
      </c>
      <c r="M842" s="14" t="s">
        <v>30</v>
      </c>
      <c r="N842" s="17">
        <v>131588</v>
      </c>
      <c r="O842" s="17">
        <v>18736</v>
      </c>
      <c r="P842" s="18">
        <v>94.5</v>
      </c>
      <c r="Q842" s="15">
        <v>0</v>
      </c>
      <c r="R842" s="19">
        <v>19</v>
      </c>
      <c r="S842" s="19">
        <v>1</v>
      </c>
      <c r="T842" s="15">
        <v>24</v>
      </c>
      <c r="U842" s="19">
        <v>60</v>
      </c>
      <c r="V842" s="14" t="s">
        <v>31</v>
      </c>
      <c r="W842" s="14"/>
      <c r="X842" s="14">
        <f>IF(V842="Yes",1,0)</f>
        <v>0</v>
      </c>
      <c r="Y842" s="14">
        <f>IF(H842="Active",0,1)</f>
        <v>0</v>
      </c>
    </row>
    <row r="843" spans="1:25" ht="18" customHeight="1" x14ac:dyDescent="0.35">
      <c r="A843" s="8" t="s">
        <v>114</v>
      </c>
      <c r="B843" s="8" t="s">
        <v>115</v>
      </c>
      <c r="C843" s="8" t="s">
        <v>34</v>
      </c>
      <c r="D843" s="9">
        <v>31</v>
      </c>
      <c r="E843" s="8" t="s">
        <v>52</v>
      </c>
      <c r="F843" s="8" t="s">
        <v>79</v>
      </c>
      <c r="G843" s="10">
        <v>45714</v>
      </c>
      <c r="H843" s="8" t="s">
        <v>26</v>
      </c>
      <c r="I843" s="8" t="s">
        <v>27</v>
      </c>
      <c r="J843" s="8" t="s">
        <v>2270</v>
      </c>
      <c r="K843" s="8" t="s">
        <v>28</v>
      </c>
      <c r="L843" s="8" t="s">
        <v>116</v>
      </c>
      <c r="M843" s="8" t="s">
        <v>60</v>
      </c>
      <c r="N843" s="11">
        <v>207221</v>
      </c>
      <c r="O843" s="11">
        <v>29028</v>
      </c>
      <c r="P843" s="12">
        <v>97.3</v>
      </c>
      <c r="Q843" s="9">
        <v>5</v>
      </c>
      <c r="R843" s="13">
        <v>24</v>
      </c>
      <c r="S843" s="13">
        <v>2</v>
      </c>
      <c r="T843" s="9">
        <v>11</v>
      </c>
      <c r="U843" s="13">
        <v>72</v>
      </c>
      <c r="V843" s="8" t="s">
        <v>31</v>
      </c>
      <c r="W843" s="8"/>
      <c r="X843" s="22">
        <f>IF(V843="Yes",1,0)</f>
        <v>0</v>
      </c>
      <c r="Y843" s="22">
        <f>IF(H843="Active",0,1)</f>
        <v>0</v>
      </c>
    </row>
    <row r="844" spans="1:25" ht="18" customHeight="1" x14ac:dyDescent="0.35">
      <c r="A844" s="14" t="s">
        <v>955</v>
      </c>
      <c r="B844" s="14" t="s">
        <v>115</v>
      </c>
      <c r="C844" s="14" t="s">
        <v>34</v>
      </c>
      <c r="D844" s="15">
        <v>51</v>
      </c>
      <c r="E844" s="14" t="s">
        <v>52</v>
      </c>
      <c r="F844" s="14" t="s">
        <v>35</v>
      </c>
      <c r="G844" s="16">
        <v>45714</v>
      </c>
      <c r="H844" s="14" t="s">
        <v>26</v>
      </c>
      <c r="I844" s="14" t="s">
        <v>27</v>
      </c>
      <c r="J844" s="14" t="s">
        <v>2268</v>
      </c>
      <c r="K844" s="14" t="s">
        <v>28</v>
      </c>
      <c r="L844" s="14" t="s">
        <v>49</v>
      </c>
      <c r="M844" s="14" t="s">
        <v>45</v>
      </c>
      <c r="N844" s="17">
        <v>76798</v>
      </c>
      <c r="O844" s="17">
        <v>48223</v>
      </c>
      <c r="P844" s="18">
        <v>94.3</v>
      </c>
      <c r="Q844" s="15">
        <v>5</v>
      </c>
      <c r="R844" s="19">
        <v>27</v>
      </c>
      <c r="S844" s="19">
        <v>3</v>
      </c>
      <c r="T844" s="15">
        <v>3</v>
      </c>
      <c r="U844" s="19">
        <v>99</v>
      </c>
      <c r="V844" s="14" t="s">
        <v>31</v>
      </c>
      <c r="W844" s="14"/>
      <c r="X844" s="14">
        <f>IF(V844="Yes",1,0)</f>
        <v>0</v>
      </c>
      <c r="Y844" s="14">
        <f>IF(H844="Active",0,1)</f>
        <v>0</v>
      </c>
    </row>
    <row r="845" spans="1:25" ht="18" customHeight="1" x14ac:dyDescent="0.35">
      <c r="A845" s="8" t="s">
        <v>1111</v>
      </c>
      <c r="B845" s="8" t="s">
        <v>742</v>
      </c>
      <c r="C845" s="8" t="s">
        <v>34</v>
      </c>
      <c r="D845" s="9">
        <v>28</v>
      </c>
      <c r="E845" s="8" t="s">
        <v>93</v>
      </c>
      <c r="F845" s="8" t="s">
        <v>76</v>
      </c>
      <c r="G845" s="10">
        <v>45714</v>
      </c>
      <c r="H845" s="8" t="s">
        <v>54</v>
      </c>
      <c r="I845" s="8" t="s">
        <v>2267</v>
      </c>
      <c r="J845" s="8" t="s">
        <v>2269</v>
      </c>
      <c r="K845" s="8" t="s">
        <v>28</v>
      </c>
      <c r="L845" s="8" t="s">
        <v>116</v>
      </c>
      <c r="M845" s="8" t="s">
        <v>30</v>
      </c>
      <c r="N845" s="11">
        <v>169630</v>
      </c>
      <c r="O845" s="11">
        <v>16213</v>
      </c>
      <c r="P845" s="12">
        <v>93</v>
      </c>
      <c r="Q845" s="9">
        <v>4</v>
      </c>
      <c r="R845" s="13">
        <v>16</v>
      </c>
      <c r="S845" s="13">
        <v>3</v>
      </c>
      <c r="T845" s="9">
        <v>37</v>
      </c>
      <c r="U845" s="13">
        <v>73</v>
      </c>
      <c r="V845" s="8" t="s">
        <v>69</v>
      </c>
      <c r="W845" s="8" t="s">
        <v>123</v>
      </c>
      <c r="X845" s="22">
        <f>IF(V845="Yes",1,0)</f>
        <v>1</v>
      </c>
      <c r="Y845" s="22">
        <f>IF(H845="Active",0,1)</f>
        <v>1</v>
      </c>
    </row>
    <row r="846" spans="1:25" ht="18" customHeight="1" x14ac:dyDescent="0.35">
      <c r="A846" s="14" t="s">
        <v>1242</v>
      </c>
      <c r="B846" s="14" t="s">
        <v>333</v>
      </c>
      <c r="C846" s="14" t="s">
        <v>25</v>
      </c>
      <c r="D846" s="15">
        <v>46</v>
      </c>
      <c r="E846" s="14" t="s">
        <v>86</v>
      </c>
      <c r="F846" s="14" t="s">
        <v>76</v>
      </c>
      <c r="G846" s="16">
        <v>45714</v>
      </c>
      <c r="H846" s="14" t="s">
        <v>26</v>
      </c>
      <c r="I846" s="14" t="s">
        <v>27</v>
      </c>
      <c r="J846" s="14" t="s">
        <v>80</v>
      </c>
      <c r="K846" s="14" t="s">
        <v>73</v>
      </c>
      <c r="L846" s="14" t="s">
        <v>44</v>
      </c>
      <c r="M846" s="14" t="s">
        <v>30</v>
      </c>
      <c r="N846" s="17">
        <v>183060</v>
      </c>
      <c r="O846" s="17">
        <v>9738</v>
      </c>
      <c r="P846" s="18">
        <v>81.099999999999994</v>
      </c>
      <c r="Q846" s="15">
        <v>7</v>
      </c>
      <c r="R846" s="19">
        <v>17</v>
      </c>
      <c r="S846" s="19">
        <v>1</v>
      </c>
      <c r="T846" s="15">
        <v>28</v>
      </c>
      <c r="U846" s="19">
        <v>60</v>
      </c>
      <c r="V846" s="14" t="s">
        <v>31</v>
      </c>
      <c r="W846" s="14"/>
      <c r="X846" s="14">
        <f>IF(V846="Yes",1,0)</f>
        <v>0</v>
      </c>
      <c r="Y846" s="14">
        <f>IF(H846="Active",0,1)</f>
        <v>0</v>
      </c>
    </row>
    <row r="847" spans="1:25" ht="18" customHeight="1" x14ac:dyDescent="0.35">
      <c r="A847" s="8" t="s">
        <v>1875</v>
      </c>
      <c r="B847" s="8" t="s">
        <v>265</v>
      </c>
      <c r="C847" s="8" t="s">
        <v>25</v>
      </c>
      <c r="D847" s="9">
        <v>39</v>
      </c>
      <c r="E847" s="8" t="s">
        <v>63</v>
      </c>
      <c r="F847" s="8" t="s">
        <v>43</v>
      </c>
      <c r="G847" s="10">
        <v>45714</v>
      </c>
      <c r="H847" s="8" t="s">
        <v>26</v>
      </c>
      <c r="I847" s="8" t="s">
        <v>27</v>
      </c>
      <c r="J847" s="8" t="s">
        <v>48</v>
      </c>
      <c r="K847" s="8" t="s">
        <v>55</v>
      </c>
      <c r="L847" s="8" t="s">
        <v>56</v>
      </c>
      <c r="M847" s="8" t="s">
        <v>64</v>
      </c>
      <c r="N847" s="11">
        <v>81863</v>
      </c>
      <c r="O847" s="11">
        <v>42415</v>
      </c>
      <c r="P847" s="12">
        <v>82.5</v>
      </c>
      <c r="Q847" s="9">
        <v>4</v>
      </c>
      <c r="R847" s="13">
        <v>17</v>
      </c>
      <c r="S847" s="13">
        <v>2</v>
      </c>
      <c r="T847" s="9">
        <v>23</v>
      </c>
      <c r="U847" s="13">
        <v>78</v>
      </c>
      <c r="V847" s="8" t="s">
        <v>31</v>
      </c>
      <c r="W847" s="8"/>
      <c r="X847" s="22">
        <f>IF(V847="Yes",1,0)</f>
        <v>0</v>
      </c>
      <c r="Y847" s="22">
        <f>IF(H847="Active",0,1)</f>
        <v>0</v>
      </c>
    </row>
    <row r="848" spans="1:25" ht="18" customHeight="1" x14ac:dyDescent="0.35">
      <c r="A848" s="8" t="s">
        <v>2225</v>
      </c>
      <c r="B848" s="8" t="s">
        <v>531</v>
      </c>
      <c r="C848" s="8" t="s">
        <v>34</v>
      </c>
      <c r="D848" s="9">
        <v>21</v>
      </c>
      <c r="E848" s="8" t="s">
        <v>86</v>
      </c>
      <c r="F848" s="8" t="s">
        <v>76</v>
      </c>
      <c r="G848" s="10">
        <v>45714</v>
      </c>
      <c r="H848" s="8" t="s">
        <v>26</v>
      </c>
      <c r="I848" s="8" t="s">
        <v>27</v>
      </c>
      <c r="J848" s="8" t="s">
        <v>80</v>
      </c>
      <c r="K848" s="8" t="s">
        <v>37</v>
      </c>
      <c r="L848" s="8" t="s">
        <v>87</v>
      </c>
      <c r="M848" s="8" t="s">
        <v>45</v>
      </c>
      <c r="N848" s="11">
        <v>240130</v>
      </c>
      <c r="O848" s="11">
        <v>44092</v>
      </c>
      <c r="P848" s="12">
        <v>90.3</v>
      </c>
      <c r="Q848" s="9">
        <v>9</v>
      </c>
      <c r="R848" s="13">
        <v>27</v>
      </c>
      <c r="S848" s="13">
        <v>5</v>
      </c>
      <c r="T848" s="9">
        <v>19</v>
      </c>
      <c r="U848" s="13">
        <v>97</v>
      </c>
      <c r="V848" s="8" t="s">
        <v>31</v>
      </c>
      <c r="W848" s="8"/>
      <c r="X848" s="22">
        <f>IF(V848="Yes",1,0)</f>
        <v>0</v>
      </c>
      <c r="Y848" s="22">
        <f>IF(H848="Active",0,1)</f>
        <v>0</v>
      </c>
    </row>
    <row r="849" spans="1:25" ht="18" customHeight="1" x14ac:dyDescent="0.35">
      <c r="A849" s="14" t="s">
        <v>476</v>
      </c>
      <c r="B849" s="14" t="s">
        <v>100</v>
      </c>
      <c r="C849" s="14" t="s">
        <v>34</v>
      </c>
      <c r="D849" s="15">
        <v>53</v>
      </c>
      <c r="E849" s="14" t="s">
        <v>109</v>
      </c>
      <c r="F849" s="14" t="s">
        <v>43</v>
      </c>
      <c r="G849" s="16">
        <v>45713</v>
      </c>
      <c r="H849" s="14" t="s">
        <v>26</v>
      </c>
      <c r="I849" s="14" t="s">
        <v>27</v>
      </c>
      <c r="J849" s="14" t="s">
        <v>80</v>
      </c>
      <c r="K849" s="14" t="s">
        <v>28</v>
      </c>
      <c r="L849" s="14" t="s">
        <v>38</v>
      </c>
      <c r="M849" s="14" t="s">
        <v>64</v>
      </c>
      <c r="N849" s="17">
        <v>193269</v>
      </c>
      <c r="O849" s="17">
        <v>12556</v>
      </c>
      <c r="P849" s="18">
        <v>80.599999999999994</v>
      </c>
      <c r="Q849" s="15">
        <v>2</v>
      </c>
      <c r="R849" s="19">
        <v>5</v>
      </c>
      <c r="S849" s="19">
        <v>5</v>
      </c>
      <c r="T849" s="15">
        <v>5</v>
      </c>
      <c r="U849" s="19">
        <v>68</v>
      </c>
      <c r="V849" s="14" t="s">
        <v>31</v>
      </c>
      <c r="W849" s="14"/>
      <c r="X849" s="14">
        <f>IF(V849="Yes",1,0)</f>
        <v>0</v>
      </c>
      <c r="Y849" s="14">
        <f>IF(H849="Active",0,1)</f>
        <v>0</v>
      </c>
    </row>
    <row r="850" spans="1:25" ht="18" customHeight="1" x14ac:dyDescent="0.35">
      <c r="A850" s="8" t="s">
        <v>508</v>
      </c>
      <c r="B850" s="8" t="s">
        <v>201</v>
      </c>
      <c r="C850" s="8" t="s">
        <v>25</v>
      </c>
      <c r="D850" s="9">
        <v>48</v>
      </c>
      <c r="E850" s="8" t="s">
        <v>109</v>
      </c>
      <c r="F850" s="8" t="s">
        <v>72</v>
      </c>
      <c r="G850" s="10">
        <v>45713</v>
      </c>
      <c r="H850" s="8" t="s">
        <v>26</v>
      </c>
      <c r="I850" s="8" t="s">
        <v>36</v>
      </c>
      <c r="J850" s="8" t="s">
        <v>2269</v>
      </c>
      <c r="K850" s="8" t="s">
        <v>55</v>
      </c>
      <c r="L850" s="8" t="s">
        <v>29</v>
      </c>
      <c r="M850" s="8" t="s">
        <v>39</v>
      </c>
      <c r="N850" s="11">
        <v>208726</v>
      </c>
      <c r="O850" s="11">
        <v>29756</v>
      </c>
      <c r="P850" s="12">
        <v>82.3</v>
      </c>
      <c r="Q850" s="9">
        <v>6</v>
      </c>
      <c r="R850" s="13">
        <v>17</v>
      </c>
      <c r="S850" s="13">
        <v>4</v>
      </c>
      <c r="T850" s="9">
        <v>10</v>
      </c>
      <c r="U850" s="13">
        <v>98</v>
      </c>
      <c r="V850" s="8" t="s">
        <v>31</v>
      </c>
      <c r="W850" s="8"/>
      <c r="X850" s="22">
        <f>IF(V850="Yes",1,0)</f>
        <v>0</v>
      </c>
      <c r="Y850" s="22">
        <f>IF(H850="Active",0,1)</f>
        <v>0</v>
      </c>
    </row>
    <row r="851" spans="1:25" ht="18" customHeight="1" x14ac:dyDescent="0.35">
      <c r="A851" s="8" t="s">
        <v>1767</v>
      </c>
      <c r="B851" s="8" t="s">
        <v>619</v>
      </c>
      <c r="C851" s="8" t="s">
        <v>25</v>
      </c>
      <c r="D851" s="9">
        <v>24</v>
      </c>
      <c r="E851" s="8" t="s">
        <v>2304</v>
      </c>
      <c r="F851" s="8" t="s">
        <v>53</v>
      </c>
      <c r="G851" s="10">
        <v>45713</v>
      </c>
      <c r="H851" s="8" t="s">
        <v>26</v>
      </c>
      <c r="I851" s="8" t="s">
        <v>36</v>
      </c>
      <c r="J851" s="8" t="s">
        <v>2269</v>
      </c>
      <c r="K851" s="8" t="s">
        <v>2271</v>
      </c>
      <c r="L851" s="8" t="s">
        <v>44</v>
      </c>
      <c r="M851" s="8" t="s">
        <v>39</v>
      </c>
      <c r="N851" s="11">
        <v>179807</v>
      </c>
      <c r="O851" s="11">
        <v>17287</v>
      </c>
      <c r="P851" s="12">
        <v>87.5</v>
      </c>
      <c r="Q851" s="9">
        <v>9</v>
      </c>
      <c r="R851" s="13">
        <v>13</v>
      </c>
      <c r="S851" s="13">
        <v>4</v>
      </c>
      <c r="T851" s="9">
        <v>11</v>
      </c>
      <c r="U851" s="13">
        <v>93</v>
      </c>
      <c r="V851" s="8" t="s">
        <v>31</v>
      </c>
      <c r="W851" s="8"/>
      <c r="X851" s="22">
        <f>IF(V851="Yes",1,0)</f>
        <v>0</v>
      </c>
      <c r="Y851" s="22">
        <f>IF(H851="Active",0,1)</f>
        <v>0</v>
      </c>
    </row>
    <row r="852" spans="1:25" ht="18" customHeight="1" x14ac:dyDescent="0.35">
      <c r="A852" s="8" t="s">
        <v>196</v>
      </c>
      <c r="B852" s="8" t="s">
        <v>197</v>
      </c>
      <c r="C852" s="8" t="s">
        <v>34</v>
      </c>
      <c r="D852" s="9">
        <v>34</v>
      </c>
      <c r="E852" s="8" t="s">
        <v>93</v>
      </c>
      <c r="F852" s="8" t="s">
        <v>12</v>
      </c>
      <c r="G852" s="10">
        <v>45712</v>
      </c>
      <c r="H852" s="8" t="s">
        <v>26</v>
      </c>
      <c r="I852" s="8" t="s">
        <v>27</v>
      </c>
      <c r="J852" s="8" t="s">
        <v>80</v>
      </c>
      <c r="K852" s="8" t="s">
        <v>28</v>
      </c>
      <c r="L852" s="8" t="s">
        <v>49</v>
      </c>
      <c r="M852" s="8" t="s">
        <v>64</v>
      </c>
      <c r="N852" s="11">
        <v>48940</v>
      </c>
      <c r="O852" s="11">
        <v>10367</v>
      </c>
      <c r="P852" s="12">
        <v>84.4</v>
      </c>
      <c r="Q852" s="9">
        <v>10</v>
      </c>
      <c r="R852" s="13">
        <v>8</v>
      </c>
      <c r="S852" s="13">
        <v>2</v>
      </c>
      <c r="T852" s="9">
        <v>15</v>
      </c>
      <c r="U852" s="13">
        <v>85</v>
      </c>
      <c r="V852" s="8" t="s">
        <v>31</v>
      </c>
      <c r="W852" s="8"/>
      <c r="X852" s="22">
        <f>IF(V852="Yes",1,0)</f>
        <v>0</v>
      </c>
      <c r="Y852" s="22">
        <f>IF(H852="Active",0,1)</f>
        <v>0</v>
      </c>
    </row>
    <row r="853" spans="1:25" ht="18" customHeight="1" x14ac:dyDescent="0.35">
      <c r="A853" s="8" t="s">
        <v>1192</v>
      </c>
      <c r="B853" s="8" t="s">
        <v>485</v>
      </c>
      <c r="C853" s="8" t="s">
        <v>25</v>
      </c>
      <c r="D853" s="9">
        <v>29</v>
      </c>
      <c r="E853" s="8" t="s">
        <v>67</v>
      </c>
      <c r="F853" s="8" t="s">
        <v>79</v>
      </c>
      <c r="G853" s="10">
        <v>45712</v>
      </c>
      <c r="H853" s="8" t="s">
        <v>26</v>
      </c>
      <c r="I853" s="8" t="s">
        <v>2267</v>
      </c>
      <c r="J853" s="8" t="s">
        <v>2270</v>
      </c>
      <c r="K853" s="8" t="s">
        <v>73</v>
      </c>
      <c r="L853" s="8" t="s">
        <v>68</v>
      </c>
      <c r="M853" s="8" t="s">
        <v>30</v>
      </c>
      <c r="N853" s="11">
        <v>145509</v>
      </c>
      <c r="O853" s="11">
        <v>32308</v>
      </c>
      <c r="P853" s="12">
        <v>80</v>
      </c>
      <c r="Q853" s="9">
        <v>0</v>
      </c>
      <c r="R853" s="13">
        <v>9</v>
      </c>
      <c r="S853" s="13">
        <v>2</v>
      </c>
      <c r="T853" s="9">
        <v>28</v>
      </c>
      <c r="U853" s="13">
        <v>74</v>
      </c>
      <c r="V853" s="8" t="s">
        <v>31</v>
      </c>
      <c r="W853" s="8"/>
      <c r="X853" s="22">
        <f>IF(V853="Yes",1,0)</f>
        <v>0</v>
      </c>
      <c r="Y853" s="22">
        <f>IF(H853="Active",0,1)</f>
        <v>0</v>
      </c>
    </row>
    <row r="854" spans="1:25" ht="18" customHeight="1" x14ac:dyDescent="0.35">
      <c r="A854" s="8" t="s">
        <v>1198</v>
      </c>
      <c r="B854" s="8" t="s">
        <v>447</v>
      </c>
      <c r="C854" s="8" t="s">
        <v>25</v>
      </c>
      <c r="D854" s="9">
        <v>25</v>
      </c>
      <c r="E854" s="8" t="s">
        <v>67</v>
      </c>
      <c r="F854" s="8" t="s">
        <v>79</v>
      </c>
      <c r="G854" s="10">
        <v>45712</v>
      </c>
      <c r="H854" s="8" t="s">
        <v>54</v>
      </c>
      <c r="I854" s="8" t="s">
        <v>27</v>
      </c>
      <c r="J854" s="8" t="s">
        <v>2268</v>
      </c>
      <c r="K854" s="8" t="s">
        <v>37</v>
      </c>
      <c r="L854" s="8" t="s">
        <v>87</v>
      </c>
      <c r="M854" s="8" t="s">
        <v>45</v>
      </c>
      <c r="N854" s="11">
        <v>71365</v>
      </c>
      <c r="O854" s="11">
        <v>21578</v>
      </c>
      <c r="P854" s="12">
        <v>80.7</v>
      </c>
      <c r="Q854" s="9">
        <v>2</v>
      </c>
      <c r="R854" s="13">
        <v>0</v>
      </c>
      <c r="S854" s="13">
        <v>3</v>
      </c>
      <c r="T854" s="9">
        <v>1</v>
      </c>
      <c r="U854" s="13">
        <v>66</v>
      </c>
      <c r="V854" s="8" t="s">
        <v>69</v>
      </c>
      <c r="W854" s="8" t="s">
        <v>83</v>
      </c>
      <c r="X854" s="22">
        <f>IF(V854="Yes",1,0)</f>
        <v>1</v>
      </c>
      <c r="Y854" s="22">
        <f>IF(H854="Active",0,1)</f>
        <v>1</v>
      </c>
    </row>
    <row r="855" spans="1:25" ht="18" customHeight="1" x14ac:dyDescent="0.35">
      <c r="A855" s="8" t="s">
        <v>1603</v>
      </c>
      <c r="B855" s="8" t="s">
        <v>458</v>
      </c>
      <c r="C855" s="8" t="s">
        <v>34</v>
      </c>
      <c r="D855" s="9">
        <v>31</v>
      </c>
      <c r="E855" s="8" t="s">
        <v>93</v>
      </c>
      <c r="F855" s="8" t="s">
        <v>79</v>
      </c>
      <c r="G855" s="10">
        <v>45712</v>
      </c>
      <c r="H855" s="8" t="s">
        <v>26</v>
      </c>
      <c r="I855" s="8" t="s">
        <v>27</v>
      </c>
      <c r="J855" s="8" t="s">
        <v>2268</v>
      </c>
      <c r="K855" s="8" t="s">
        <v>28</v>
      </c>
      <c r="L855" s="8" t="s">
        <v>116</v>
      </c>
      <c r="M855" s="8" t="s">
        <v>30</v>
      </c>
      <c r="N855" s="11">
        <v>117799</v>
      </c>
      <c r="O855" s="11">
        <v>27448</v>
      </c>
      <c r="P855" s="12">
        <v>99</v>
      </c>
      <c r="Q855" s="9">
        <v>7</v>
      </c>
      <c r="R855" s="13">
        <v>24</v>
      </c>
      <c r="S855" s="13">
        <v>1</v>
      </c>
      <c r="T855" s="9">
        <v>39</v>
      </c>
      <c r="U855" s="13">
        <v>67</v>
      </c>
      <c r="V855" s="8" t="s">
        <v>31</v>
      </c>
      <c r="W855" s="8"/>
      <c r="X855" s="22">
        <f>IF(V855="Yes",1,0)</f>
        <v>0</v>
      </c>
      <c r="Y855" s="22">
        <f>IF(H855="Active",0,1)</f>
        <v>0</v>
      </c>
    </row>
    <row r="856" spans="1:25" ht="18" customHeight="1" x14ac:dyDescent="0.35">
      <c r="A856" s="8" t="s">
        <v>906</v>
      </c>
      <c r="B856" s="8" t="s">
        <v>173</v>
      </c>
      <c r="C856" s="8" t="s">
        <v>34</v>
      </c>
      <c r="D856" s="9">
        <v>56</v>
      </c>
      <c r="E856" s="8" t="s">
        <v>109</v>
      </c>
      <c r="F856" s="8" t="s">
        <v>90</v>
      </c>
      <c r="G856" s="10">
        <v>45710</v>
      </c>
      <c r="H856" s="8" t="s">
        <v>54</v>
      </c>
      <c r="I856" s="8" t="s">
        <v>27</v>
      </c>
      <c r="J856" s="8" t="s">
        <v>2268</v>
      </c>
      <c r="K856" s="8" t="s">
        <v>55</v>
      </c>
      <c r="L856" s="8" t="s">
        <v>29</v>
      </c>
      <c r="M856" s="8" t="s">
        <v>45</v>
      </c>
      <c r="N856" s="11">
        <v>115474</v>
      </c>
      <c r="O856" s="11">
        <v>10662</v>
      </c>
      <c r="P856" s="12">
        <v>89.8</v>
      </c>
      <c r="Q856" s="9">
        <v>9</v>
      </c>
      <c r="R856" s="13">
        <v>11</v>
      </c>
      <c r="S856" s="13">
        <v>2</v>
      </c>
      <c r="T856" s="9">
        <v>4</v>
      </c>
      <c r="U856" s="13">
        <v>89</v>
      </c>
      <c r="V856" s="8" t="s">
        <v>31</v>
      </c>
      <c r="W856" s="8" t="s">
        <v>205</v>
      </c>
      <c r="X856" s="22">
        <f>IF(V856="Yes",1,0)</f>
        <v>0</v>
      </c>
      <c r="Y856" s="22">
        <f>IF(H856="Active",0,1)</f>
        <v>1</v>
      </c>
    </row>
    <row r="857" spans="1:25" ht="18" customHeight="1" x14ac:dyDescent="0.35">
      <c r="A857" s="8" t="s">
        <v>1255</v>
      </c>
      <c r="B857" s="8" t="s">
        <v>792</v>
      </c>
      <c r="C857" s="8" t="s">
        <v>25</v>
      </c>
      <c r="D857" s="9">
        <v>40</v>
      </c>
      <c r="E857" s="8" t="s">
        <v>2303</v>
      </c>
      <c r="F857" s="8" t="s">
        <v>43</v>
      </c>
      <c r="G857" s="10">
        <v>45710</v>
      </c>
      <c r="H857" s="8" t="s">
        <v>26</v>
      </c>
      <c r="I857" s="8" t="s">
        <v>2267</v>
      </c>
      <c r="J857" s="8" t="s">
        <v>2268</v>
      </c>
      <c r="K857" s="8" t="s">
        <v>2271</v>
      </c>
      <c r="L857" s="8" t="s">
        <v>49</v>
      </c>
      <c r="M857" s="8" t="s">
        <v>64</v>
      </c>
      <c r="N857" s="11">
        <v>178589</v>
      </c>
      <c r="O857" s="11">
        <v>41020</v>
      </c>
      <c r="P857" s="12">
        <v>90.3</v>
      </c>
      <c r="Q857" s="9">
        <v>4</v>
      </c>
      <c r="R857" s="13">
        <v>11</v>
      </c>
      <c r="S857" s="13">
        <v>3</v>
      </c>
      <c r="T857" s="9">
        <v>32</v>
      </c>
      <c r="U857" s="13">
        <v>99</v>
      </c>
      <c r="V857" s="8" t="s">
        <v>31</v>
      </c>
      <c r="W857" s="8"/>
      <c r="X857" s="22">
        <f>IF(V857="Yes",1,0)</f>
        <v>0</v>
      </c>
      <c r="Y857" s="22">
        <f>IF(H857="Active",0,1)</f>
        <v>0</v>
      </c>
    </row>
    <row r="858" spans="1:25" ht="18" customHeight="1" x14ac:dyDescent="0.35">
      <c r="A858" s="8" t="s">
        <v>1983</v>
      </c>
      <c r="B858" s="8" t="s">
        <v>189</v>
      </c>
      <c r="C858" s="8" t="s">
        <v>34</v>
      </c>
      <c r="D858" s="9">
        <v>51</v>
      </c>
      <c r="E858" s="8" t="s">
        <v>63</v>
      </c>
      <c r="F858" s="8" t="s">
        <v>72</v>
      </c>
      <c r="G858" s="10">
        <v>45710</v>
      </c>
      <c r="H858" s="8" t="s">
        <v>26</v>
      </c>
      <c r="I858" s="8" t="s">
        <v>27</v>
      </c>
      <c r="J858" s="8" t="s">
        <v>2269</v>
      </c>
      <c r="K858" s="8" t="s">
        <v>37</v>
      </c>
      <c r="L858" s="8" t="s">
        <v>29</v>
      </c>
      <c r="M858" s="8" t="s">
        <v>64</v>
      </c>
      <c r="N858" s="11">
        <v>182183</v>
      </c>
      <c r="O858" s="11">
        <v>5178</v>
      </c>
      <c r="P858" s="12">
        <v>82.9</v>
      </c>
      <c r="Q858" s="9">
        <v>6</v>
      </c>
      <c r="R858" s="13">
        <v>30</v>
      </c>
      <c r="S858" s="13">
        <v>5</v>
      </c>
      <c r="T858" s="9">
        <v>33</v>
      </c>
      <c r="U858" s="13">
        <v>60</v>
      </c>
      <c r="V858" s="8" t="s">
        <v>69</v>
      </c>
      <c r="W858" s="8"/>
      <c r="X858" s="22">
        <f>IF(V858="Yes",1,0)</f>
        <v>1</v>
      </c>
      <c r="Y858" s="22">
        <f>IF(H858="Active",0,1)</f>
        <v>0</v>
      </c>
    </row>
    <row r="859" spans="1:25" ht="18" customHeight="1" x14ac:dyDescent="0.35">
      <c r="A859" s="8" t="s">
        <v>2163</v>
      </c>
      <c r="B859" s="8" t="s">
        <v>583</v>
      </c>
      <c r="C859" s="8" t="s">
        <v>25</v>
      </c>
      <c r="D859" s="9">
        <v>26</v>
      </c>
      <c r="E859" s="8" t="s">
        <v>2304</v>
      </c>
      <c r="F859" s="8" t="s">
        <v>53</v>
      </c>
      <c r="G859" s="10">
        <v>45710</v>
      </c>
      <c r="H859" s="8" t="s">
        <v>26</v>
      </c>
      <c r="I859" s="8" t="s">
        <v>27</v>
      </c>
      <c r="J859" s="8" t="s">
        <v>2269</v>
      </c>
      <c r="K859" s="8" t="s">
        <v>73</v>
      </c>
      <c r="L859" s="8" t="s">
        <v>29</v>
      </c>
      <c r="M859" s="8" t="s">
        <v>64</v>
      </c>
      <c r="N859" s="11">
        <v>242442</v>
      </c>
      <c r="O859" s="11">
        <v>45859</v>
      </c>
      <c r="P859" s="12">
        <v>95.5</v>
      </c>
      <c r="Q859" s="9">
        <v>10</v>
      </c>
      <c r="R859" s="13">
        <v>1</v>
      </c>
      <c r="S859" s="13">
        <v>3</v>
      </c>
      <c r="T859" s="9">
        <v>24</v>
      </c>
      <c r="U859" s="13">
        <v>99</v>
      </c>
      <c r="V859" s="8" t="s">
        <v>31</v>
      </c>
      <c r="W859" s="8"/>
      <c r="X859" s="22">
        <f>IF(V859="Yes",1,0)</f>
        <v>0</v>
      </c>
      <c r="Y859" s="22">
        <f>IF(H859="Active",0,1)</f>
        <v>0</v>
      </c>
    </row>
    <row r="860" spans="1:25" ht="18" customHeight="1" x14ac:dyDescent="0.35">
      <c r="A860" s="8" t="s">
        <v>836</v>
      </c>
      <c r="B860" s="8" t="s">
        <v>837</v>
      </c>
      <c r="C860" s="8" t="s">
        <v>34</v>
      </c>
      <c r="D860" s="9">
        <v>32</v>
      </c>
      <c r="E860" s="8" t="s">
        <v>2303</v>
      </c>
      <c r="F860" s="8" t="s">
        <v>76</v>
      </c>
      <c r="G860" s="10">
        <v>45709</v>
      </c>
      <c r="H860" s="8" t="s">
        <v>26</v>
      </c>
      <c r="I860" s="8" t="s">
        <v>36</v>
      </c>
      <c r="J860" s="8" t="s">
        <v>2268</v>
      </c>
      <c r="K860" s="8" t="s">
        <v>37</v>
      </c>
      <c r="L860" s="8" t="s">
        <v>29</v>
      </c>
      <c r="M860" s="8" t="s">
        <v>64</v>
      </c>
      <c r="N860" s="11">
        <v>87860</v>
      </c>
      <c r="O860" s="11">
        <v>19991</v>
      </c>
      <c r="P860" s="12">
        <v>86.3</v>
      </c>
      <c r="Q860" s="9">
        <v>5</v>
      </c>
      <c r="R860" s="13">
        <v>30</v>
      </c>
      <c r="S860" s="13">
        <v>4</v>
      </c>
      <c r="T860" s="9">
        <v>23</v>
      </c>
      <c r="U860" s="13">
        <v>84</v>
      </c>
      <c r="V860" s="8" t="s">
        <v>31</v>
      </c>
      <c r="W860" s="8"/>
      <c r="X860" s="22">
        <f>IF(V860="Yes",1,0)</f>
        <v>0</v>
      </c>
      <c r="Y860" s="22">
        <f>IF(H860="Active",0,1)</f>
        <v>0</v>
      </c>
    </row>
    <row r="861" spans="1:25" ht="18" customHeight="1" x14ac:dyDescent="0.35">
      <c r="A861" s="8" t="s">
        <v>1253</v>
      </c>
      <c r="B861" s="8" t="s">
        <v>356</v>
      </c>
      <c r="C861" s="8" t="s">
        <v>25</v>
      </c>
      <c r="D861" s="9">
        <v>34</v>
      </c>
      <c r="E861" s="8" t="s">
        <v>93</v>
      </c>
      <c r="F861" s="8" t="s">
        <v>76</v>
      </c>
      <c r="G861" s="10">
        <v>45709</v>
      </c>
      <c r="H861" s="8" t="s">
        <v>26</v>
      </c>
      <c r="I861" s="8" t="s">
        <v>36</v>
      </c>
      <c r="J861" s="8" t="s">
        <v>80</v>
      </c>
      <c r="K861" s="8" t="s">
        <v>2271</v>
      </c>
      <c r="L861" s="8" t="s">
        <v>56</v>
      </c>
      <c r="M861" s="8" t="s">
        <v>45</v>
      </c>
      <c r="N861" s="11">
        <v>86674</v>
      </c>
      <c r="O861" s="11">
        <v>14905</v>
      </c>
      <c r="P861" s="12">
        <v>96.1</v>
      </c>
      <c r="Q861" s="9">
        <v>4</v>
      </c>
      <c r="R861" s="13">
        <v>27</v>
      </c>
      <c r="S861" s="13">
        <v>2</v>
      </c>
      <c r="T861" s="9">
        <v>25</v>
      </c>
      <c r="U861" s="13">
        <v>88</v>
      </c>
      <c r="V861" s="8" t="s">
        <v>31</v>
      </c>
      <c r="W861" s="8"/>
      <c r="X861" s="22">
        <f>IF(V861="Yes",1,0)</f>
        <v>0</v>
      </c>
      <c r="Y861" s="22">
        <f>IF(H861="Active",0,1)</f>
        <v>0</v>
      </c>
    </row>
    <row r="862" spans="1:25" ht="18" customHeight="1" x14ac:dyDescent="0.35">
      <c r="A862" s="8" t="s">
        <v>1841</v>
      </c>
      <c r="B862" s="8" t="s">
        <v>619</v>
      </c>
      <c r="C862" s="8" t="s">
        <v>34</v>
      </c>
      <c r="D862" s="9">
        <v>36</v>
      </c>
      <c r="E862" s="8" t="s">
        <v>67</v>
      </c>
      <c r="F862" s="8" t="s">
        <v>35</v>
      </c>
      <c r="G862" s="10">
        <v>45707</v>
      </c>
      <c r="H862" s="8" t="s">
        <v>26</v>
      </c>
      <c r="I862" s="8" t="s">
        <v>36</v>
      </c>
      <c r="J862" s="8" t="s">
        <v>2270</v>
      </c>
      <c r="K862" s="8" t="s">
        <v>55</v>
      </c>
      <c r="L862" s="8" t="s">
        <v>49</v>
      </c>
      <c r="M862" s="8" t="s">
        <v>39</v>
      </c>
      <c r="N862" s="11">
        <v>81700</v>
      </c>
      <c r="O862" s="11">
        <v>28512</v>
      </c>
      <c r="P862" s="12">
        <v>90.6</v>
      </c>
      <c r="Q862" s="9">
        <v>6</v>
      </c>
      <c r="R862" s="13">
        <v>16</v>
      </c>
      <c r="S862" s="13">
        <v>2</v>
      </c>
      <c r="T862" s="9">
        <v>6</v>
      </c>
      <c r="U862" s="13">
        <v>75</v>
      </c>
      <c r="V862" s="8" t="s">
        <v>31</v>
      </c>
      <c r="W862" s="8"/>
      <c r="X862" s="22">
        <f>IF(V862="Yes",1,0)</f>
        <v>0</v>
      </c>
      <c r="Y862" s="22">
        <f>IF(H862="Active",0,1)</f>
        <v>0</v>
      </c>
    </row>
    <row r="863" spans="1:25" ht="18" customHeight="1" x14ac:dyDescent="0.35">
      <c r="A863" s="14" t="s">
        <v>1144</v>
      </c>
      <c r="B863" s="14" t="s">
        <v>95</v>
      </c>
      <c r="C863" s="14" t="s">
        <v>25</v>
      </c>
      <c r="D863" s="15">
        <v>24</v>
      </c>
      <c r="E863" s="14" t="s">
        <v>109</v>
      </c>
      <c r="F863" s="14" t="s">
        <v>12</v>
      </c>
      <c r="G863" s="16">
        <v>45706</v>
      </c>
      <c r="H863" s="14" t="s">
        <v>26</v>
      </c>
      <c r="I863" s="14" t="s">
        <v>2267</v>
      </c>
      <c r="J863" s="14" t="s">
        <v>2269</v>
      </c>
      <c r="K863" s="14" t="s">
        <v>28</v>
      </c>
      <c r="L863" s="14" t="s">
        <v>29</v>
      </c>
      <c r="M863" s="14" t="s">
        <v>64</v>
      </c>
      <c r="N863" s="17">
        <v>37613</v>
      </c>
      <c r="O863" s="17">
        <v>40822</v>
      </c>
      <c r="P863" s="18">
        <v>85.9</v>
      </c>
      <c r="Q863" s="15">
        <v>3</v>
      </c>
      <c r="R863" s="19">
        <v>7</v>
      </c>
      <c r="S863" s="19">
        <v>1</v>
      </c>
      <c r="T863" s="15">
        <v>37</v>
      </c>
      <c r="U863" s="19">
        <v>67</v>
      </c>
      <c r="V863" s="14" t="s">
        <v>31</v>
      </c>
      <c r="W863" s="14"/>
      <c r="X863" s="14">
        <f>IF(V863="Yes",1,0)</f>
        <v>0</v>
      </c>
      <c r="Y863" s="14">
        <f>IF(H863="Active",0,1)</f>
        <v>0</v>
      </c>
    </row>
    <row r="864" spans="1:25" ht="18" customHeight="1" x14ac:dyDescent="0.35">
      <c r="A864" s="14" t="s">
        <v>1728</v>
      </c>
      <c r="B864" s="14" t="s">
        <v>193</v>
      </c>
      <c r="C864" s="14" t="s">
        <v>25</v>
      </c>
      <c r="D864" s="15">
        <v>21</v>
      </c>
      <c r="E864" s="14" t="s">
        <v>2304</v>
      </c>
      <c r="F864" s="14" t="s">
        <v>72</v>
      </c>
      <c r="G864" s="16">
        <v>45706</v>
      </c>
      <c r="H864" s="14" t="s">
        <v>26</v>
      </c>
      <c r="I864" s="14" t="s">
        <v>2267</v>
      </c>
      <c r="J864" s="14" t="s">
        <v>80</v>
      </c>
      <c r="K864" s="14" t="s">
        <v>2271</v>
      </c>
      <c r="L864" s="14" t="s">
        <v>38</v>
      </c>
      <c r="M864" s="14" t="s">
        <v>60</v>
      </c>
      <c r="N864" s="17">
        <v>131479</v>
      </c>
      <c r="O864" s="17">
        <v>29850</v>
      </c>
      <c r="P864" s="18">
        <v>95.6</v>
      </c>
      <c r="Q864" s="15">
        <v>9</v>
      </c>
      <c r="R864" s="19">
        <v>10</v>
      </c>
      <c r="S864" s="19">
        <v>4</v>
      </c>
      <c r="T864" s="15">
        <v>20</v>
      </c>
      <c r="U864" s="19">
        <v>60</v>
      </c>
      <c r="V864" s="14" t="s">
        <v>31</v>
      </c>
      <c r="W864" s="14"/>
      <c r="X864" s="14">
        <f>IF(V864="Yes",1,0)</f>
        <v>0</v>
      </c>
      <c r="Y864" s="14">
        <f>IF(H864="Active",0,1)</f>
        <v>0</v>
      </c>
    </row>
    <row r="865" spans="1:25" ht="18" customHeight="1" x14ac:dyDescent="0.35">
      <c r="A865" s="14" t="s">
        <v>2188</v>
      </c>
      <c r="B865" s="14" t="s">
        <v>165</v>
      </c>
      <c r="C865" s="14" t="s">
        <v>25</v>
      </c>
      <c r="D865" s="15">
        <v>57</v>
      </c>
      <c r="E865" s="14" t="s">
        <v>2304</v>
      </c>
      <c r="F865" s="14" t="s">
        <v>79</v>
      </c>
      <c r="G865" s="16">
        <v>45706</v>
      </c>
      <c r="H865" s="14" t="s">
        <v>26</v>
      </c>
      <c r="I865" s="14" t="s">
        <v>2267</v>
      </c>
      <c r="J865" s="14" t="s">
        <v>2269</v>
      </c>
      <c r="K865" s="14" t="s">
        <v>55</v>
      </c>
      <c r="L865" s="14" t="s">
        <v>87</v>
      </c>
      <c r="M865" s="14" t="s">
        <v>30</v>
      </c>
      <c r="N865" s="17">
        <v>188156</v>
      </c>
      <c r="O865" s="17">
        <v>38524</v>
      </c>
      <c r="P865" s="18">
        <v>89.8</v>
      </c>
      <c r="Q865" s="15">
        <v>1</v>
      </c>
      <c r="R865" s="19">
        <v>17</v>
      </c>
      <c r="S865" s="19">
        <v>3</v>
      </c>
      <c r="T865" s="15">
        <v>31</v>
      </c>
      <c r="U865" s="19">
        <v>89</v>
      </c>
      <c r="V865" s="14" t="s">
        <v>31</v>
      </c>
      <c r="W865" s="14"/>
      <c r="X865" s="14">
        <f>IF(V865="Yes",1,0)</f>
        <v>0</v>
      </c>
      <c r="Y865" s="14">
        <f>IF(H865="Active",0,1)</f>
        <v>0</v>
      </c>
    </row>
    <row r="866" spans="1:25" ht="18" customHeight="1" x14ac:dyDescent="0.35">
      <c r="A866" s="8" t="s">
        <v>637</v>
      </c>
      <c r="B866" s="8" t="s">
        <v>638</v>
      </c>
      <c r="C866" s="8" t="s">
        <v>34</v>
      </c>
      <c r="D866" s="9">
        <v>30</v>
      </c>
      <c r="E866" s="8" t="s">
        <v>63</v>
      </c>
      <c r="F866" s="8" t="s">
        <v>35</v>
      </c>
      <c r="G866" s="10">
        <v>45705</v>
      </c>
      <c r="H866" s="8" t="s">
        <v>26</v>
      </c>
      <c r="I866" s="8" t="s">
        <v>2267</v>
      </c>
      <c r="J866" s="8" t="s">
        <v>48</v>
      </c>
      <c r="K866" s="8" t="s">
        <v>37</v>
      </c>
      <c r="L866" s="8" t="s">
        <v>56</v>
      </c>
      <c r="M866" s="8" t="s">
        <v>30</v>
      </c>
      <c r="N866" s="11">
        <v>182738</v>
      </c>
      <c r="O866" s="11">
        <v>10352</v>
      </c>
      <c r="P866" s="12">
        <v>97.6</v>
      </c>
      <c r="Q866" s="9">
        <v>7</v>
      </c>
      <c r="R866" s="13">
        <v>29</v>
      </c>
      <c r="S866" s="13">
        <v>1</v>
      </c>
      <c r="T866" s="9">
        <v>13</v>
      </c>
      <c r="U866" s="13">
        <v>73</v>
      </c>
      <c r="V866" s="8" t="s">
        <v>31</v>
      </c>
      <c r="W866" s="8"/>
      <c r="X866" s="22">
        <f>IF(V866="Yes",1,0)</f>
        <v>0</v>
      </c>
      <c r="Y866" s="22">
        <f>IF(H866="Active",0,1)</f>
        <v>0</v>
      </c>
    </row>
    <row r="867" spans="1:25" ht="18" customHeight="1" x14ac:dyDescent="0.35">
      <c r="A867" s="8" t="s">
        <v>208</v>
      </c>
      <c r="B867" s="8" t="s">
        <v>197</v>
      </c>
      <c r="C867" s="8" t="s">
        <v>34</v>
      </c>
      <c r="D867" s="9">
        <v>37</v>
      </c>
      <c r="E867" s="8" t="s">
        <v>67</v>
      </c>
      <c r="F867" s="8" t="s">
        <v>43</v>
      </c>
      <c r="G867" s="10">
        <v>45704</v>
      </c>
      <c r="H867" s="8" t="s">
        <v>26</v>
      </c>
      <c r="I867" s="8" t="s">
        <v>27</v>
      </c>
      <c r="J867" s="8" t="s">
        <v>80</v>
      </c>
      <c r="K867" s="8" t="s">
        <v>28</v>
      </c>
      <c r="L867" s="8" t="s">
        <v>49</v>
      </c>
      <c r="M867" s="8" t="s">
        <v>39</v>
      </c>
      <c r="N867" s="11">
        <v>71143</v>
      </c>
      <c r="O867" s="11">
        <v>40899</v>
      </c>
      <c r="P867" s="12">
        <v>91.5</v>
      </c>
      <c r="Q867" s="9">
        <v>9</v>
      </c>
      <c r="R867" s="13">
        <v>8</v>
      </c>
      <c r="S867" s="13">
        <v>5</v>
      </c>
      <c r="T867" s="9">
        <v>21</v>
      </c>
      <c r="U867" s="13">
        <v>64</v>
      </c>
      <c r="V867" s="8" t="s">
        <v>31</v>
      </c>
      <c r="W867" s="8"/>
      <c r="X867" s="22">
        <f>IF(V867="Yes",1,0)</f>
        <v>0</v>
      </c>
      <c r="Y867" s="22">
        <f>IF(H867="Active",0,1)</f>
        <v>0</v>
      </c>
    </row>
    <row r="868" spans="1:25" ht="18" customHeight="1" x14ac:dyDescent="0.35">
      <c r="A868" s="8" t="s">
        <v>563</v>
      </c>
      <c r="B868" s="8" t="s">
        <v>165</v>
      </c>
      <c r="C868" s="8" t="s">
        <v>34</v>
      </c>
      <c r="D868" s="9">
        <v>30</v>
      </c>
      <c r="E868" s="8" t="s">
        <v>42</v>
      </c>
      <c r="F868" s="8" t="s">
        <v>72</v>
      </c>
      <c r="G868" s="10">
        <v>45704</v>
      </c>
      <c r="H868" s="8" t="s">
        <v>26</v>
      </c>
      <c r="I868" s="8" t="s">
        <v>2267</v>
      </c>
      <c r="J868" s="8" t="s">
        <v>2269</v>
      </c>
      <c r="K868" s="8" t="s">
        <v>37</v>
      </c>
      <c r="L868" s="8" t="s">
        <v>68</v>
      </c>
      <c r="M868" s="8" t="s">
        <v>60</v>
      </c>
      <c r="N868" s="11">
        <v>165405</v>
      </c>
      <c r="O868" s="11">
        <v>28818</v>
      </c>
      <c r="P868" s="12">
        <v>91.8</v>
      </c>
      <c r="Q868" s="9">
        <v>1</v>
      </c>
      <c r="R868" s="13">
        <v>19</v>
      </c>
      <c r="S868" s="13">
        <v>4</v>
      </c>
      <c r="T868" s="9">
        <v>26</v>
      </c>
      <c r="U868" s="13">
        <v>72</v>
      </c>
      <c r="V868" s="8" t="s">
        <v>31</v>
      </c>
      <c r="W868" s="8"/>
      <c r="X868" s="22">
        <f>IF(V868="Yes",1,0)</f>
        <v>0</v>
      </c>
      <c r="Y868" s="22">
        <f>IF(H868="Active",0,1)</f>
        <v>0</v>
      </c>
    </row>
    <row r="869" spans="1:25" ht="18" customHeight="1" x14ac:dyDescent="0.35">
      <c r="A869" s="14" t="s">
        <v>721</v>
      </c>
      <c r="B869" s="14" t="s">
        <v>184</v>
      </c>
      <c r="C869" s="14" t="s">
        <v>34</v>
      </c>
      <c r="D869" s="15">
        <v>30</v>
      </c>
      <c r="E869" s="14" t="s">
        <v>109</v>
      </c>
      <c r="F869" s="14" t="s">
        <v>76</v>
      </c>
      <c r="G869" s="16">
        <v>45704</v>
      </c>
      <c r="H869" s="14" t="s">
        <v>26</v>
      </c>
      <c r="I869" s="14" t="s">
        <v>2267</v>
      </c>
      <c r="J869" s="14" t="s">
        <v>2270</v>
      </c>
      <c r="K869" s="14" t="s">
        <v>73</v>
      </c>
      <c r="L869" s="14" t="s">
        <v>49</v>
      </c>
      <c r="M869" s="14" t="s">
        <v>45</v>
      </c>
      <c r="N869" s="17">
        <v>147526</v>
      </c>
      <c r="O869" s="17">
        <v>23723</v>
      </c>
      <c r="P869" s="18">
        <v>83.8</v>
      </c>
      <c r="Q869" s="15">
        <v>8</v>
      </c>
      <c r="R869" s="19">
        <v>18</v>
      </c>
      <c r="S869" s="19">
        <v>1</v>
      </c>
      <c r="T869" s="15">
        <v>5</v>
      </c>
      <c r="U869" s="19">
        <v>89</v>
      </c>
      <c r="V869" s="14" t="s">
        <v>31</v>
      </c>
      <c r="W869" s="14"/>
      <c r="X869" s="14">
        <f>IF(V869="Yes",1,0)</f>
        <v>0</v>
      </c>
      <c r="Y869" s="14">
        <f>IF(H869="Active",0,1)</f>
        <v>0</v>
      </c>
    </row>
    <row r="870" spans="1:25" ht="18" customHeight="1" x14ac:dyDescent="0.35">
      <c r="A870" s="14" t="s">
        <v>502</v>
      </c>
      <c r="B870" s="14" t="s">
        <v>125</v>
      </c>
      <c r="C870" s="14" t="s">
        <v>34</v>
      </c>
      <c r="D870" s="15">
        <v>36</v>
      </c>
      <c r="E870" s="14" t="s">
        <v>63</v>
      </c>
      <c r="F870" s="14" t="s">
        <v>12</v>
      </c>
      <c r="G870" s="16">
        <v>45703</v>
      </c>
      <c r="H870" s="14" t="s">
        <v>26</v>
      </c>
      <c r="I870" s="14" t="s">
        <v>27</v>
      </c>
      <c r="J870" s="14" t="s">
        <v>2269</v>
      </c>
      <c r="K870" s="14" t="s">
        <v>73</v>
      </c>
      <c r="L870" s="14" t="s">
        <v>29</v>
      </c>
      <c r="M870" s="14" t="s">
        <v>45</v>
      </c>
      <c r="N870" s="17">
        <v>112426</v>
      </c>
      <c r="O870" s="17">
        <v>46543</v>
      </c>
      <c r="P870" s="18">
        <v>86</v>
      </c>
      <c r="Q870" s="15">
        <v>5</v>
      </c>
      <c r="R870" s="19">
        <v>13</v>
      </c>
      <c r="S870" s="19">
        <v>1</v>
      </c>
      <c r="T870" s="15">
        <v>23</v>
      </c>
      <c r="U870" s="19">
        <v>95</v>
      </c>
      <c r="V870" s="14" t="s">
        <v>69</v>
      </c>
      <c r="W870" s="14"/>
      <c r="X870" s="14">
        <f>IF(V870="Yes",1,0)</f>
        <v>1</v>
      </c>
      <c r="Y870" s="14">
        <f>IF(H870="Active",0,1)</f>
        <v>0</v>
      </c>
    </row>
    <row r="871" spans="1:25" ht="18" customHeight="1" x14ac:dyDescent="0.35">
      <c r="A871" s="8" t="s">
        <v>1481</v>
      </c>
      <c r="B871" s="8" t="s">
        <v>581</v>
      </c>
      <c r="C871" s="8" t="s">
        <v>25</v>
      </c>
      <c r="D871" s="9">
        <v>37</v>
      </c>
      <c r="E871" s="8" t="s">
        <v>86</v>
      </c>
      <c r="F871" s="8" t="s">
        <v>72</v>
      </c>
      <c r="G871" s="10">
        <v>45703</v>
      </c>
      <c r="H871" s="8" t="s">
        <v>26</v>
      </c>
      <c r="I871" s="8" t="s">
        <v>2267</v>
      </c>
      <c r="J871" s="8" t="s">
        <v>80</v>
      </c>
      <c r="K871" s="8" t="s">
        <v>28</v>
      </c>
      <c r="L871" s="8" t="s">
        <v>56</v>
      </c>
      <c r="M871" s="8" t="s">
        <v>64</v>
      </c>
      <c r="N871" s="11">
        <v>42750</v>
      </c>
      <c r="O871" s="11">
        <v>45252</v>
      </c>
      <c r="P871" s="12">
        <v>85.6</v>
      </c>
      <c r="Q871" s="9">
        <v>6</v>
      </c>
      <c r="R871" s="13">
        <v>28</v>
      </c>
      <c r="S871" s="13">
        <v>4</v>
      </c>
      <c r="T871" s="9">
        <v>11</v>
      </c>
      <c r="U871" s="13">
        <v>90</v>
      </c>
      <c r="V871" s="8" t="s">
        <v>31</v>
      </c>
      <c r="W871" s="8"/>
      <c r="X871" s="22">
        <f>IF(V871="Yes",1,0)</f>
        <v>0</v>
      </c>
      <c r="Y871" s="22">
        <f>IF(H871="Active",0,1)</f>
        <v>0</v>
      </c>
    </row>
    <row r="872" spans="1:25" ht="18" customHeight="1" x14ac:dyDescent="0.35">
      <c r="A872" s="14" t="s">
        <v>1828</v>
      </c>
      <c r="B872" s="14" t="s">
        <v>108</v>
      </c>
      <c r="C872" s="14" t="s">
        <v>25</v>
      </c>
      <c r="D872" s="15">
        <v>49</v>
      </c>
      <c r="E872" s="14" t="s">
        <v>2303</v>
      </c>
      <c r="F872" s="14" t="s">
        <v>43</v>
      </c>
      <c r="G872" s="16">
        <v>45703</v>
      </c>
      <c r="H872" s="14" t="s">
        <v>26</v>
      </c>
      <c r="I872" s="14" t="s">
        <v>27</v>
      </c>
      <c r="J872" s="14" t="s">
        <v>80</v>
      </c>
      <c r="K872" s="14" t="s">
        <v>2271</v>
      </c>
      <c r="L872" s="14" t="s">
        <v>116</v>
      </c>
      <c r="M872" s="14" t="s">
        <v>39</v>
      </c>
      <c r="N872" s="17">
        <v>84329</v>
      </c>
      <c r="O872" s="17">
        <v>8487</v>
      </c>
      <c r="P872" s="18">
        <v>86</v>
      </c>
      <c r="Q872" s="15">
        <v>5</v>
      </c>
      <c r="R872" s="19">
        <v>21</v>
      </c>
      <c r="S872" s="19">
        <v>4</v>
      </c>
      <c r="T872" s="15">
        <v>25</v>
      </c>
      <c r="U872" s="19">
        <v>79</v>
      </c>
      <c r="V872" s="14" t="s">
        <v>31</v>
      </c>
      <c r="W872" s="14"/>
      <c r="X872" s="14">
        <f>IF(V872="Yes",1,0)</f>
        <v>0</v>
      </c>
      <c r="Y872" s="14">
        <f>IF(H872="Active",0,1)</f>
        <v>0</v>
      </c>
    </row>
    <row r="873" spans="1:25" ht="18" customHeight="1" x14ac:dyDescent="0.35">
      <c r="A873" s="8" t="s">
        <v>753</v>
      </c>
      <c r="B873" s="8" t="s">
        <v>314</v>
      </c>
      <c r="C873" s="8" t="s">
        <v>25</v>
      </c>
      <c r="D873" s="9">
        <v>25</v>
      </c>
      <c r="E873" s="8" t="s">
        <v>2303</v>
      </c>
      <c r="F873" s="8" t="s">
        <v>79</v>
      </c>
      <c r="G873" s="10">
        <v>45702</v>
      </c>
      <c r="H873" s="8" t="s">
        <v>26</v>
      </c>
      <c r="I873" s="8" t="s">
        <v>2267</v>
      </c>
      <c r="J873" s="8" t="s">
        <v>2268</v>
      </c>
      <c r="K873" s="8" t="s">
        <v>2271</v>
      </c>
      <c r="L873" s="8" t="s">
        <v>87</v>
      </c>
      <c r="M873" s="8" t="s">
        <v>30</v>
      </c>
      <c r="N873" s="11">
        <v>179239</v>
      </c>
      <c r="O873" s="11">
        <v>20961</v>
      </c>
      <c r="P873" s="12">
        <v>99.1</v>
      </c>
      <c r="Q873" s="9">
        <v>10</v>
      </c>
      <c r="R873" s="13">
        <v>19</v>
      </c>
      <c r="S873" s="13">
        <v>2</v>
      </c>
      <c r="T873" s="9">
        <v>35</v>
      </c>
      <c r="U873" s="13">
        <v>84</v>
      </c>
      <c r="V873" s="8" t="s">
        <v>31</v>
      </c>
      <c r="W873" s="8"/>
      <c r="X873" s="22">
        <f>IF(V873="Yes",1,0)</f>
        <v>0</v>
      </c>
      <c r="Y873" s="22">
        <f>IF(H873="Active",0,1)</f>
        <v>0</v>
      </c>
    </row>
    <row r="874" spans="1:25" ht="18" customHeight="1" x14ac:dyDescent="0.35">
      <c r="A874" s="8" t="s">
        <v>2181</v>
      </c>
      <c r="B874" s="8" t="s">
        <v>193</v>
      </c>
      <c r="C874" s="8" t="s">
        <v>25</v>
      </c>
      <c r="D874" s="9">
        <v>53</v>
      </c>
      <c r="E874" s="8" t="s">
        <v>42</v>
      </c>
      <c r="F874" s="8" t="s">
        <v>35</v>
      </c>
      <c r="G874" s="10">
        <v>45702</v>
      </c>
      <c r="H874" s="8" t="s">
        <v>26</v>
      </c>
      <c r="I874" s="8" t="s">
        <v>27</v>
      </c>
      <c r="J874" s="8" t="s">
        <v>2270</v>
      </c>
      <c r="K874" s="8" t="s">
        <v>55</v>
      </c>
      <c r="L874" s="8" t="s">
        <v>29</v>
      </c>
      <c r="M874" s="8" t="s">
        <v>39</v>
      </c>
      <c r="N874" s="11">
        <v>42119</v>
      </c>
      <c r="O874" s="11">
        <v>15900</v>
      </c>
      <c r="P874" s="12">
        <v>95</v>
      </c>
      <c r="Q874" s="9">
        <v>3</v>
      </c>
      <c r="R874" s="13">
        <v>19</v>
      </c>
      <c r="S874" s="13">
        <v>3</v>
      </c>
      <c r="T874" s="9">
        <v>13</v>
      </c>
      <c r="U874" s="13">
        <v>73</v>
      </c>
      <c r="V874" s="8" t="s">
        <v>31</v>
      </c>
      <c r="W874" s="8"/>
      <c r="X874" s="22">
        <f>IF(V874="Yes",1,0)</f>
        <v>0</v>
      </c>
      <c r="Y874" s="22">
        <f>IF(H874="Active",0,1)</f>
        <v>0</v>
      </c>
    </row>
    <row r="875" spans="1:25" ht="18" customHeight="1" x14ac:dyDescent="0.35">
      <c r="A875" s="14" t="s">
        <v>854</v>
      </c>
      <c r="B875" s="14" t="s">
        <v>559</v>
      </c>
      <c r="C875" s="14" t="s">
        <v>34</v>
      </c>
      <c r="D875" s="15">
        <v>45</v>
      </c>
      <c r="E875" s="14" t="s">
        <v>42</v>
      </c>
      <c r="F875" s="14" t="s">
        <v>76</v>
      </c>
      <c r="G875" s="16">
        <v>45701</v>
      </c>
      <c r="H875" s="14" t="s">
        <v>26</v>
      </c>
      <c r="I875" s="14" t="s">
        <v>27</v>
      </c>
      <c r="J875" s="14" t="s">
        <v>2270</v>
      </c>
      <c r="K875" s="14" t="s">
        <v>28</v>
      </c>
      <c r="L875" s="14" t="s">
        <v>44</v>
      </c>
      <c r="M875" s="14" t="s">
        <v>39</v>
      </c>
      <c r="N875" s="17">
        <v>80354</v>
      </c>
      <c r="O875" s="17">
        <v>31997</v>
      </c>
      <c r="P875" s="18">
        <v>98.7</v>
      </c>
      <c r="Q875" s="15">
        <v>0</v>
      </c>
      <c r="R875" s="19">
        <v>24</v>
      </c>
      <c r="S875" s="19">
        <v>2</v>
      </c>
      <c r="T875" s="15">
        <v>14</v>
      </c>
      <c r="U875" s="19">
        <v>94</v>
      </c>
      <c r="V875" s="14" t="s">
        <v>31</v>
      </c>
      <c r="W875" s="14"/>
      <c r="X875" s="14">
        <f>IF(V875="Yes",1,0)</f>
        <v>0</v>
      </c>
      <c r="Y875" s="14">
        <f>IF(H875="Active",0,1)</f>
        <v>0</v>
      </c>
    </row>
    <row r="876" spans="1:25" ht="18" customHeight="1" x14ac:dyDescent="0.35">
      <c r="A876" s="14" t="s">
        <v>1882</v>
      </c>
      <c r="B876" s="14" t="s">
        <v>203</v>
      </c>
      <c r="C876" s="14" t="s">
        <v>34</v>
      </c>
      <c r="D876" s="15">
        <v>21</v>
      </c>
      <c r="E876" s="14" t="s">
        <v>67</v>
      </c>
      <c r="F876" s="14" t="s">
        <v>79</v>
      </c>
      <c r="G876" s="16">
        <v>45701</v>
      </c>
      <c r="H876" s="14" t="s">
        <v>26</v>
      </c>
      <c r="I876" s="14" t="s">
        <v>36</v>
      </c>
      <c r="J876" s="14" t="s">
        <v>2268</v>
      </c>
      <c r="K876" s="14" t="s">
        <v>73</v>
      </c>
      <c r="L876" s="14" t="s">
        <v>116</v>
      </c>
      <c r="M876" s="14" t="s">
        <v>64</v>
      </c>
      <c r="N876" s="17">
        <v>86413</v>
      </c>
      <c r="O876" s="17">
        <v>18833</v>
      </c>
      <c r="P876" s="18">
        <v>97.2</v>
      </c>
      <c r="Q876" s="15">
        <v>7</v>
      </c>
      <c r="R876" s="19">
        <v>24</v>
      </c>
      <c r="S876" s="19">
        <v>2</v>
      </c>
      <c r="T876" s="15">
        <v>17</v>
      </c>
      <c r="U876" s="19">
        <v>97</v>
      </c>
      <c r="V876" s="14" t="s">
        <v>31</v>
      </c>
      <c r="W876" s="14"/>
      <c r="X876" s="14">
        <f>IF(V876="Yes",1,0)</f>
        <v>0</v>
      </c>
      <c r="Y876" s="14">
        <f>IF(H876="Active",0,1)</f>
        <v>0</v>
      </c>
    </row>
    <row r="877" spans="1:25" ht="18" customHeight="1" x14ac:dyDescent="0.35">
      <c r="A877" s="14" t="s">
        <v>2182</v>
      </c>
      <c r="B877" s="14" t="s">
        <v>195</v>
      </c>
      <c r="C877" s="14" t="s">
        <v>25</v>
      </c>
      <c r="D877" s="15">
        <v>26</v>
      </c>
      <c r="E877" s="14" t="s">
        <v>86</v>
      </c>
      <c r="F877" s="14" t="s">
        <v>43</v>
      </c>
      <c r="G877" s="16">
        <v>45701</v>
      </c>
      <c r="H877" s="14" t="s">
        <v>26</v>
      </c>
      <c r="I877" s="14" t="s">
        <v>27</v>
      </c>
      <c r="J877" s="14" t="s">
        <v>80</v>
      </c>
      <c r="K877" s="14" t="s">
        <v>37</v>
      </c>
      <c r="L877" s="14" t="s">
        <v>56</v>
      </c>
      <c r="M877" s="14" t="s">
        <v>60</v>
      </c>
      <c r="N877" s="17">
        <v>86058</v>
      </c>
      <c r="O877" s="17">
        <v>15121</v>
      </c>
      <c r="P877" s="18">
        <v>86.7</v>
      </c>
      <c r="Q877" s="15">
        <v>2</v>
      </c>
      <c r="R877" s="19">
        <v>19</v>
      </c>
      <c r="S877" s="19">
        <v>4</v>
      </c>
      <c r="T877" s="15">
        <v>0</v>
      </c>
      <c r="U877" s="19">
        <v>90</v>
      </c>
      <c r="V877" s="14" t="s">
        <v>31</v>
      </c>
      <c r="W877" s="14"/>
      <c r="X877" s="14">
        <f>IF(V877="Yes",1,0)</f>
        <v>0</v>
      </c>
      <c r="Y877" s="14">
        <f>IF(H877="Active",0,1)</f>
        <v>0</v>
      </c>
    </row>
    <row r="878" spans="1:25" ht="18" customHeight="1" x14ac:dyDescent="0.35">
      <c r="A878" s="8" t="s">
        <v>662</v>
      </c>
      <c r="B878" s="8" t="s">
        <v>302</v>
      </c>
      <c r="C878" s="8" t="s">
        <v>25</v>
      </c>
      <c r="D878" s="9">
        <v>34</v>
      </c>
      <c r="E878" s="8" t="s">
        <v>42</v>
      </c>
      <c r="F878" s="8" t="s">
        <v>43</v>
      </c>
      <c r="G878" s="10">
        <v>45700</v>
      </c>
      <c r="H878" s="8" t="s">
        <v>26</v>
      </c>
      <c r="I878" s="8" t="s">
        <v>2267</v>
      </c>
      <c r="J878" s="8" t="s">
        <v>48</v>
      </c>
      <c r="K878" s="8" t="s">
        <v>73</v>
      </c>
      <c r="L878" s="8" t="s">
        <v>56</v>
      </c>
      <c r="M878" s="8" t="s">
        <v>60</v>
      </c>
      <c r="N878" s="11">
        <v>240447</v>
      </c>
      <c r="O878" s="11">
        <v>28059</v>
      </c>
      <c r="P878" s="12">
        <v>83.4</v>
      </c>
      <c r="Q878" s="9">
        <v>10</v>
      </c>
      <c r="R878" s="13">
        <v>9</v>
      </c>
      <c r="S878" s="13">
        <v>3</v>
      </c>
      <c r="T878" s="9">
        <v>26</v>
      </c>
      <c r="U878" s="13">
        <v>78</v>
      </c>
      <c r="V878" s="8" t="s">
        <v>31</v>
      </c>
      <c r="W878" s="8"/>
      <c r="X878" s="22">
        <f>IF(V878="Yes",1,0)</f>
        <v>0</v>
      </c>
      <c r="Y878" s="22">
        <f>IF(H878="Active",0,1)</f>
        <v>0</v>
      </c>
    </row>
    <row r="879" spans="1:25" ht="18" customHeight="1" x14ac:dyDescent="0.35">
      <c r="A879" s="14" t="s">
        <v>2138</v>
      </c>
      <c r="B879" s="14" t="s">
        <v>714</v>
      </c>
      <c r="C879" s="14" t="s">
        <v>25</v>
      </c>
      <c r="D879" s="15">
        <v>25</v>
      </c>
      <c r="E879" s="14" t="s">
        <v>42</v>
      </c>
      <c r="F879" s="14" t="s">
        <v>90</v>
      </c>
      <c r="G879" s="16">
        <v>45700</v>
      </c>
      <c r="H879" s="14" t="s">
        <v>26</v>
      </c>
      <c r="I879" s="14" t="s">
        <v>2267</v>
      </c>
      <c r="J879" s="14" t="s">
        <v>2268</v>
      </c>
      <c r="K879" s="14" t="s">
        <v>28</v>
      </c>
      <c r="L879" s="14" t="s">
        <v>68</v>
      </c>
      <c r="M879" s="14" t="s">
        <v>39</v>
      </c>
      <c r="N879" s="17">
        <v>197451</v>
      </c>
      <c r="O879" s="17">
        <v>39332</v>
      </c>
      <c r="P879" s="18">
        <v>97.6</v>
      </c>
      <c r="Q879" s="15">
        <v>5</v>
      </c>
      <c r="R879" s="19">
        <v>19</v>
      </c>
      <c r="S879" s="19">
        <v>3</v>
      </c>
      <c r="T879" s="15">
        <v>10</v>
      </c>
      <c r="U879" s="19">
        <v>77</v>
      </c>
      <c r="V879" s="14" t="s">
        <v>69</v>
      </c>
      <c r="W879" s="14"/>
      <c r="X879" s="14">
        <f>IF(V879="Yes",1,0)</f>
        <v>1</v>
      </c>
      <c r="Y879" s="14">
        <f>IF(H879="Active",0,1)</f>
        <v>0</v>
      </c>
    </row>
    <row r="880" spans="1:25" ht="18" customHeight="1" x14ac:dyDescent="0.35">
      <c r="A880" s="8" t="s">
        <v>958</v>
      </c>
      <c r="B880" s="8" t="s">
        <v>362</v>
      </c>
      <c r="C880" s="8" t="s">
        <v>25</v>
      </c>
      <c r="D880" s="9">
        <v>48</v>
      </c>
      <c r="E880" s="8" t="s">
        <v>109</v>
      </c>
      <c r="F880" s="8" t="s">
        <v>79</v>
      </c>
      <c r="G880" s="10">
        <v>45699</v>
      </c>
      <c r="H880" s="8" t="s">
        <v>26</v>
      </c>
      <c r="I880" s="8" t="s">
        <v>2267</v>
      </c>
      <c r="J880" s="8" t="s">
        <v>48</v>
      </c>
      <c r="K880" s="8" t="s">
        <v>2271</v>
      </c>
      <c r="L880" s="8" t="s">
        <v>49</v>
      </c>
      <c r="M880" s="8" t="s">
        <v>60</v>
      </c>
      <c r="N880" s="11">
        <v>98606</v>
      </c>
      <c r="O880" s="11">
        <v>13287</v>
      </c>
      <c r="P880" s="12">
        <v>85.9</v>
      </c>
      <c r="Q880" s="9">
        <v>9</v>
      </c>
      <c r="R880" s="13">
        <v>30</v>
      </c>
      <c r="S880" s="13">
        <v>2</v>
      </c>
      <c r="T880" s="9">
        <v>19</v>
      </c>
      <c r="U880" s="13">
        <v>100</v>
      </c>
      <c r="V880" s="8" t="s">
        <v>31</v>
      </c>
      <c r="W880" s="8"/>
      <c r="X880" s="22">
        <f>IF(V880="Yes",1,0)</f>
        <v>0</v>
      </c>
      <c r="Y880" s="22">
        <f>IF(H880="Active",0,1)</f>
        <v>0</v>
      </c>
    </row>
    <row r="881" spans="1:25" ht="18" customHeight="1" x14ac:dyDescent="0.35">
      <c r="A881" s="8" t="s">
        <v>610</v>
      </c>
      <c r="B881" s="8" t="s">
        <v>254</v>
      </c>
      <c r="C881" s="8" t="s">
        <v>34</v>
      </c>
      <c r="D881" s="9">
        <v>22</v>
      </c>
      <c r="E881" s="8" t="s">
        <v>109</v>
      </c>
      <c r="F881" s="8" t="s">
        <v>53</v>
      </c>
      <c r="G881" s="10">
        <v>45698</v>
      </c>
      <c r="H881" s="8" t="s">
        <v>26</v>
      </c>
      <c r="I881" s="8" t="s">
        <v>27</v>
      </c>
      <c r="J881" s="8" t="s">
        <v>2268</v>
      </c>
      <c r="K881" s="8" t="s">
        <v>2271</v>
      </c>
      <c r="L881" s="8" t="s">
        <v>49</v>
      </c>
      <c r="M881" s="8" t="s">
        <v>60</v>
      </c>
      <c r="N881" s="11">
        <v>144536</v>
      </c>
      <c r="O881" s="11">
        <v>47441</v>
      </c>
      <c r="P881" s="12">
        <v>97.9</v>
      </c>
      <c r="Q881" s="9">
        <v>8</v>
      </c>
      <c r="R881" s="13">
        <v>8</v>
      </c>
      <c r="S881" s="13">
        <v>2</v>
      </c>
      <c r="T881" s="9">
        <v>7</v>
      </c>
      <c r="U881" s="13">
        <v>73</v>
      </c>
      <c r="V881" s="8" t="s">
        <v>69</v>
      </c>
      <c r="W881" s="8"/>
      <c r="X881" s="22">
        <f>IF(V881="Yes",1,0)</f>
        <v>1</v>
      </c>
      <c r="Y881" s="22">
        <f>IF(H881="Active",0,1)</f>
        <v>0</v>
      </c>
    </row>
    <row r="882" spans="1:25" ht="18" customHeight="1" x14ac:dyDescent="0.35">
      <c r="A882" s="14" t="s">
        <v>1038</v>
      </c>
      <c r="B882" s="14" t="s">
        <v>386</v>
      </c>
      <c r="C882" s="14" t="s">
        <v>25</v>
      </c>
      <c r="D882" s="15">
        <v>24</v>
      </c>
      <c r="E882" s="14" t="s">
        <v>63</v>
      </c>
      <c r="F882" s="14" t="s">
        <v>35</v>
      </c>
      <c r="G882" s="16">
        <v>45698</v>
      </c>
      <c r="H882" s="14" t="s">
        <v>26</v>
      </c>
      <c r="I882" s="14" t="s">
        <v>27</v>
      </c>
      <c r="J882" s="14" t="s">
        <v>2269</v>
      </c>
      <c r="K882" s="14" t="s">
        <v>28</v>
      </c>
      <c r="L882" s="14" t="s">
        <v>38</v>
      </c>
      <c r="M882" s="14" t="s">
        <v>30</v>
      </c>
      <c r="N882" s="17">
        <v>192813</v>
      </c>
      <c r="O882" s="17">
        <v>14846</v>
      </c>
      <c r="P882" s="18">
        <v>90.9</v>
      </c>
      <c r="Q882" s="15">
        <v>3</v>
      </c>
      <c r="R882" s="19">
        <v>27</v>
      </c>
      <c r="S882" s="19">
        <v>1</v>
      </c>
      <c r="T882" s="15">
        <v>25</v>
      </c>
      <c r="U882" s="19">
        <v>76</v>
      </c>
      <c r="V882" s="14" t="s">
        <v>69</v>
      </c>
      <c r="W882" s="14"/>
      <c r="X882" s="14">
        <f>IF(V882="Yes",1,0)</f>
        <v>1</v>
      </c>
      <c r="Y882" s="14">
        <f>IF(H882="Active",0,1)</f>
        <v>0</v>
      </c>
    </row>
    <row r="883" spans="1:25" ht="18" customHeight="1" x14ac:dyDescent="0.35">
      <c r="A883" s="14" t="s">
        <v>2062</v>
      </c>
      <c r="B883" s="14" t="s">
        <v>297</v>
      </c>
      <c r="C883" s="14" t="s">
        <v>34</v>
      </c>
      <c r="D883" s="15">
        <v>60</v>
      </c>
      <c r="E883" s="14" t="s">
        <v>42</v>
      </c>
      <c r="F883" s="14" t="s">
        <v>35</v>
      </c>
      <c r="G883" s="16">
        <v>45698</v>
      </c>
      <c r="H883" s="14" t="s">
        <v>26</v>
      </c>
      <c r="I883" s="14" t="s">
        <v>36</v>
      </c>
      <c r="J883" s="14" t="s">
        <v>48</v>
      </c>
      <c r="K883" s="14" t="s">
        <v>2271</v>
      </c>
      <c r="L883" s="14" t="s">
        <v>56</v>
      </c>
      <c r="M883" s="14" t="s">
        <v>39</v>
      </c>
      <c r="N883" s="17">
        <v>57532</v>
      </c>
      <c r="O883" s="17">
        <v>46853</v>
      </c>
      <c r="P883" s="18">
        <v>91.1</v>
      </c>
      <c r="Q883" s="15">
        <v>0</v>
      </c>
      <c r="R883" s="19">
        <v>1</v>
      </c>
      <c r="S883" s="19">
        <v>5</v>
      </c>
      <c r="T883" s="15">
        <v>9</v>
      </c>
      <c r="U883" s="19">
        <v>93</v>
      </c>
      <c r="V883" s="14" t="s">
        <v>31</v>
      </c>
      <c r="W883" s="14"/>
      <c r="X883" s="14">
        <f>IF(V883="Yes",1,0)</f>
        <v>0</v>
      </c>
      <c r="Y883" s="14">
        <f>IF(H883="Active",0,1)</f>
        <v>0</v>
      </c>
    </row>
    <row r="884" spans="1:25" ht="18" customHeight="1" x14ac:dyDescent="0.35">
      <c r="A884" s="8" t="s">
        <v>1705</v>
      </c>
      <c r="B884" s="8" t="s">
        <v>234</v>
      </c>
      <c r="C884" s="8" t="s">
        <v>25</v>
      </c>
      <c r="D884" s="9">
        <v>44</v>
      </c>
      <c r="E884" s="8" t="s">
        <v>67</v>
      </c>
      <c r="F884" s="8" t="s">
        <v>76</v>
      </c>
      <c r="G884" s="10">
        <v>45697</v>
      </c>
      <c r="H884" s="8" t="s">
        <v>26</v>
      </c>
      <c r="I884" s="8" t="s">
        <v>2267</v>
      </c>
      <c r="J884" s="8" t="s">
        <v>48</v>
      </c>
      <c r="K884" s="8" t="s">
        <v>37</v>
      </c>
      <c r="L884" s="8" t="s">
        <v>38</v>
      </c>
      <c r="M884" s="8" t="s">
        <v>39</v>
      </c>
      <c r="N884" s="11">
        <v>212997</v>
      </c>
      <c r="O884" s="11">
        <v>22693</v>
      </c>
      <c r="P884" s="12">
        <v>99.6</v>
      </c>
      <c r="Q884" s="9">
        <v>0</v>
      </c>
      <c r="R884" s="13">
        <v>15</v>
      </c>
      <c r="S884" s="13">
        <v>2</v>
      </c>
      <c r="T884" s="9">
        <v>24</v>
      </c>
      <c r="U884" s="13">
        <v>82</v>
      </c>
      <c r="V884" s="8" t="s">
        <v>31</v>
      </c>
      <c r="W884" s="8"/>
      <c r="X884" s="22">
        <f>IF(V884="Yes",1,0)</f>
        <v>0</v>
      </c>
      <c r="Y884" s="22">
        <f>IF(H884="Active",0,1)</f>
        <v>0</v>
      </c>
    </row>
    <row r="885" spans="1:25" ht="18" customHeight="1" x14ac:dyDescent="0.35">
      <c r="A885" s="8" t="s">
        <v>1695</v>
      </c>
      <c r="B885" s="8" t="s">
        <v>619</v>
      </c>
      <c r="C885" s="8" t="s">
        <v>25</v>
      </c>
      <c r="D885" s="9">
        <v>23</v>
      </c>
      <c r="E885" s="8" t="s">
        <v>93</v>
      </c>
      <c r="F885" s="8" t="s">
        <v>35</v>
      </c>
      <c r="G885" s="10">
        <v>45696</v>
      </c>
      <c r="H885" s="8" t="s">
        <v>54</v>
      </c>
      <c r="I885" s="8" t="s">
        <v>27</v>
      </c>
      <c r="J885" s="8" t="s">
        <v>80</v>
      </c>
      <c r="K885" s="8" t="s">
        <v>2271</v>
      </c>
      <c r="L885" s="8" t="s">
        <v>87</v>
      </c>
      <c r="M885" s="8" t="s">
        <v>45</v>
      </c>
      <c r="N885" s="11">
        <v>248484</v>
      </c>
      <c r="O885" s="11">
        <v>47047</v>
      </c>
      <c r="P885" s="12">
        <v>98.3</v>
      </c>
      <c r="Q885" s="9">
        <v>0</v>
      </c>
      <c r="R885" s="13">
        <v>9</v>
      </c>
      <c r="S885" s="13">
        <v>4</v>
      </c>
      <c r="T885" s="9">
        <v>6</v>
      </c>
      <c r="U885" s="13">
        <v>87</v>
      </c>
      <c r="V885" s="8" t="s">
        <v>31</v>
      </c>
      <c r="W885" s="8" t="s">
        <v>205</v>
      </c>
      <c r="X885" s="22">
        <f>IF(V885="Yes",1,0)</f>
        <v>0</v>
      </c>
      <c r="Y885" s="22">
        <f>IF(H885="Active",0,1)</f>
        <v>1</v>
      </c>
    </row>
    <row r="886" spans="1:25" ht="18" customHeight="1" x14ac:dyDescent="0.35">
      <c r="A886" s="8" t="s">
        <v>2009</v>
      </c>
      <c r="B886" s="8" t="s">
        <v>548</v>
      </c>
      <c r="C886" s="8" t="s">
        <v>25</v>
      </c>
      <c r="D886" s="9">
        <v>54</v>
      </c>
      <c r="E886" s="8" t="s">
        <v>2304</v>
      </c>
      <c r="F886" s="8" t="s">
        <v>76</v>
      </c>
      <c r="G886" s="10">
        <v>45696</v>
      </c>
      <c r="H886" s="8" t="s">
        <v>26</v>
      </c>
      <c r="I886" s="8" t="s">
        <v>2267</v>
      </c>
      <c r="J886" s="8" t="s">
        <v>2269</v>
      </c>
      <c r="K886" s="8" t="s">
        <v>37</v>
      </c>
      <c r="L886" s="8" t="s">
        <v>29</v>
      </c>
      <c r="M886" s="8" t="s">
        <v>45</v>
      </c>
      <c r="N886" s="11">
        <v>62918</v>
      </c>
      <c r="O886" s="11">
        <v>27746</v>
      </c>
      <c r="P886" s="12">
        <v>98.6</v>
      </c>
      <c r="Q886" s="9">
        <v>3</v>
      </c>
      <c r="R886" s="13">
        <v>25</v>
      </c>
      <c r="S886" s="13">
        <v>2</v>
      </c>
      <c r="T886" s="9">
        <v>33</v>
      </c>
      <c r="U886" s="13">
        <v>63</v>
      </c>
      <c r="V886" s="8" t="s">
        <v>31</v>
      </c>
      <c r="W886" s="8"/>
      <c r="X886" s="22">
        <f>IF(V886="Yes",1,0)</f>
        <v>0</v>
      </c>
      <c r="Y886" s="22">
        <f>IF(H886="Active",0,1)</f>
        <v>0</v>
      </c>
    </row>
    <row r="887" spans="1:25" ht="18" customHeight="1" x14ac:dyDescent="0.35">
      <c r="A887" s="14" t="s">
        <v>2068</v>
      </c>
      <c r="B887" s="14" t="s">
        <v>173</v>
      </c>
      <c r="C887" s="14" t="s">
        <v>25</v>
      </c>
      <c r="D887" s="15">
        <v>49</v>
      </c>
      <c r="E887" s="14" t="s">
        <v>67</v>
      </c>
      <c r="F887" s="14" t="s">
        <v>53</v>
      </c>
      <c r="G887" s="16">
        <v>45696</v>
      </c>
      <c r="H887" s="14" t="s">
        <v>26</v>
      </c>
      <c r="I887" s="14" t="s">
        <v>2267</v>
      </c>
      <c r="J887" s="14" t="s">
        <v>80</v>
      </c>
      <c r="K887" s="14" t="s">
        <v>37</v>
      </c>
      <c r="L887" s="14" t="s">
        <v>44</v>
      </c>
      <c r="M887" s="14" t="s">
        <v>64</v>
      </c>
      <c r="N887" s="17">
        <v>65365</v>
      </c>
      <c r="O887" s="17">
        <v>28362</v>
      </c>
      <c r="P887" s="18">
        <v>82.7</v>
      </c>
      <c r="Q887" s="15">
        <v>9</v>
      </c>
      <c r="R887" s="19">
        <v>6</v>
      </c>
      <c r="S887" s="19">
        <v>4</v>
      </c>
      <c r="T887" s="15">
        <v>27</v>
      </c>
      <c r="U887" s="19">
        <v>81</v>
      </c>
      <c r="V887" s="14" t="s">
        <v>31</v>
      </c>
      <c r="W887" s="14"/>
      <c r="X887" s="14">
        <f>IF(V887="Yes",1,0)</f>
        <v>0</v>
      </c>
      <c r="Y887" s="14">
        <f>IF(H887="Active",0,1)</f>
        <v>0</v>
      </c>
    </row>
    <row r="888" spans="1:25" ht="18" customHeight="1" x14ac:dyDescent="0.35">
      <c r="A888" s="14" t="s">
        <v>202</v>
      </c>
      <c r="B888" s="14" t="s">
        <v>203</v>
      </c>
      <c r="C888" s="14" t="s">
        <v>25</v>
      </c>
      <c r="D888" s="15">
        <v>22</v>
      </c>
      <c r="E888" s="14" t="s">
        <v>2303</v>
      </c>
      <c r="F888" s="14" t="s">
        <v>79</v>
      </c>
      <c r="G888" s="16">
        <v>45695</v>
      </c>
      <c r="H888" s="14" t="s">
        <v>26</v>
      </c>
      <c r="I888" s="14" t="s">
        <v>27</v>
      </c>
      <c r="J888" s="14" t="s">
        <v>2268</v>
      </c>
      <c r="K888" s="14" t="s">
        <v>55</v>
      </c>
      <c r="L888" s="14" t="s">
        <v>87</v>
      </c>
      <c r="M888" s="14" t="s">
        <v>45</v>
      </c>
      <c r="N888" s="17">
        <v>60117</v>
      </c>
      <c r="O888" s="17">
        <v>33137</v>
      </c>
      <c r="P888" s="18">
        <v>88.9</v>
      </c>
      <c r="Q888" s="15">
        <v>4</v>
      </c>
      <c r="R888" s="19">
        <v>7</v>
      </c>
      <c r="S888" s="19">
        <v>1</v>
      </c>
      <c r="T888" s="15">
        <v>8</v>
      </c>
      <c r="U888" s="19">
        <v>60</v>
      </c>
      <c r="V888" s="14" t="s">
        <v>31</v>
      </c>
      <c r="W888" s="14"/>
      <c r="X888" s="14">
        <f>IF(V888="Yes",1,0)</f>
        <v>0</v>
      </c>
      <c r="Y888" s="14">
        <f>IF(H888="Active",0,1)</f>
        <v>0</v>
      </c>
    </row>
    <row r="889" spans="1:25" ht="18" customHeight="1" x14ac:dyDescent="0.35">
      <c r="A889" s="8" t="s">
        <v>1787</v>
      </c>
      <c r="B889" s="8" t="s">
        <v>75</v>
      </c>
      <c r="C889" s="8" t="s">
        <v>34</v>
      </c>
      <c r="D889" s="9">
        <v>40</v>
      </c>
      <c r="E889" s="8" t="s">
        <v>86</v>
      </c>
      <c r="F889" s="8" t="s">
        <v>76</v>
      </c>
      <c r="G889" s="10">
        <v>45695</v>
      </c>
      <c r="H889" s="8" t="s">
        <v>26</v>
      </c>
      <c r="I889" s="8" t="s">
        <v>2267</v>
      </c>
      <c r="J889" s="8" t="s">
        <v>2270</v>
      </c>
      <c r="K889" s="8" t="s">
        <v>55</v>
      </c>
      <c r="L889" s="8" t="s">
        <v>29</v>
      </c>
      <c r="M889" s="8" t="s">
        <v>60</v>
      </c>
      <c r="N889" s="11">
        <v>192663</v>
      </c>
      <c r="O889" s="11">
        <v>17292</v>
      </c>
      <c r="P889" s="12">
        <v>84</v>
      </c>
      <c r="Q889" s="9">
        <v>8</v>
      </c>
      <c r="R889" s="13">
        <v>9</v>
      </c>
      <c r="S889" s="13">
        <v>3</v>
      </c>
      <c r="T889" s="9">
        <v>5</v>
      </c>
      <c r="U889" s="13">
        <v>100</v>
      </c>
      <c r="V889" s="8" t="s">
        <v>31</v>
      </c>
      <c r="W889" s="8"/>
      <c r="X889" s="22">
        <f>IF(V889="Yes",1,0)</f>
        <v>0</v>
      </c>
      <c r="Y889" s="22">
        <f>IF(H889="Active",0,1)</f>
        <v>0</v>
      </c>
    </row>
    <row r="890" spans="1:25" ht="18" customHeight="1" x14ac:dyDescent="0.35">
      <c r="A890" s="8" t="s">
        <v>2023</v>
      </c>
      <c r="B890" s="8" t="s">
        <v>464</v>
      </c>
      <c r="C890" s="8" t="s">
        <v>34</v>
      </c>
      <c r="D890" s="9">
        <v>37</v>
      </c>
      <c r="E890" s="8" t="s">
        <v>42</v>
      </c>
      <c r="F890" s="8" t="s">
        <v>90</v>
      </c>
      <c r="G890" s="10">
        <v>45695</v>
      </c>
      <c r="H890" s="8" t="s">
        <v>26</v>
      </c>
      <c r="I890" s="8" t="s">
        <v>36</v>
      </c>
      <c r="J890" s="8" t="s">
        <v>2270</v>
      </c>
      <c r="K890" s="8" t="s">
        <v>55</v>
      </c>
      <c r="L890" s="8" t="s">
        <v>56</v>
      </c>
      <c r="M890" s="8" t="s">
        <v>64</v>
      </c>
      <c r="N890" s="11">
        <v>78525</v>
      </c>
      <c r="O890" s="11">
        <v>11011</v>
      </c>
      <c r="P890" s="12">
        <v>87.7</v>
      </c>
      <c r="Q890" s="9">
        <v>1</v>
      </c>
      <c r="R890" s="13">
        <v>16</v>
      </c>
      <c r="S890" s="13">
        <v>4</v>
      </c>
      <c r="T890" s="9">
        <v>19</v>
      </c>
      <c r="U890" s="13">
        <v>89</v>
      </c>
      <c r="V890" s="8" t="s">
        <v>31</v>
      </c>
      <c r="W890" s="8"/>
      <c r="X890" s="22">
        <f>IF(V890="Yes",1,0)</f>
        <v>0</v>
      </c>
      <c r="Y890" s="22">
        <f>IF(H890="Active",0,1)</f>
        <v>0</v>
      </c>
    </row>
    <row r="891" spans="1:25" ht="18" customHeight="1" x14ac:dyDescent="0.35">
      <c r="A891" s="8" t="s">
        <v>275</v>
      </c>
      <c r="B891" s="8" t="s">
        <v>263</v>
      </c>
      <c r="C891" s="8" t="s">
        <v>34</v>
      </c>
      <c r="D891" s="9">
        <v>44</v>
      </c>
      <c r="E891" s="8" t="s">
        <v>2303</v>
      </c>
      <c r="F891" s="8" t="s">
        <v>53</v>
      </c>
      <c r="G891" s="10">
        <v>45694</v>
      </c>
      <c r="H891" s="8" t="s">
        <v>26</v>
      </c>
      <c r="I891" s="8" t="s">
        <v>36</v>
      </c>
      <c r="J891" s="8" t="s">
        <v>48</v>
      </c>
      <c r="K891" s="8" t="s">
        <v>28</v>
      </c>
      <c r="L891" s="8" t="s">
        <v>116</v>
      </c>
      <c r="M891" s="8" t="s">
        <v>60</v>
      </c>
      <c r="N891" s="11">
        <v>92773</v>
      </c>
      <c r="O891" s="11">
        <v>14865</v>
      </c>
      <c r="P891" s="12">
        <v>84.5</v>
      </c>
      <c r="Q891" s="9">
        <v>10</v>
      </c>
      <c r="R891" s="13">
        <v>0</v>
      </c>
      <c r="S891" s="13">
        <v>4</v>
      </c>
      <c r="T891" s="9">
        <v>22</v>
      </c>
      <c r="U891" s="13">
        <v>97</v>
      </c>
      <c r="V891" s="8" t="s">
        <v>31</v>
      </c>
      <c r="W891" s="8"/>
      <c r="X891" s="22">
        <f>IF(V891="Yes",1,0)</f>
        <v>0</v>
      </c>
      <c r="Y891" s="22">
        <f>IF(H891="Active",0,1)</f>
        <v>0</v>
      </c>
    </row>
    <row r="892" spans="1:25" ht="18" customHeight="1" x14ac:dyDescent="0.35">
      <c r="A892" s="14" t="s">
        <v>1288</v>
      </c>
      <c r="B892" s="14" t="s">
        <v>151</v>
      </c>
      <c r="C892" s="14" t="s">
        <v>25</v>
      </c>
      <c r="D892" s="15">
        <v>60</v>
      </c>
      <c r="E892" s="14" t="s">
        <v>63</v>
      </c>
      <c r="F892" s="14" t="s">
        <v>79</v>
      </c>
      <c r="G892" s="16">
        <v>45693</v>
      </c>
      <c r="H892" s="14" t="s">
        <v>26</v>
      </c>
      <c r="I892" s="14" t="s">
        <v>36</v>
      </c>
      <c r="J892" s="14" t="s">
        <v>80</v>
      </c>
      <c r="K892" s="14" t="s">
        <v>37</v>
      </c>
      <c r="L892" s="14" t="s">
        <v>38</v>
      </c>
      <c r="M892" s="14" t="s">
        <v>39</v>
      </c>
      <c r="N892" s="17">
        <v>223809</v>
      </c>
      <c r="O892" s="17">
        <v>9445</v>
      </c>
      <c r="P892" s="18">
        <v>96.8</v>
      </c>
      <c r="Q892" s="15">
        <v>2</v>
      </c>
      <c r="R892" s="19">
        <v>12</v>
      </c>
      <c r="S892" s="19">
        <v>2</v>
      </c>
      <c r="T892" s="15">
        <v>8</v>
      </c>
      <c r="U892" s="19">
        <v>94</v>
      </c>
      <c r="V892" s="14" t="s">
        <v>31</v>
      </c>
      <c r="W892" s="14"/>
      <c r="X892" s="14">
        <f>IF(V892="Yes",1,0)</f>
        <v>0</v>
      </c>
      <c r="Y892" s="14">
        <f>IF(H892="Active",0,1)</f>
        <v>0</v>
      </c>
    </row>
    <row r="893" spans="1:25" ht="18" customHeight="1" x14ac:dyDescent="0.35">
      <c r="A893" s="14" t="s">
        <v>1564</v>
      </c>
      <c r="B893" s="14" t="s">
        <v>261</v>
      </c>
      <c r="C893" s="14" t="s">
        <v>25</v>
      </c>
      <c r="D893" s="15">
        <v>36</v>
      </c>
      <c r="E893" s="14" t="s">
        <v>86</v>
      </c>
      <c r="F893" s="14" t="s">
        <v>43</v>
      </c>
      <c r="G893" s="16">
        <v>45693</v>
      </c>
      <c r="H893" s="14" t="s">
        <v>26</v>
      </c>
      <c r="I893" s="14" t="s">
        <v>36</v>
      </c>
      <c r="J893" s="14" t="s">
        <v>2268</v>
      </c>
      <c r="K893" s="14" t="s">
        <v>28</v>
      </c>
      <c r="L893" s="14" t="s">
        <v>38</v>
      </c>
      <c r="M893" s="14" t="s">
        <v>30</v>
      </c>
      <c r="N893" s="17">
        <v>234095</v>
      </c>
      <c r="O893" s="17">
        <v>48890</v>
      </c>
      <c r="P893" s="18">
        <v>89.7</v>
      </c>
      <c r="Q893" s="15">
        <v>8</v>
      </c>
      <c r="R893" s="19">
        <v>29</v>
      </c>
      <c r="S893" s="19">
        <v>2</v>
      </c>
      <c r="T893" s="15">
        <v>3</v>
      </c>
      <c r="U893" s="19">
        <v>85</v>
      </c>
      <c r="V893" s="14" t="s">
        <v>31</v>
      </c>
      <c r="W893" s="14"/>
      <c r="X893" s="14">
        <f>IF(V893="Yes",1,0)</f>
        <v>0</v>
      </c>
      <c r="Y893" s="14">
        <f>IF(H893="Active",0,1)</f>
        <v>0</v>
      </c>
    </row>
    <row r="894" spans="1:25" ht="18" customHeight="1" x14ac:dyDescent="0.35">
      <c r="A894" s="14" t="s">
        <v>2170</v>
      </c>
      <c r="B894" s="14" t="s">
        <v>254</v>
      </c>
      <c r="C894" s="14" t="s">
        <v>34</v>
      </c>
      <c r="D894" s="15">
        <v>21</v>
      </c>
      <c r="E894" s="14" t="s">
        <v>86</v>
      </c>
      <c r="F894" s="14" t="s">
        <v>76</v>
      </c>
      <c r="G894" s="16">
        <v>45693</v>
      </c>
      <c r="H894" s="14" t="s">
        <v>26</v>
      </c>
      <c r="I894" s="14" t="s">
        <v>36</v>
      </c>
      <c r="J894" s="14" t="s">
        <v>2270</v>
      </c>
      <c r="K894" s="14" t="s">
        <v>37</v>
      </c>
      <c r="L894" s="14" t="s">
        <v>44</v>
      </c>
      <c r="M894" s="14" t="s">
        <v>30</v>
      </c>
      <c r="N894" s="17">
        <v>152088</v>
      </c>
      <c r="O894" s="17">
        <v>7179</v>
      </c>
      <c r="P894" s="18">
        <v>94.6</v>
      </c>
      <c r="Q894" s="15">
        <v>7</v>
      </c>
      <c r="R894" s="19">
        <v>30</v>
      </c>
      <c r="S894" s="19">
        <v>3</v>
      </c>
      <c r="T894" s="15">
        <v>34</v>
      </c>
      <c r="U894" s="19">
        <v>99</v>
      </c>
      <c r="V894" s="14" t="s">
        <v>31</v>
      </c>
      <c r="W894" s="14"/>
      <c r="X894" s="14">
        <f>IF(V894="Yes",1,0)</f>
        <v>0</v>
      </c>
      <c r="Y894" s="14">
        <f>IF(H894="Active",0,1)</f>
        <v>0</v>
      </c>
    </row>
    <row r="895" spans="1:25" ht="18" customHeight="1" x14ac:dyDescent="0.35">
      <c r="A895" s="14" t="s">
        <v>2186</v>
      </c>
      <c r="B895" s="14" t="s">
        <v>302</v>
      </c>
      <c r="C895" s="14" t="s">
        <v>34</v>
      </c>
      <c r="D895" s="15">
        <v>21</v>
      </c>
      <c r="E895" s="14" t="s">
        <v>2303</v>
      </c>
      <c r="F895" s="14" t="s">
        <v>76</v>
      </c>
      <c r="G895" s="16">
        <v>45693</v>
      </c>
      <c r="H895" s="14" t="s">
        <v>26</v>
      </c>
      <c r="I895" s="14" t="s">
        <v>2267</v>
      </c>
      <c r="J895" s="14" t="s">
        <v>48</v>
      </c>
      <c r="K895" s="14" t="s">
        <v>37</v>
      </c>
      <c r="L895" s="14" t="s">
        <v>44</v>
      </c>
      <c r="M895" s="14" t="s">
        <v>60</v>
      </c>
      <c r="N895" s="17">
        <v>40881</v>
      </c>
      <c r="O895" s="17">
        <v>8695</v>
      </c>
      <c r="P895" s="18">
        <v>83.9</v>
      </c>
      <c r="Q895" s="15">
        <v>9</v>
      </c>
      <c r="R895" s="19">
        <v>30</v>
      </c>
      <c r="S895" s="19">
        <v>3</v>
      </c>
      <c r="T895" s="15">
        <v>1</v>
      </c>
      <c r="U895" s="19">
        <v>95</v>
      </c>
      <c r="V895" s="14" t="s">
        <v>31</v>
      </c>
      <c r="W895" s="14"/>
      <c r="X895" s="14">
        <f>IF(V895="Yes",1,0)</f>
        <v>0</v>
      </c>
      <c r="Y895" s="14">
        <f>IF(H895="Active",0,1)</f>
        <v>0</v>
      </c>
    </row>
    <row r="896" spans="1:25" ht="18" customHeight="1" x14ac:dyDescent="0.35">
      <c r="A896" s="14" t="s">
        <v>848</v>
      </c>
      <c r="B896" s="14" t="s">
        <v>261</v>
      </c>
      <c r="C896" s="14" t="s">
        <v>25</v>
      </c>
      <c r="D896" s="15">
        <v>54</v>
      </c>
      <c r="E896" s="14" t="s">
        <v>2303</v>
      </c>
      <c r="F896" s="14" t="s">
        <v>90</v>
      </c>
      <c r="G896" s="16">
        <v>45692</v>
      </c>
      <c r="H896" s="14" t="s">
        <v>26</v>
      </c>
      <c r="I896" s="14" t="s">
        <v>36</v>
      </c>
      <c r="J896" s="14" t="s">
        <v>2269</v>
      </c>
      <c r="K896" s="14" t="s">
        <v>73</v>
      </c>
      <c r="L896" s="14" t="s">
        <v>38</v>
      </c>
      <c r="M896" s="14" t="s">
        <v>64</v>
      </c>
      <c r="N896" s="17">
        <v>124375</v>
      </c>
      <c r="O896" s="17">
        <v>12028</v>
      </c>
      <c r="P896" s="18">
        <v>86.1</v>
      </c>
      <c r="Q896" s="15">
        <v>5</v>
      </c>
      <c r="R896" s="19">
        <v>25</v>
      </c>
      <c r="S896" s="19">
        <v>3</v>
      </c>
      <c r="T896" s="15">
        <v>20</v>
      </c>
      <c r="U896" s="19">
        <v>93</v>
      </c>
      <c r="V896" s="14" t="s">
        <v>31</v>
      </c>
      <c r="W896" s="14"/>
      <c r="X896" s="14">
        <f>IF(V896="Yes",1,0)</f>
        <v>0</v>
      </c>
      <c r="Y896" s="14">
        <f>IF(H896="Active",0,1)</f>
        <v>0</v>
      </c>
    </row>
    <row r="897" spans="1:25" ht="18" customHeight="1" x14ac:dyDescent="0.35">
      <c r="A897" s="8" t="s">
        <v>2189</v>
      </c>
      <c r="B897" s="8" t="s">
        <v>89</v>
      </c>
      <c r="C897" s="8" t="s">
        <v>34</v>
      </c>
      <c r="D897" s="9">
        <v>31</v>
      </c>
      <c r="E897" s="8" t="s">
        <v>2304</v>
      </c>
      <c r="F897" s="8" t="s">
        <v>53</v>
      </c>
      <c r="G897" s="10">
        <v>45692</v>
      </c>
      <c r="H897" s="8" t="s">
        <v>26</v>
      </c>
      <c r="I897" s="8" t="s">
        <v>27</v>
      </c>
      <c r="J897" s="8" t="s">
        <v>2268</v>
      </c>
      <c r="K897" s="8" t="s">
        <v>37</v>
      </c>
      <c r="L897" s="8" t="s">
        <v>68</v>
      </c>
      <c r="M897" s="8" t="s">
        <v>60</v>
      </c>
      <c r="N897" s="11">
        <v>95938</v>
      </c>
      <c r="O897" s="11">
        <v>25985</v>
      </c>
      <c r="P897" s="12">
        <v>96.3</v>
      </c>
      <c r="Q897" s="9">
        <v>9</v>
      </c>
      <c r="R897" s="13">
        <v>21</v>
      </c>
      <c r="S897" s="13">
        <v>2</v>
      </c>
      <c r="T897" s="9">
        <v>40</v>
      </c>
      <c r="U897" s="13">
        <v>85</v>
      </c>
      <c r="V897" s="8" t="s">
        <v>31</v>
      </c>
      <c r="W897" s="8"/>
      <c r="X897" s="22">
        <f>IF(V897="Yes",1,0)</f>
        <v>0</v>
      </c>
      <c r="Y897" s="22">
        <f>IF(H897="Active",0,1)</f>
        <v>0</v>
      </c>
    </row>
    <row r="898" spans="1:25" ht="18" customHeight="1" x14ac:dyDescent="0.35">
      <c r="A898" s="8" t="s">
        <v>1149</v>
      </c>
      <c r="B898" s="8" t="s">
        <v>177</v>
      </c>
      <c r="C898" s="8" t="s">
        <v>34</v>
      </c>
      <c r="D898" s="9">
        <v>59</v>
      </c>
      <c r="E898" s="8" t="s">
        <v>2304</v>
      </c>
      <c r="F898" s="8" t="s">
        <v>90</v>
      </c>
      <c r="G898" s="10">
        <v>45691</v>
      </c>
      <c r="H898" s="8" t="s">
        <v>26</v>
      </c>
      <c r="I898" s="8" t="s">
        <v>27</v>
      </c>
      <c r="J898" s="8" t="s">
        <v>48</v>
      </c>
      <c r="K898" s="8" t="s">
        <v>28</v>
      </c>
      <c r="L898" s="8" t="s">
        <v>44</v>
      </c>
      <c r="M898" s="8" t="s">
        <v>64</v>
      </c>
      <c r="N898" s="11">
        <v>91103</v>
      </c>
      <c r="O898" s="11">
        <v>40272</v>
      </c>
      <c r="P898" s="12">
        <v>91.6</v>
      </c>
      <c r="Q898" s="9">
        <v>2</v>
      </c>
      <c r="R898" s="13">
        <v>12</v>
      </c>
      <c r="S898" s="13">
        <v>1</v>
      </c>
      <c r="T898" s="9">
        <v>34</v>
      </c>
      <c r="U898" s="13">
        <v>83</v>
      </c>
      <c r="V898" s="8" t="s">
        <v>31</v>
      </c>
      <c r="W898" s="8"/>
      <c r="X898" s="22">
        <f>IF(V898="Yes",1,0)</f>
        <v>0</v>
      </c>
      <c r="Y898" s="22">
        <f>IF(H898="Active",0,1)</f>
        <v>0</v>
      </c>
    </row>
    <row r="899" spans="1:25" ht="18" customHeight="1" x14ac:dyDescent="0.35">
      <c r="A899" s="14" t="s">
        <v>1454</v>
      </c>
      <c r="B899" s="14" t="s">
        <v>329</v>
      </c>
      <c r="C899" s="14" t="s">
        <v>25</v>
      </c>
      <c r="D899" s="15">
        <v>45</v>
      </c>
      <c r="E899" s="14" t="s">
        <v>2303</v>
      </c>
      <c r="F899" s="14" t="s">
        <v>79</v>
      </c>
      <c r="G899" s="16">
        <v>45691</v>
      </c>
      <c r="H899" s="14" t="s">
        <v>26</v>
      </c>
      <c r="I899" s="14" t="s">
        <v>36</v>
      </c>
      <c r="J899" s="14" t="s">
        <v>80</v>
      </c>
      <c r="K899" s="14" t="s">
        <v>73</v>
      </c>
      <c r="L899" s="14" t="s">
        <v>29</v>
      </c>
      <c r="M899" s="14" t="s">
        <v>39</v>
      </c>
      <c r="N899" s="17">
        <v>134470</v>
      </c>
      <c r="O899" s="17">
        <v>17126</v>
      </c>
      <c r="P899" s="18">
        <v>81.3</v>
      </c>
      <c r="Q899" s="15">
        <v>5</v>
      </c>
      <c r="R899" s="19">
        <v>15</v>
      </c>
      <c r="S899" s="19">
        <v>4</v>
      </c>
      <c r="T899" s="15">
        <v>16</v>
      </c>
      <c r="U899" s="19">
        <v>77</v>
      </c>
      <c r="V899" s="14" t="s">
        <v>31</v>
      </c>
      <c r="W899" s="14"/>
      <c r="X899" s="14">
        <f>IF(V899="Yes",1,0)</f>
        <v>0</v>
      </c>
      <c r="Y899" s="14">
        <f>IF(H899="Active",0,1)</f>
        <v>0</v>
      </c>
    </row>
    <row r="900" spans="1:25" ht="18" customHeight="1" x14ac:dyDescent="0.35">
      <c r="A900" s="14" t="s">
        <v>1704</v>
      </c>
      <c r="B900" s="14" t="s">
        <v>405</v>
      </c>
      <c r="C900" s="14" t="s">
        <v>25</v>
      </c>
      <c r="D900" s="15">
        <v>44</v>
      </c>
      <c r="E900" s="14" t="s">
        <v>42</v>
      </c>
      <c r="F900" s="14" t="s">
        <v>90</v>
      </c>
      <c r="G900" s="16">
        <v>45690</v>
      </c>
      <c r="H900" s="14" t="s">
        <v>26</v>
      </c>
      <c r="I900" s="14" t="s">
        <v>36</v>
      </c>
      <c r="J900" s="14" t="s">
        <v>2270</v>
      </c>
      <c r="K900" s="14" t="s">
        <v>55</v>
      </c>
      <c r="L900" s="14" t="s">
        <v>68</v>
      </c>
      <c r="M900" s="14" t="s">
        <v>60</v>
      </c>
      <c r="N900" s="17">
        <v>186423</v>
      </c>
      <c r="O900" s="17">
        <v>13121</v>
      </c>
      <c r="P900" s="18">
        <v>83.8</v>
      </c>
      <c r="Q900" s="15">
        <v>9</v>
      </c>
      <c r="R900" s="19">
        <v>10</v>
      </c>
      <c r="S900" s="19">
        <v>2</v>
      </c>
      <c r="T900" s="15">
        <v>13</v>
      </c>
      <c r="U900" s="19">
        <v>89</v>
      </c>
      <c r="V900" s="14" t="s">
        <v>69</v>
      </c>
      <c r="W900" s="14"/>
      <c r="X900" s="14">
        <f>IF(V900="Yes",1,0)</f>
        <v>1</v>
      </c>
      <c r="Y900" s="14">
        <f>IF(H900="Active",0,1)</f>
        <v>0</v>
      </c>
    </row>
    <row r="901" spans="1:25" ht="18" customHeight="1" x14ac:dyDescent="0.35">
      <c r="A901" s="8" t="s">
        <v>2033</v>
      </c>
      <c r="B901" s="8" t="s">
        <v>445</v>
      </c>
      <c r="C901" s="8" t="s">
        <v>25</v>
      </c>
      <c r="D901" s="9">
        <v>51</v>
      </c>
      <c r="E901" s="8" t="s">
        <v>93</v>
      </c>
      <c r="F901" s="8" t="s">
        <v>53</v>
      </c>
      <c r="G901" s="10">
        <v>45688</v>
      </c>
      <c r="H901" s="8" t="s">
        <v>26</v>
      </c>
      <c r="I901" s="8" t="s">
        <v>2267</v>
      </c>
      <c r="J901" s="8" t="s">
        <v>2268</v>
      </c>
      <c r="K901" s="8" t="s">
        <v>73</v>
      </c>
      <c r="L901" s="8" t="s">
        <v>44</v>
      </c>
      <c r="M901" s="8" t="s">
        <v>64</v>
      </c>
      <c r="N901" s="11">
        <v>106972</v>
      </c>
      <c r="O901" s="11">
        <v>19815</v>
      </c>
      <c r="P901" s="12">
        <v>85.3</v>
      </c>
      <c r="Q901" s="9">
        <v>10</v>
      </c>
      <c r="R901" s="13">
        <v>16</v>
      </c>
      <c r="S901" s="13">
        <v>2</v>
      </c>
      <c r="T901" s="9">
        <v>0</v>
      </c>
      <c r="U901" s="13">
        <v>78</v>
      </c>
      <c r="V901" s="8" t="s">
        <v>31</v>
      </c>
      <c r="W901" s="8"/>
      <c r="X901" s="22">
        <f>IF(V901="Yes",1,0)</f>
        <v>0</v>
      </c>
      <c r="Y901" s="22">
        <f>IF(H901="Active",0,1)</f>
        <v>0</v>
      </c>
    </row>
    <row r="902" spans="1:25" ht="18" customHeight="1" x14ac:dyDescent="0.35">
      <c r="A902" s="14" t="s">
        <v>838</v>
      </c>
      <c r="B902" s="14" t="s">
        <v>256</v>
      </c>
      <c r="C902" s="14" t="s">
        <v>34</v>
      </c>
      <c r="D902" s="15">
        <v>54</v>
      </c>
      <c r="E902" s="14" t="s">
        <v>86</v>
      </c>
      <c r="F902" s="14" t="s">
        <v>35</v>
      </c>
      <c r="G902" s="16">
        <v>45687</v>
      </c>
      <c r="H902" s="14" t="s">
        <v>26</v>
      </c>
      <c r="I902" s="14" t="s">
        <v>36</v>
      </c>
      <c r="J902" s="14" t="s">
        <v>2269</v>
      </c>
      <c r="K902" s="14" t="s">
        <v>2271</v>
      </c>
      <c r="L902" s="14" t="s">
        <v>29</v>
      </c>
      <c r="M902" s="14" t="s">
        <v>45</v>
      </c>
      <c r="N902" s="17">
        <v>85103</v>
      </c>
      <c r="O902" s="17">
        <v>24422</v>
      </c>
      <c r="P902" s="18">
        <v>92</v>
      </c>
      <c r="Q902" s="15">
        <v>6</v>
      </c>
      <c r="R902" s="19">
        <v>28</v>
      </c>
      <c r="S902" s="19">
        <v>3</v>
      </c>
      <c r="T902" s="15">
        <v>28</v>
      </c>
      <c r="U902" s="19">
        <v>89</v>
      </c>
      <c r="V902" s="14" t="s">
        <v>31</v>
      </c>
      <c r="W902" s="14"/>
      <c r="X902" s="14">
        <f>IF(V902="Yes",1,0)</f>
        <v>0</v>
      </c>
      <c r="Y902" s="14">
        <f>IF(H902="Active",0,1)</f>
        <v>0</v>
      </c>
    </row>
    <row r="903" spans="1:25" ht="18" customHeight="1" x14ac:dyDescent="0.35">
      <c r="A903" s="8" t="s">
        <v>1415</v>
      </c>
      <c r="B903" s="8" t="s">
        <v>162</v>
      </c>
      <c r="C903" s="8" t="s">
        <v>25</v>
      </c>
      <c r="D903" s="9">
        <v>44</v>
      </c>
      <c r="E903" s="8" t="s">
        <v>86</v>
      </c>
      <c r="F903" s="8" t="s">
        <v>76</v>
      </c>
      <c r="G903" s="10">
        <v>45687</v>
      </c>
      <c r="H903" s="8" t="s">
        <v>26</v>
      </c>
      <c r="I903" s="8" t="s">
        <v>36</v>
      </c>
      <c r="J903" s="8" t="s">
        <v>2269</v>
      </c>
      <c r="K903" s="8" t="s">
        <v>55</v>
      </c>
      <c r="L903" s="8" t="s">
        <v>29</v>
      </c>
      <c r="M903" s="8" t="s">
        <v>39</v>
      </c>
      <c r="N903" s="11">
        <v>114220</v>
      </c>
      <c r="O903" s="11">
        <v>39568</v>
      </c>
      <c r="P903" s="12">
        <v>88.9</v>
      </c>
      <c r="Q903" s="9">
        <v>2</v>
      </c>
      <c r="R903" s="13">
        <v>5</v>
      </c>
      <c r="S903" s="13">
        <v>4</v>
      </c>
      <c r="T903" s="9">
        <v>11</v>
      </c>
      <c r="U903" s="13">
        <v>99</v>
      </c>
      <c r="V903" s="8" t="s">
        <v>31</v>
      </c>
      <c r="W903" s="8"/>
      <c r="X903" s="22">
        <f>IF(V903="Yes",1,0)</f>
        <v>0</v>
      </c>
      <c r="Y903" s="22">
        <f>IF(H903="Active",0,1)</f>
        <v>0</v>
      </c>
    </row>
    <row r="904" spans="1:25" ht="18" customHeight="1" x14ac:dyDescent="0.35">
      <c r="A904" s="14" t="s">
        <v>1600</v>
      </c>
      <c r="B904" s="14" t="s">
        <v>447</v>
      </c>
      <c r="C904" s="14" t="s">
        <v>34</v>
      </c>
      <c r="D904" s="15">
        <v>34</v>
      </c>
      <c r="E904" s="14" t="s">
        <v>109</v>
      </c>
      <c r="F904" s="14" t="s">
        <v>79</v>
      </c>
      <c r="G904" s="16">
        <v>45687</v>
      </c>
      <c r="H904" s="14" t="s">
        <v>26</v>
      </c>
      <c r="I904" s="14" t="s">
        <v>2267</v>
      </c>
      <c r="J904" s="14" t="s">
        <v>2269</v>
      </c>
      <c r="K904" s="14" t="s">
        <v>73</v>
      </c>
      <c r="L904" s="14" t="s">
        <v>116</v>
      </c>
      <c r="M904" s="14" t="s">
        <v>45</v>
      </c>
      <c r="N904" s="17">
        <v>205947</v>
      </c>
      <c r="O904" s="17">
        <v>41643</v>
      </c>
      <c r="P904" s="18">
        <v>81</v>
      </c>
      <c r="Q904" s="15">
        <v>4</v>
      </c>
      <c r="R904" s="19">
        <v>0</v>
      </c>
      <c r="S904" s="19">
        <v>1</v>
      </c>
      <c r="T904" s="15">
        <v>20</v>
      </c>
      <c r="U904" s="19">
        <v>65</v>
      </c>
      <c r="V904" s="14" t="s">
        <v>31</v>
      </c>
      <c r="W904" s="14"/>
      <c r="X904" s="14">
        <f>IF(V904="Yes",1,0)</f>
        <v>0</v>
      </c>
      <c r="Y904" s="14">
        <f>IF(H904="Active",0,1)</f>
        <v>0</v>
      </c>
    </row>
    <row r="905" spans="1:25" ht="18" customHeight="1" x14ac:dyDescent="0.35">
      <c r="A905" s="14" t="s">
        <v>2246</v>
      </c>
      <c r="B905" s="14" t="s">
        <v>1235</v>
      </c>
      <c r="C905" s="14" t="s">
        <v>25</v>
      </c>
      <c r="D905" s="15">
        <v>25</v>
      </c>
      <c r="E905" s="14" t="s">
        <v>86</v>
      </c>
      <c r="F905" s="14" t="s">
        <v>79</v>
      </c>
      <c r="G905" s="16">
        <v>45687</v>
      </c>
      <c r="H905" s="14" t="s">
        <v>26</v>
      </c>
      <c r="I905" s="14" t="s">
        <v>36</v>
      </c>
      <c r="J905" s="14" t="s">
        <v>48</v>
      </c>
      <c r="K905" s="14" t="s">
        <v>37</v>
      </c>
      <c r="L905" s="14" t="s">
        <v>116</v>
      </c>
      <c r="M905" s="14" t="s">
        <v>45</v>
      </c>
      <c r="N905" s="17">
        <v>39893</v>
      </c>
      <c r="O905" s="17">
        <v>21617</v>
      </c>
      <c r="P905" s="18">
        <v>82.5</v>
      </c>
      <c r="Q905" s="15">
        <v>9</v>
      </c>
      <c r="R905" s="19">
        <v>8</v>
      </c>
      <c r="S905" s="19">
        <v>2</v>
      </c>
      <c r="T905" s="15">
        <v>4</v>
      </c>
      <c r="U905" s="19">
        <v>71</v>
      </c>
      <c r="V905" s="14" t="s">
        <v>69</v>
      </c>
      <c r="W905" s="14"/>
      <c r="X905" s="14">
        <f>IF(V905="Yes",1,0)</f>
        <v>1</v>
      </c>
      <c r="Y905" s="14">
        <f>IF(H905="Active",0,1)</f>
        <v>0</v>
      </c>
    </row>
    <row r="906" spans="1:25" ht="18" customHeight="1" x14ac:dyDescent="0.35">
      <c r="A906" s="14" t="s">
        <v>833</v>
      </c>
      <c r="B906" s="14" t="s">
        <v>393</v>
      </c>
      <c r="C906" s="14" t="s">
        <v>34</v>
      </c>
      <c r="D906" s="15">
        <v>25</v>
      </c>
      <c r="E906" s="14" t="s">
        <v>52</v>
      </c>
      <c r="F906" s="14" t="s">
        <v>79</v>
      </c>
      <c r="G906" s="16">
        <v>45686</v>
      </c>
      <c r="H906" s="14" t="s">
        <v>26</v>
      </c>
      <c r="I906" s="14" t="s">
        <v>27</v>
      </c>
      <c r="J906" s="14" t="s">
        <v>80</v>
      </c>
      <c r="K906" s="14" t="s">
        <v>28</v>
      </c>
      <c r="L906" s="14" t="s">
        <v>68</v>
      </c>
      <c r="M906" s="14" t="s">
        <v>45</v>
      </c>
      <c r="N906" s="17">
        <v>82226</v>
      </c>
      <c r="O906" s="17">
        <v>27567</v>
      </c>
      <c r="P906" s="18">
        <v>86.8</v>
      </c>
      <c r="Q906" s="15">
        <v>10</v>
      </c>
      <c r="R906" s="19">
        <v>20</v>
      </c>
      <c r="S906" s="19">
        <v>4</v>
      </c>
      <c r="T906" s="15">
        <v>30</v>
      </c>
      <c r="U906" s="19">
        <v>76</v>
      </c>
      <c r="V906" s="14" t="s">
        <v>31</v>
      </c>
      <c r="W906" s="14"/>
      <c r="X906" s="14">
        <f>IF(V906="Yes",1,0)</f>
        <v>0</v>
      </c>
      <c r="Y906" s="14">
        <f>IF(H906="Active",0,1)</f>
        <v>0</v>
      </c>
    </row>
    <row r="907" spans="1:25" ht="18" customHeight="1" x14ac:dyDescent="0.35">
      <c r="A907" s="14" t="s">
        <v>1334</v>
      </c>
      <c r="B907" s="14" t="s">
        <v>189</v>
      </c>
      <c r="C907" s="14" t="s">
        <v>34</v>
      </c>
      <c r="D907" s="15">
        <v>56</v>
      </c>
      <c r="E907" s="14" t="s">
        <v>93</v>
      </c>
      <c r="F907" s="14" t="s">
        <v>53</v>
      </c>
      <c r="G907" s="16">
        <v>45686</v>
      </c>
      <c r="H907" s="14" t="s">
        <v>26</v>
      </c>
      <c r="I907" s="14" t="s">
        <v>36</v>
      </c>
      <c r="J907" s="14" t="s">
        <v>2269</v>
      </c>
      <c r="K907" s="14" t="s">
        <v>28</v>
      </c>
      <c r="L907" s="14" t="s">
        <v>56</v>
      </c>
      <c r="M907" s="14" t="s">
        <v>45</v>
      </c>
      <c r="N907" s="17">
        <v>147945</v>
      </c>
      <c r="O907" s="17">
        <v>27199</v>
      </c>
      <c r="P907" s="18">
        <v>83.7</v>
      </c>
      <c r="Q907" s="15">
        <v>1</v>
      </c>
      <c r="R907" s="19">
        <v>25</v>
      </c>
      <c r="S907" s="19">
        <v>3</v>
      </c>
      <c r="T907" s="15">
        <v>22</v>
      </c>
      <c r="U907" s="19">
        <v>87</v>
      </c>
      <c r="V907" s="14" t="s">
        <v>31</v>
      </c>
      <c r="W907" s="14"/>
      <c r="X907" s="14">
        <f>IF(V907="Yes",1,0)</f>
        <v>0</v>
      </c>
      <c r="Y907" s="14">
        <f>IF(H907="Active",0,1)</f>
        <v>0</v>
      </c>
    </row>
    <row r="908" spans="1:25" ht="18" customHeight="1" x14ac:dyDescent="0.35">
      <c r="A908" s="14" t="s">
        <v>782</v>
      </c>
      <c r="B908" s="14" t="s">
        <v>136</v>
      </c>
      <c r="C908" s="14" t="s">
        <v>25</v>
      </c>
      <c r="D908" s="15">
        <v>56</v>
      </c>
      <c r="E908" s="14" t="s">
        <v>109</v>
      </c>
      <c r="F908" s="14" t="s">
        <v>12</v>
      </c>
      <c r="G908" s="16">
        <v>45684</v>
      </c>
      <c r="H908" s="14" t="s">
        <v>26</v>
      </c>
      <c r="I908" s="14" t="s">
        <v>2267</v>
      </c>
      <c r="J908" s="14" t="s">
        <v>2268</v>
      </c>
      <c r="K908" s="14" t="s">
        <v>37</v>
      </c>
      <c r="L908" s="14" t="s">
        <v>87</v>
      </c>
      <c r="M908" s="14" t="s">
        <v>39</v>
      </c>
      <c r="N908" s="17">
        <v>55695</v>
      </c>
      <c r="O908" s="17">
        <v>25818</v>
      </c>
      <c r="P908" s="18">
        <v>98.5</v>
      </c>
      <c r="Q908" s="15">
        <v>8</v>
      </c>
      <c r="R908" s="19">
        <v>0</v>
      </c>
      <c r="S908" s="19">
        <v>2</v>
      </c>
      <c r="T908" s="15">
        <v>24</v>
      </c>
      <c r="U908" s="19">
        <v>72</v>
      </c>
      <c r="V908" s="14" t="s">
        <v>31</v>
      </c>
      <c r="W908" s="14"/>
      <c r="X908" s="14">
        <f>IF(V908="Yes",1,0)</f>
        <v>0</v>
      </c>
      <c r="Y908" s="14">
        <f>IF(H908="Active",0,1)</f>
        <v>0</v>
      </c>
    </row>
    <row r="909" spans="1:25" ht="18" customHeight="1" x14ac:dyDescent="0.35">
      <c r="A909" s="14" t="s">
        <v>1018</v>
      </c>
      <c r="B909" s="14" t="s">
        <v>186</v>
      </c>
      <c r="C909" s="14" t="s">
        <v>25</v>
      </c>
      <c r="D909" s="15">
        <v>30</v>
      </c>
      <c r="E909" s="14" t="s">
        <v>2304</v>
      </c>
      <c r="F909" s="14" t="s">
        <v>12</v>
      </c>
      <c r="G909" s="16">
        <v>45684</v>
      </c>
      <c r="H909" s="14" t="s">
        <v>26</v>
      </c>
      <c r="I909" s="14" t="s">
        <v>2267</v>
      </c>
      <c r="J909" s="14" t="s">
        <v>80</v>
      </c>
      <c r="K909" s="14" t="s">
        <v>37</v>
      </c>
      <c r="L909" s="14" t="s">
        <v>56</v>
      </c>
      <c r="M909" s="14" t="s">
        <v>45</v>
      </c>
      <c r="N909" s="17">
        <v>236694</v>
      </c>
      <c r="O909" s="17">
        <v>11508</v>
      </c>
      <c r="P909" s="18">
        <v>87.6</v>
      </c>
      <c r="Q909" s="15">
        <v>3</v>
      </c>
      <c r="R909" s="19">
        <v>2</v>
      </c>
      <c r="S909" s="19">
        <v>5</v>
      </c>
      <c r="T909" s="15">
        <v>32</v>
      </c>
      <c r="U909" s="19">
        <v>72</v>
      </c>
      <c r="V909" s="14" t="s">
        <v>31</v>
      </c>
      <c r="W909" s="14"/>
      <c r="X909" s="14">
        <f>IF(V909="Yes",1,0)</f>
        <v>0</v>
      </c>
      <c r="Y909" s="14">
        <f>IF(H909="Active",0,1)</f>
        <v>0</v>
      </c>
    </row>
    <row r="910" spans="1:25" ht="18" customHeight="1" x14ac:dyDescent="0.35">
      <c r="A910" s="14" t="s">
        <v>1020</v>
      </c>
      <c r="B910" s="14" t="s">
        <v>173</v>
      </c>
      <c r="C910" s="14" t="s">
        <v>34</v>
      </c>
      <c r="D910" s="15">
        <v>43</v>
      </c>
      <c r="E910" s="14" t="s">
        <v>2304</v>
      </c>
      <c r="F910" s="14" t="s">
        <v>35</v>
      </c>
      <c r="G910" s="16">
        <v>45684</v>
      </c>
      <c r="H910" s="14" t="s">
        <v>26</v>
      </c>
      <c r="I910" s="14" t="s">
        <v>36</v>
      </c>
      <c r="J910" s="14" t="s">
        <v>80</v>
      </c>
      <c r="K910" s="14" t="s">
        <v>28</v>
      </c>
      <c r="L910" s="14" t="s">
        <v>44</v>
      </c>
      <c r="M910" s="14" t="s">
        <v>64</v>
      </c>
      <c r="N910" s="17">
        <v>89710</v>
      </c>
      <c r="O910" s="17">
        <v>20473</v>
      </c>
      <c r="P910" s="18">
        <v>93.6</v>
      </c>
      <c r="Q910" s="15">
        <v>10</v>
      </c>
      <c r="R910" s="19">
        <v>7</v>
      </c>
      <c r="S910" s="19">
        <v>2</v>
      </c>
      <c r="T910" s="15">
        <v>28</v>
      </c>
      <c r="U910" s="19">
        <v>65</v>
      </c>
      <c r="V910" s="14" t="s">
        <v>31</v>
      </c>
      <c r="W910" s="14"/>
      <c r="X910" s="14">
        <f>IF(V910="Yes",1,0)</f>
        <v>0</v>
      </c>
      <c r="Y910" s="14">
        <f>IF(H910="Active",0,1)</f>
        <v>0</v>
      </c>
    </row>
    <row r="911" spans="1:25" ht="18" customHeight="1" x14ac:dyDescent="0.35">
      <c r="A911" s="8" t="s">
        <v>1234</v>
      </c>
      <c r="B911" s="8" t="s">
        <v>1235</v>
      </c>
      <c r="C911" s="8" t="s">
        <v>25</v>
      </c>
      <c r="D911" s="9">
        <v>25</v>
      </c>
      <c r="E911" s="8" t="s">
        <v>63</v>
      </c>
      <c r="F911" s="8" t="s">
        <v>12</v>
      </c>
      <c r="G911" s="10">
        <v>45684</v>
      </c>
      <c r="H911" s="8" t="s">
        <v>26</v>
      </c>
      <c r="I911" s="8" t="s">
        <v>2267</v>
      </c>
      <c r="J911" s="8" t="s">
        <v>2269</v>
      </c>
      <c r="K911" s="8" t="s">
        <v>37</v>
      </c>
      <c r="L911" s="8" t="s">
        <v>56</v>
      </c>
      <c r="M911" s="8" t="s">
        <v>45</v>
      </c>
      <c r="N911" s="11">
        <v>143836</v>
      </c>
      <c r="O911" s="11">
        <v>35107</v>
      </c>
      <c r="P911" s="12">
        <v>84.4</v>
      </c>
      <c r="Q911" s="9">
        <v>1</v>
      </c>
      <c r="R911" s="13">
        <v>15</v>
      </c>
      <c r="S911" s="13">
        <v>5</v>
      </c>
      <c r="T911" s="9">
        <v>2</v>
      </c>
      <c r="U911" s="13">
        <v>68</v>
      </c>
      <c r="V911" s="8" t="s">
        <v>69</v>
      </c>
      <c r="W911" s="8"/>
      <c r="X911" s="22">
        <f>IF(V911="Yes",1,0)</f>
        <v>1</v>
      </c>
      <c r="Y911" s="22">
        <f>IF(H911="Active",0,1)</f>
        <v>0</v>
      </c>
    </row>
    <row r="912" spans="1:25" ht="18" customHeight="1" x14ac:dyDescent="0.35">
      <c r="A912" s="8" t="s">
        <v>2025</v>
      </c>
      <c r="B912" s="8" t="s">
        <v>424</v>
      </c>
      <c r="C912" s="8" t="s">
        <v>34</v>
      </c>
      <c r="D912" s="9">
        <v>53</v>
      </c>
      <c r="E912" s="8" t="s">
        <v>67</v>
      </c>
      <c r="F912" s="8" t="s">
        <v>72</v>
      </c>
      <c r="G912" s="10">
        <v>45684</v>
      </c>
      <c r="H912" s="8" t="s">
        <v>26</v>
      </c>
      <c r="I912" s="8" t="s">
        <v>27</v>
      </c>
      <c r="J912" s="8" t="s">
        <v>2269</v>
      </c>
      <c r="K912" s="8" t="s">
        <v>37</v>
      </c>
      <c r="L912" s="8" t="s">
        <v>44</v>
      </c>
      <c r="M912" s="8" t="s">
        <v>64</v>
      </c>
      <c r="N912" s="11">
        <v>57876</v>
      </c>
      <c r="O912" s="11">
        <v>40191</v>
      </c>
      <c r="P912" s="12">
        <v>90.6</v>
      </c>
      <c r="Q912" s="9">
        <v>5</v>
      </c>
      <c r="R912" s="13">
        <v>5</v>
      </c>
      <c r="S912" s="13">
        <v>2</v>
      </c>
      <c r="T912" s="9">
        <v>14</v>
      </c>
      <c r="U912" s="13">
        <v>96</v>
      </c>
      <c r="V912" s="8" t="s">
        <v>69</v>
      </c>
      <c r="W912" s="8"/>
      <c r="X912" s="22">
        <f>IF(V912="Yes",1,0)</f>
        <v>1</v>
      </c>
      <c r="Y912" s="22">
        <f>IF(H912="Active",0,1)</f>
        <v>0</v>
      </c>
    </row>
    <row r="913" spans="1:25" ht="18" customHeight="1" x14ac:dyDescent="0.35">
      <c r="A913" s="14" t="s">
        <v>2070</v>
      </c>
      <c r="B913" s="14" t="s">
        <v>349</v>
      </c>
      <c r="C913" s="14" t="s">
        <v>25</v>
      </c>
      <c r="D913" s="15">
        <v>35</v>
      </c>
      <c r="E913" s="14" t="s">
        <v>52</v>
      </c>
      <c r="F913" s="14" t="s">
        <v>53</v>
      </c>
      <c r="G913" s="16">
        <v>45684</v>
      </c>
      <c r="H913" s="14" t="s">
        <v>26</v>
      </c>
      <c r="I913" s="14" t="s">
        <v>2267</v>
      </c>
      <c r="J913" s="14" t="s">
        <v>80</v>
      </c>
      <c r="K913" s="14" t="s">
        <v>2271</v>
      </c>
      <c r="L913" s="14" t="s">
        <v>49</v>
      </c>
      <c r="M913" s="14" t="s">
        <v>60</v>
      </c>
      <c r="N913" s="17">
        <v>234917</v>
      </c>
      <c r="O913" s="17">
        <v>23495</v>
      </c>
      <c r="P913" s="18">
        <v>87.8</v>
      </c>
      <c r="Q913" s="15">
        <v>2</v>
      </c>
      <c r="R913" s="19">
        <v>10</v>
      </c>
      <c r="S913" s="19">
        <v>3</v>
      </c>
      <c r="T913" s="15">
        <v>9</v>
      </c>
      <c r="U913" s="19">
        <v>66</v>
      </c>
      <c r="V913" s="14" t="s">
        <v>31</v>
      </c>
      <c r="W913" s="14"/>
      <c r="X913" s="14">
        <f>IF(V913="Yes",1,0)</f>
        <v>0</v>
      </c>
      <c r="Y913" s="14">
        <f>IF(H913="Active",0,1)</f>
        <v>0</v>
      </c>
    </row>
    <row r="914" spans="1:25" ht="18" customHeight="1" x14ac:dyDescent="0.35">
      <c r="A914" s="8" t="s">
        <v>105</v>
      </c>
      <c r="B914" s="8" t="s">
        <v>106</v>
      </c>
      <c r="C914" s="8" t="s">
        <v>34</v>
      </c>
      <c r="D914" s="9">
        <v>60</v>
      </c>
      <c r="E914" s="8" t="s">
        <v>63</v>
      </c>
      <c r="F914" s="8" t="s">
        <v>90</v>
      </c>
      <c r="G914" s="10">
        <v>45683</v>
      </c>
      <c r="H914" s="8" t="s">
        <v>26</v>
      </c>
      <c r="I914" s="8" t="s">
        <v>27</v>
      </c>
      <c r="J914" s="8" t="s">
        <v>48</v>
      </c>
      <c r="K914" s="8" t="s">
        <v>2271</v>
      </c>
      <c r="L914" s="8" t="s">
        <v>29</v>
      </c>
      <c r="M914" s="8" t="s">
        <v>45</v>
      </c>
      <c r="N914" s="11">
        <v>49704</v>
      </c>
      <c r="O914" s="11">
        <v>48731</v>
      </c>
      <c r="P914" s="12">
        <v>98.1</v>
      </c>
      <c r="Q914" s="9">
        <v>3</v>
      </c>
      <c r="R914" s="13">
        <v>19</v>
      </c>
      <c r="S914" s="13">
        <v>2</v>
      </c>
      <c r="T914" s="9">
        <v>35</v>
      </c>
      <c r="U914" s="13">
        <v>71</v>
      </c>
      <c r="V914" s="8" t="s">
        <v>31</v>
      </c>
      <c r="W914" s="8"/>
      <c r="X914" s="22">
        <f>IF(V914="Yes",1,0)</f>
        <v>0</v>
      </c>
      <c r="Y914" s="22">
        <f>IF(H914="Active",0,1)</f>
        <v>0</v>
      </c>
    </row>
    <row r="915" spans="1:25" ht="18" customHeight="1" x14ac:dyDescent="0.35">
      <c r="A915" s="14" t="s">
        <v>1674</v>
      </c>
      <c r="B915" s="14" t="s">
        <v>1235</v>
      </c>
      <c r="C915" s="14" t="s">
        <v>25</v>
      </c>
      <c r="D915" s="15">
        <v>38</v>
      </c>
      <c r="E915" s="14" t="s">
        <v>2304</v>
      </c>
      <c r="F915" s="14" t="s">
        <v>53</v>
      </c>
      <c r="G915" s="16">
        <v>45683</v>
      </c>
      <c r="H915" s="14" t="s">
        <v>54</v>
      </c>
      <c r="I915" s="14" t="s">
        <v>27</v>
      </c>
      <c r="J915" s="14" t="s">
        <v>48</v>
      </c>
      <c r="K915" s="14" t="s">
        <v>2271</v>
      </c>
      <c r="L915" s="14" t="s">
        <v>87</v>
      </c>
      <c r="M915" s="14" t="s">
        <v>60</v>
      </c>
      <c r="N915" s="17">
        <v>136824</v>
      </c>
      <c r="O915" s="17">
        <v>27588</v>
      </c>
      <c r="P915" s="18">
        <v>81.099999999999994</v>
      </c>
      <c r="Q915" s="15">
        <v>1</v>
      </c>
      <c r="R915" s="19">
        <v>24</v>
      </c>
      <c r="S915" s="19">
        <v>4</v>
      </c>
      <c r="T915" s="15">
        <v>8</v>
      </c>
      <c r="U915" s="19">
        <v>83</v>
      </c>
      <c r="V915" s="14" t="s">
        <v>31</v>
      </c>
      <c r="W915" s="14" t="s">
        <v>83</v>
      </c>
      <c r="X915" s="14">
        <f>IF(V915="Yes",1,0)</f>
        <v>0</v>
      </c>
      <c r="Y915" s="14">
        <f>IF(H915="Active",0,1)</f>
        <v>1</v>
      </c>
    </row>
    <row r="916" spans="1:25" ht="18" customHeight="1" x14ac:dyDescent="0.35">
      <c r="A916" s="8" t="s">
        <v>2075</v>
      </c>
      <c r="B916" s="8" t="s">
        <v>62</v>
      </c>
      <c r="C916" s="8" t="s">
        <v>25</v>
      </c>
      <c r="D916" s="9">
        <v>47</v>
      </c>
      <c r="E916" s="8" t="s">
        <v>67</v>
      </c>
      <c r="F916" s="8" t="s">
        <v>90</v>
      </c>
      <c r="G916" s="10">
        <v>45683</v>
      </c>
      <c r="H916" s="8" t="s">
        <v>26</v>
      </c>
      <c r="I916" s="8" t="s">
        <v>2267</v>
      </c>
      <c r="J916" s="8" t="s">
        <v>80</v>
      </c>
      <c r="K916" s="8" t="s">
        <v>2271</v>
      </c>
      <c r="L916" s="8" t="s">
        <v>68</v>
      </c>
      <c r="M916" s="8" t="s">
        <v>39</v>
      </c>
      <c r="N916" s="11">
        <v>174521</v>
      </c>
      <c r="O916" s="11">
        <v>7773</v>
      </c>
      <c r="P916" s="12">
        <v>87.8</v>
      </c>
      <c r="Q916" s="9">
        <v>5</v>
      </c>
      <c r="R916" s="13">
        <v>28</v>
      </c>
      <c r="S916" s="13">
        <v>3</v>
      </c>
      <c r="T916" s="9">
        <v>27</v>
      </c>
      <c r="U916" s="13">
        <v>61</v>
      </c>
      <c r="V916" s="8" t="s">
        <v>31</v>
      </c>
      <c r="W916" s="8"/>
      <c r="X916" s="22">
        <f>IF(V916="Yes",1,0)</f>
        <v>0</v>
      </c>
      <c r="Y916" s="22">
        <f>IF(H916="Active",0,1)</f>
        <v>0</v>
      </c>
    </row>
    <row r="917" spans="1:25" ht="18" customHeight="1" x14ac:dyDescent="0.35">
      <c r="A917" s="14" t="s">
        <v>2220</v>
      </c>
      <c r="B917" s="14" t="s">
        <v>104</v>
      </c>
      <c r="C917" s="14" t="s">
        <v>34</v>
      </c>
      <c r="D917" s="15">
        <v>37</v>
      </c>
      <c r="E917" s="14" t="s">
        <v>67</v>
      </c>
      <c r="F917" s="14" t="s">
        <v>43</v>
      </c>
      <c r="G917" s="16">
        <v>45683</v>
      </c>
      <c r="H917" s="14" t="s">
        <v>26</v>
      </c>
      <c r="I917" s="14" t="s">
        <v>36</v>
      </c>
      <c r="J917" s="14" t="s">
        <v>2268</v>
      </c>
      <c r="K917" s="14" t="s">
        <v>28</v>
      </c>
      <c r="L917" s="14" t="s">
        <v>56</v>
      </c>
      <c r="M917" s="14" t="s">
        <v>39</v>
      </c>
      <c r="N917" s="17">
        <v>165594</v>
      </c>
      <c r="O917" s="17">
        <v>31632</v>
      </c>
      <c r="P917" s="18">
        <v>95</v>
      </c>
      <c r="Q917" s="15">
        <v>3</v>
      </c>
      <c r="R917" s="19">
        <v>28</v>
      </c>
      <c r="S917" s="19">
        <v>5</v>
      </c>
      <c r="T917" s="15">
        <v>18</v>
      </c>
      <c r="U917" s="19">
        <v>99</v>
      </c>
      <c r="V917" s="14" t="s">
        <v>31</v>
      </c>
      <c r="W917" s="14"/>
      <c r="X917" s="14">
        <f>IF(V917="Yes",1,0)</f>
        <v>0</v>
      </c>
      <c r="Y917" s="14">
        <f>IF(H917="Active",0,1)</f>
        <v>0</v>
      </c>
    </row>
    <row r="918" spans="1:25" ht="18" customHeight="1" x14ac:dyDescent="0.35">
      <c r="A918" s="14" t="s">
        <v>615</v>
      </c>
      <c r="B918" s="14" t="s">
        <v>215</v>
      </c>
      <c r="C918" s="14" t="s">
        <v>34</v>
      </c>
      <c r="D918" s="15">
        <v>41</v>
      </c>
      <c r="E918" s="14" t="s">
        <v>2303</v>
      </c>
      <c r="F918" s="14" t="s">
        <v>43</v>
      </c>
      <c r="G918" s="16">
        <v>45682</v>
      </c>
      <c r="H918" s="14" t="s">
        <v>26</v>
      </c>
      <c r="I918" s="14" t="s">
        <v>36</v>
      </c>
      <c r="J918" s="14" t="s">
        <v>80</v>
      </c>
      <c r="K918" s="14" t="s">
        <v>37</v>
      </c>
      <c r="L918" s="14" t="s">
        <v>29</v>
      </c>
      <c r="M918" s="14" t="s">
        <v>30</v>
      </c>
      <c r="N918" s="17">
        <v>196274</v>
      </c>
      <c r="O918" s="17">
        <v>11358</v>
      </c>
      <c r="P918" s="18">
        <v>88.1</v>
      </c>
      <c r="Q918" s="15">
        <v>0</v>
      </c>
      <c r="R918" s="19">
        <v>14</v>
      </c>
      <c r="S918" s="19">
        <v>1</v>
      </c>
      <c r="T918" s="15">
        <v>2</v>
      </c>
      <c r="U918" s="19">
        <v>80</v>
      </c>
      <c r="V918" s="14" t="s">
        <v>31</v>
      </c>
      <c r="W918" s="14"/>
      <c r="X918" s="14">
        <f>IF(V918="Yes",1,0)</f>
        <v>0</v>
      </c>
      <c r="Y918" s="14">
        <f>IF(H918="Active",0,1)</f>
        <v>0</v>
      </c>
    </row>
    <row r="919" spans="1:25" ht="18" customHeight="1" x14ac:dyDescent="0.35">
      <c r="A919" s="14" t="s">
        <v>627</v>
      </c>
      <c r="B919" s="14" t="s">
        <v>445</v>
      </c>
      <c r="C919" s="14" t="s">
        <v>25</v>
      </c>
      <c r="D919" s="15">
        <v>53</v>
      </c>
      <c r="E919" s="14" t="s">
        <v>63</v>
      </c>
      <c r="F919" s="14" t="s">
        <v>12</v>
      </c>
      <c r="G919" s="16">
        <v>45681</v>
      </c>
      <c r="H919" s="14" t="s">
        <v>26</v>
      </c>
      <c r="I919" s="14" t="s">
        <v>27</v>
      </c>
      <c r="J919" s="14" t="s">
        <v>2269</v>
      </c>
      <c r="K919" s="14" t="s">
        <v>73</v>
      </c>
      <c r="L919" s="14" t="s">
        <v>68</v>
      </c>
      <c r="M919" s="14" t="s">
        <v>64</v>
      </c>
      <c r="N919" s="17">
        <v>41840</v>
      </c>
      <c r="O919" s="17">
        <v>5451</v>
      </c>
      <c r="P919" s="18">
        <v>90.3</v>
      </c>
      <c r="Q919" s="15">
        <v>9</v>
      </c>
      <c r="R919" s="19">
        <v>5</v>
      </c>
      <c r="S919" s="19">
        <v>5</v>
      </c>
      <c r="T919" s="15">
        <v>37</v>
      </c>
      <c r="U919" s="19">
        <v>68</v>
      </c>
      <c r="V919" s="14" t="s">
        <v>31</v>
      </c>
      <c r="W919" s="14"/>
      <c r="X919" s="14">
        <f>IF(V919="Yes",1,0)</f>
        <v>0</v>
      </c>
      <c r="Y919" s="14">
        <f>IF(H919="Active",0,1)</f>
        <v>0</v>
      </c>
    </row>
    <row r="920" spans="1:25" ht="18" customHeight="1" x14ac:dyDescent="0.35">
      <c r="A920" s="8" t="s">
        <v>874</v>
      </c>
      <c r="B920" s="8" t="s">
        <v>356</v>
      </c>
      <c r="C920" s="8" t="s">
        <v>34</v>
      </c>
      <c r="D920" s="9">
        <v>24</v>
      </c>
      <c r="E920" s="8" t="s">
        <v>93</v>
      </c>
      <c r="F920" s="8" t="s">
        <v>12</v>
      </c>
      <c r="G920" s="10">
        <v>45681</v>
      </c>
      <c r="H920" s="8" t="s">
        <v>26</v>
      </c>
      <c r="I920" s="8" t="s">
        <v>27</v>
      </c>
      <c r="J920" s="8" t="s">
        <v>48</v>
      </c>
      <c r="K920" s="8" t="s">
        <v>73</v>
      </c>
      <c r="L920" s="8" t="s">
        <v>49</v>
      </c>
      <c r="M920" s="8" t="s">
        <v>64</v>
      </c>
      <c r="N920" s="11">
        <v>146591</v>
      </c>
      <c r="O920" s="11">
        <v>39410</v>
      </c>
      <c r="P920" s="12">
        <v>97.7</v>
      </c>
      <c r="Q920" s="9">
        <v>5</v>
      </c>
      <c r="R920" s="13">
        <v>26</v>
      </c>
      <c r="S920" s="13">
        <v>4</v>
      </c>
      <c r="T920" s="9">
        <v>21</v>
      </c>
      <c r="U920" s="13">
        <v>74</v>
      </c>
      <c r="V920" s="8" t="s">
        <v>31</v>
      </c>
      <c r="W920" s="8"/>
      <c r="X920" s="22">
        <f>IF(V920="Yes",1,0)</f>
        <v>0</v>
      </c>
      <c r="Y920" s="22">
        <f>IF(H920="Active",0,1)</f>
        <v>0</v>
      </c>
    </row>
    <row r="921" spans="1:25" ht="18" customHeight="1" x14ac:dyDescent="0.35">
      <c r="A921" s="14" t="s">
        <v>935</v>
      </c>
      <c r="B921" s="14" t="s">
        <v>556</v>
      </c>
      <c r="C921" s="14" t="s">
        <v>25</v>
      </c>
      <c r="D921" s="15">
        <v>52</v>
      </c>
      <c r="E921" s="14" t="s">
        <v>2304</v>
      </c>
      <c r="F921" s="14" t="s">
        <v>90</v>
      </c>
      <c r="G921" s="16">
        <v>45681</v>
      </c>
      <c r="H921" s="14" t="s">
        <v>26</v>
      </c>
      <c r="I921" s="14" t="s">
        <v>27</v>
      </c>
      <c r="J921" s="14" t="s">
        <v>48</v>
      </c>
      <c r="K921" s="14" t="s">
        <v>28</v>
      </c>
      <c r="L921" s="14" t="s">
        <v>38</v>
      </c>
      <c r="M921" s="14" t="s">
        <v>45</v>
      </c>
      <c r="N921" s="17">
        <v>244502</v>
      </c>
      <c r="O921" s="17">
        <v>8594</v>
      </c>
      <c r="P921" s="18">
        <v>83.9</v>
      </c>
      <c r="Q921" s="15">
        <v>3</v>
      </c>
      <c r="R921" s="19">
        <v>29</v>
      </c>
      <c r="S921" s="19">
        <v>2</v>
      </c>
      <c r="T921" s="15">
        <v>27</v>
      </c>
      <c r="U921" s="19">
        <v>93</v>
      </c>
      <c r="V921" s="14" t="s">
        <v>31</v>
      </c>
      <c r="W921" s="14"/>
      <c r="X921" s="14">
        <f>IF(V921="Yes",1,0)</f>
        <v>0</v>
      </c>
      <c r="Y921" s="14">
        <f>IF(H921="Active",0,1)</f>
        <v>0</v>
      </c>
    </row>
    <row r="922" spans="1:25" ht="18" customHeight="1" x14ac:dyDescent="0.35">
      <c r="A922" s="8" t="s">
        <v>1845</v>
      </c>
      <c r="B922" s="8" t="s">
        <v>424</v>
      </c>
      <c r="C922" s="8" t="s">
        <v>25</v>
      </c>
      <c r="D922" s="9">
        <v>21</v>
      </c>
      <c r="E922" s="8" t="s">
        <v>2303</v>
      </c>
      <c r="F922" s="8" t="s">
        <v>76</v>
      </c>
      <c r="G922" s="10">
        <v>45681</v>
      </c>
      <c r="H922" s="8" t="s">
        <v>54</v>
      </c>
      <c r="I922" s="8" t="s">
        <v>27</v>
      </c>
      <c r="J922" s="8" t="s">
        <v>80</v>
      </c>
      <c r="K922" s="8" t="s">
        <v>55</v>
      </c>
      <c r="L922" s="8" t="s">
        <v>29</v>
      </c>
      <c r="M922" s="8" t="s">
        <v>30</v>
      </c>
      <c r="N922" s="11">
        <v>150318</v>
      </c>
      <c r="O922" s="11">
        <v>35834</v>
      </c>
      <c r="P922" s="12">
        <v>81.599999999999994</v>
      </c>
      <c r="Q922" s="9">
        <v>2</v>
      </c>
      <c r="R922" s="13">
        <v>22</v>
      </c>
      <c r="S922" s="13">
        <v>5</v>
      </c>
      <c r="T922" s="9">
        <v>40</v>
      </c>
      <c r="U922" s="13">
        <v>86</v>
      </c>
      <c r="V922" s="8" t="s">
        <v>31</v>
      </c>
      <c r="W922" s="8" t="s">
        <v>205</v>
      </c>
      <c r="X922" s="22">
        <f>IF(V922="Yes",1,0)</f>
        <v>0</v>
      </c>
      <c r="Y922" s="22">
        <f>IF(H922="Active",0,1)</f>
        <v>1</v>
      </c>
    </row>
    <row r="923" spans="1:25" ht="18" customHeight="1" x14ac:dyDescent="0.35">
      <c r="A923" s="8" t="s">
        <v>286</v>
      </c>
      <c r="B923" s="8" t="s">
        <v>125</v>
      </c>
      <c r="C923" s="8" t="s">
        <v>25</v>
      </c>
      <c r="D923" s="9">
        <v>29</v>
      </c>
      <c r="E923" s="8" t="s">
        <v>2304</v>
      </c>
      <c r="F923" s="8" t="s">
        <v>35</v>
      </c>
      <c r="G923" s="10">
        <v>45680</v>
      </c>
      <c r="H923" s="8" t="s">
        <v>26</v>
      </c>
      <c r="I923" s="8" t="s">
        <v>27</v>
      </c>
      <c r="J923" s="8" t="s">
        <v>48</v>
      </c>
      <c r="K923" s="8" t="s">
        <v>73</v>
      </c>
      <c r="L923" s="8" t="s">
        <v>116</v>
      </c>
      <c r="M923" s="8" t="s">
        <v>64</v>
      </c>
      <c r="N923" s="11">
        <v>86921</v>
      </c>
      <c r="O923" s="11">
        <v>23816</v>
      </c>
      <c r="P923" s="12">
        <v>93.5</v>
      </c>
      <c r="Q923" s="9">
        <v>9</v>
      </c>
      <c r="R923" s="13">
        <v>4</v>
      </c>
      <c r="S923" s="13">
        <v>4</v>
      </c>
      <c r="T923" s="9">
        <v>21</v>
      </c>
      <c r="U923" s="13">
        <v>78</v>
      </c>
      <c r="V923" s="8" t="s">
        <v>31</v>
      </c>
      <c r="W923" s="8"/>
      <c r="X923" s="22">
        <f>IF(V923="Yes",1,0)</f>
        <v>0</v>
      </c>
      <c r="Y923" s="22">
        <f>IF(H923="Active",0,1)</f>
        <v>0</v>
      </c>
    </row>
    <row r="924" spans="1:25" ht="18" customHeight="1" x14ac:dyDescent="0.35">
      <c r="A924" s="14" t="s">
        <v>984</v>
      </c>
      <c r="B924" s="14" t="s">
        <v>280</v>
      </c>
      <c r="C924" s="14" t="s">
        <v>34</v>
      </c>
      <c r="D924" s="15">
        <v>45</v>
      </c>
      <c r="E924" s="14" t="s">
        <v>63</v>
      </c>
      <c r="F924" s="14" t="s">
        <v>53</v>
      </c>
      <c r="G924" s="16">
        <v>45680</v>
      </c>
      <c r="H924" s="14" t="s">
        <v>26</v>
      </c>
      <c r="I924" s="14" t="s">
        <v>27</v>
      </c>
      <c r="J924" s="14" t="s">
        <v>48</v>
      </c>
      <c r="K924" s="14" t="s">
        <v>37</v>
      </c>
      <c r="L924" s="14" t="s">
        <v>38</v>
      </c>
      <c r="M924" s="14" t="s">
        <v>39</v>
      </c>
      <c r="N924" s="17">
        <v>51324</v>
      </c>
      <c r="O924" s="17">
        <v>14227</v>
      </c>
      <c r="P924" s="18">
        <v>80.599999999999994</v>
      </c>
      <c r="Q924" s="15">
        <v>6</v>
      </c>
      <c r="R924" s="19">
        <v>19</v>
      </c>
      <c r="S924" s="19">
        <v>4</v>
      </c>
      <c r="T924" s="15">
        <v>10</v>
      </c>
      <c r="U924" s="19">
        <v>79</v>
      </c>
      <c r="V924" s="14" t="s">
        <v>31</v>
      </c>
      <c r="W924" s="14"/>
      <c r="X924" s="14">
        <f>IF(V924="Yes",1,0)</f>
        <v>0</v>
      </c>
      <c r="Y924" s="14">
        <f>IF(H924="Active",0,1)</f>
        <v>0</v>
      </c>
    </row>
    <row r="925" spans="1:25" ht="18" customHeight="1" x14ac:dyDescent="0.35">
      <c r="A925" s="8" t="s">
        <v>1669</v>
      </c>
      <c r="B925" s="8" t="s">
        <v>714</v>
      </c>
      <c r="C925" s="8" t="s">
        <v>34</v>
      </c>
      <c r="D925" s="9">
        <v>57</v>
      </c>
      <c r="E925" s="8" t="s">
        <v>63</v>
      </c>
      <c r="F925" s="8" t="s">
        <v>53</v>
      </c>
      <c r="G925" s="10">
        <v>45680</v>
      </c>
      <c r="H925" s="8" t="s">
        <v>26</v>
      </c>
      <c r="I925" s="8" t="s">
        <v>27</v>
      </c>
      <c r="J925" s="8" t="s">
        <v>2270</v>
      </c>
      <c r="K925" s="8" t="s">
        <v>55</v>
      </c>
      <c r="L925" s="8" t="s">
        <v>56</v>
      </c>
      <c r="M925" s="8" t="s">
        <v>45</v>
      </c>
      <c r="N925" s="11">
        <v>109483</v>
      </c>
      <c r="O925" s="11">
        <v>46782</v>
      </c>
      <c r="P925" s="12">
        <v>95.9</v>
      </c>
      <c r="Q925" s="9">
        <v>8</v>
      </c>
      <c r="R925" s="13">
        <v>24</v>
      </c>
      <c r="S925" s="13">
        <v>2</v>
      </c>
      <c r="T925" s="9">
        <v>1</v>
      </c>
      <c r="U925" s="13">
        <v>96</v>
      </c>
      <c r="V925" s="8" t="s">
        <v>31</v>
      </c>
      <c r="W925" s="8"/>
      <c r="X925" s="22">
        <f>IF(V925="Yes",1,0)</f>
        <v>0</v>
      </c>
      <c r="Y925" s="22">
        <f>IF(H925="Active",0,1)</f>
        <v>0</v>
      </c>
    </row>
    <row r="926" spans="1:25" ht="18" customHeight="1" x14ac:dyDescent="0.35">
      <c r="A926" s="14" t="s">
        <v>190</v>
      </c>
      <c r="B926" s="14" t="s">
        <v>191</v>
      </c>
      <c r="C926" s="14" t="s">
        <v>25</v>
      </c>
      <c r="D926" s="15">
        <v>58</v>
      </c>
      <c r="E926" s="14" t="s">
        <v>93</v>
      </c>
      <c r="F926" s="14" t="s">
        <v>43</v>
      </c>
      <c r="G926" s="16">
        <v>45679</v>
      </c>
      <c r="H926" s="14" t="s">
        <v>54</v>
      </c>
      <c r="I926" s="14" t="s">
        <v>36</v>
      </c>
      <c r="J926" s="14" t="s">
        <v>80</v>
      </c>
      <c r="K926" s="14" t="s">
        <v>73</v>
      </c>
      <c r="L926" s="14" t="s">
        <v>56</v>
      </c>
      <c r="M926" s="14" t="s">
        <v>60</v>
      </c>
      <c r="N926" s="17">
        <v>193677</v>
      </c>
      <c r="O926" s="17">
        <v>42495</v>
      </c>
      <c r="P926" s="18">
        <v>91.6</v>
      </c>
      <c r="Q926" s="15">
        <v>0</v>
      </c>
      <c r="R926" s="19">
        <v>19</v>
      </c>
      <c r="S926" s="19">
        <v>2</v>
      </c>
      <c r="T926" s="15">
        <v>11</v>
      </c>
      <c r="U926" s="19">
        <v>66</v>
      </c>
      <c r="V926" s="14" t="s">
        <v>31</v>
      </c>
      <c r="W926" s="14" t="s">
        <v>57</v>
      </c>
      <c r="X926" s="14">
        <f>IF(V926="Yes",1,0)</f>
        <v>0</v>
      </c>
      <c r="Y926" s="14">
        <f>IF(H926="Active",0,1)</f>
        <v>1</v>
      </c>
    </row>
    <row r="927" spans="1:25" ht="18" customHeight="1" x14ac:dyDescent="0.35">
      <c r="A927" s="8" t="s">
        <v>351</v>
      </c>
      <c r="B927" s="8" t="s">
        <v>162</v>
      </c>
      <c r="C927" s="8" t="s">
        <v>25</v>
      </c>
      <c r="D927" s="9">
        <v>34</v>
      </c>
      <c r="E927" s="8" t="s">
        <v>52</v>
      </c>
      <c r="F927" s="8" t="s">
        <v>79</v>
      </c>
      <c r="G927" s="10">
        <v>45679</v>
      </c>
      <c r="H927" s="8" t="s">
        <v>26</v>
      </c>
      <c r="I927" s="8" t="s">
        <v>27</v>
      </c>
      <c r="J927" s="8" t="s">
        <v>2269</v>
      </c>
      <c r="K927" s="8" t="s">
        <v>28</v>
      </c>
      <c r="L927" s="8" t="s">
        <v>29</v>
      </c>
      <c r="M927" s="8" t="s">
        <v>30</v>
      </c>
      <c r="N927" s="11">
        <v>142617</v>
      </c>
      <c r="O927" s="11">
        <v>32540</v>
      </c>
      <c r="P927" s="12">
        <v>86.7</v>
      </c>
      <c r="Q927" s="9">
        <v>10</v>
      </c>
      <c r="R927" s="13">
        <v>18</v>
      </c>
      <c r="S927" s="13">
        <v>5</v>
      </c>
      <c r="T927" s="9">
        <v>18</v>
      </c>
      <c r="U927" s="13">
        <v>67</v>
      </c>
      <c r="V927" s="8" t="s">
        <v>31</v>
      </c>
      <c r="W927" s="8"/>
      <c r="X927" s="22">
        <f>IF(V927="Yes",1,0)</f>
        <v>0</v>
      </c>
      <c r="Y927" s="22">
        <f>IF(H927="Active",0,1)</f>
        <v>0</v>
      </c>
    </row>
    <row r="928" spans="1:25" ht="18" customHeight="1" x14ac:dyDescent="0.35">
      <c r="A928" s="14" t="s">
        <v>511</v>
      </c>
      <c r="B928" s="14" t="s">
        <v>33</v>
      </c>
      <c r="C928" s="14" t="s">
        <v>25</v>
      </c>
      <c r="D928" s="15">
        <v>22</v>
      </c>
      <c r="E928" s="14" t="s">
        <v>52</v>
      </c>
      <c r="F928" s="14" t="s">
        <v>12</v>
      </c>
      <c r="G928" s="16">
        <v>45679</v>
      </c>
      <c r="H928" s="14" t="s">
        <v>26</v>
      </c>
      <c r="I928" s="14" t="s">
        <v>36</v>
      </c>
      <c r="J928" s="14" t="s">
        <v>2269</v>
      </c>
      <c r="K928" s="14" t="s">
        <v>37</v>
      </c>
      <c r="L928" s="14" t="s">
        <v>29</v>
      </c>
      <c r="M928" s="14" t="s">
        <v>30</v>
      </c>
      <c r="N928" s="17">
        <v>203509</v>
      </c>
      <c r="O928" s="17">
        <v>39164</v>
      </c>
      <c r="P928" s="18">
        <v>88</v>
      </c>
      <c r="Q928" s="15">
        <v>6</v>
      </c>
      <c r="R928" s="19">
        <v>19</v>
      </c>
      <c r="S928" s="19">
        <v>3</v>
      </c>
      <c r="T928" s="15">
        <v>34</v>
      </c>
      <c r="U928" s="19">
        <v>95</v>
      </c>
      <c r="V928" s="14" t="s">
        <v>31</v>
      </c>
      <c r="W928" s="14"/>
      <c r="X928" s="14">
        <f>IF(V928="Yes",1,0)</f>
        <v>0</v>
      </c>
      <c r="Y928" s="14">
        <f>IF(H928="Active",0,1)</f>
        <v>0</v>
      </c>
    </row>
    <row r="929" spans="1:25" ht="18" customHeight="1" x14ac:dyDescent="0.35">
      <c r="A929" s="14" t="s">
        <v>1768</v>
      </c>
      <c r="B929" s="14" t="s">
        <v>193</v>
      </c>
      <c r="C929" s="14" t="s">
        <v>25</v>
      </c>
      <c r="D929" s="15">
        <v>52</v>
      </c>
      <c r="E929" s="14" t="s">
        <v>67</v>
      </c>
      <c r="F929" s="14" t="s">
        <v>53</v>
      </c>
      <c r="G929" s="16">
        <v>45678</v>
      </c>
      <c r="H929" s="14" t="s">
        <v>26</v>
      </c>
      <c r="I929" s="14" t="s">
        <v>27</v>
      </c>
      <c r="J929" s="14" t="s">
        <v>2270</v>
      </c>
      <c r="K929" s="14" t="s">
        <v>28</v>
      </c>
      <c r="L929" s="14" t="s">
        <v>116</v>
      </c>
      <c r="M929" s="14" t="s">
        <v>39</v>
      </c>
      <c r="N929" s="17">
        <v>57470</v>
      </c>
      <c r="O929" s="17">
        <v>24539</v>
      </c>
      <c r="P929" s="18">
        <v>85.9</v>
      </c>
      <c r="Q929" s="15">
        <v>9</v>
      </c>
      <c r="R929" s="19">
        <v>0</v>
      </c>
      <c r="S929" s="19">
        <v>1</v>
      </c>
      <c r="T929" s="15">
        <v>31</v>
      </c>
      <c r="U929" s="19">
        <v>70</v>
      </c>
      <c r="V929" s="14" t="s">
        <v>31</v>
      </c>
      <c r="W929" s="14"/>
      <c r="X929" s="14">
        <f>IF(V929="Yes",1,0)</f>
        <v>0</v>
      </c>
      <c r="Y929" s="14">
        <f>IF(H929="Active",0,1)</f>
        <v>0</v>
      </c>
    </row>
    <row r="930" spans="1:25" ht="18" customHeight="1" x14ac:dyDescent="0.35">
      <c r="A930" s="14" t="s">
        <v>416</v>
      </c>
      <c r="B930" s="14" t="s">
        <v>33</v>
      </c>
      <c r="C930" s="14" t="s">
        <v>34</v>
      </c>
      <c r="D930" s="15">
        <v>57</v>
      </c>
      <c r="E930" s="14" t="s">
        <v>67</v>
      </c>
      <c r="F930" s="14" t="s">
        <v>12</v>
      </c>
      <c r="G930" s="16">
        <v>45677</v>
      </c>
      <c r="H930" s="14" t="s">
        <v>26</v>
      </c>
      <c r="I930" s="14" t="s">
        <v>27</v>
      </c>
      <c r="J930" s="14" t="s">
        <v>2270</v>
      </c>
      <c r="K930" s="14" t="s">
        <v>55</v>
      </c>
      <c r="L930" s="14" t="s">
        <v>56</v>
      </c>
      <c r="M930" s="14" t="s">
        <v>30</v>
      </c>
      <c r="N930" s="17">
        <v>64983</v>
      </c>
      <c r="O930" s="17">
        <v>24808</v>
      </c>
      <c r="P930" s="18">
        <v>82.4</v>
      </c>
      <c r="Q930" s="15">
        <v>4</v>
      </c>
      <c r="R930" s="19">
        <v>28</v>
      </c>
      <c r="S930" s="19">
        <v>2</v>
      </c>
      <c r="T930" s="15">
        <v>16</v>
      </c>
      <c r="U930" s="19">
        <v>65</v>
      </c>
      <c r="V930" s="14" t="s">
        <v>31</v>
      </c>
      <c r="W930" s="14"/>
      <c r="X930" s="14">
        <f>IF(V930="Yes",1,0)</f>
        <v>0</v>
      </c>
      <c r="Y930" s="14">
        <f>IF(H930="Active",0,1)</f>
        <v>0</v>
      </c>
    </row>
    <row r="931" spans="1:25" ht="18" customHeight="1" x14ac:dyDescent="0.35">
      <c r="A931" s="8" t="s">
        <v>292</v>
      </c>
      <c r="B931" s="8" t="s">
        <v>293</v>
      </c>
      <c r="C931" s="8" t="s">
        <v>25</v>
      </c>
      <c r="D931" s="9">
        <v>31</v>
      </c>
      <c r="E931" s="8" t="s">
        <v>86</v>
      </c>
      <c r="F931" s="8" t="s">
        <v>72</v>
      </c>
      <c r="G931" s="10">
        <v>45676</v>
      </c>
      <c r="H931" s="8" t="s">
        <v>26</v>
      </c>
      <c r="I931" s="8" t="s">
        <v>27</v>
      </c>
      <c r="J931" s="8" t="s">
        <v>2268</v>
      </c>
      <c r="K931" s="8" t="s">
        <v>73</v>
      </c>
      <c r="L931" s="8" t="s">
        <v>49</v>
      </c>
      <c r="M931" s="8" t="s">
        <v>64</v>
      </c>
      <c r="N931" s="11">
        <v>112288</v>
      </c>
      <c r="O931" s="11">
        <v>42931</v>
      </c>
      <c r="P931" s="12">
        <v>84.6</v>
      </c>
      <c r="Q931" s="9">
        <v>8</v>
      </c>
      <c r="R931" s="13">
        <v>23</v>
      </c>
      <c r="S931" s="13">
        <v>4</v>
      </c>
      <c r="T931" s="9">
        <v>15</v>
      </c>
      <c r="U931" s="13">
        <v>90</v>
      </c>
      <c r="V931" s="8" t="s">
        <v>31</v>
      </c>
      <c r="W931" s="8"/>
      <c r="X931" s="22">
        <f>IF(V931="Yes",1,0)</f>
        <v>0</v>
      </c>
      <c r="Y931" s="22">
        <f>IF(H931="Active",0,1)</f>
        <v>0</v>
      </c>
    </row>
    <row r="932" spans="1:25" ht="18" customHeight="1" x14ac:dyDescent="0.35">
      <c r="A932" s="14" t="s">
        <v>663</v>
      </c>
      <c r="B932" s="14" t="s">
        <v>85</v>
      </c>
      <c r="C932" s="14" t="s">
        <v>34</v>
      </c>
      <c r="D932" s="15">
        <v>42</v>
      </c>
      <c r="E932" s="14" t="s">
        <v>42</v>
      </c>
      <c r="F932" s="14" t="s">
        <v>90</v>
      </c>
      <c r="G932" s="16">
        <v>45676</v>
      </c>
      <c r="H932" s="14" t="s">
        <v>26</v>
      </c>
      <c r="I932" s="14" t="s">
        <v>27</v>
      </c>
      <c r="J932" s="14" t="s">
        <v>2269</v>
      </c>
      <c r="K932" s="14" t="s">
        <v>55</v>
      </c>
      <c r="L932" s="14" t="s">
        <v>49</v>
      </c>
      <c r="M932" s="14" t="s">
        <v>45</v>
      </c>
      <c r="N932" s="17">
        <v>200734</v>
      </c>
      <c r="O932" s="17">
        <v>48521</v>
      </c>
      <c r="P932" s="18">
        <v>80.099999999999994</v>
      </c>
      <c r="Q932" s="15">
        <v>0</v>
      </c>
      <c r="R932" s="19">
        <v>24</v>
      </c>
      <c r="S932" s="19">
        <v>5</v>
      </c>
      <c r="T932" s="15">
        <v>4</v>
      </c>
      <c r="U932" s="19">
        <v>68</v>
      </c>
      <c r="V932" s="14" t="s">
        <v>31</v>
      </c>
      <c r="W932" s="14"/>
      <c r="X932" s="14">
        <f>IF(V932="Yes",1,0)</f>
        <v>0</v>
      </c>
      <c r="Y932" s="14">
        <f>IF(H932="Active",0,1)</f>
        <v>0</v>
      </c>
    </row>
    <row r="933" spans="1:25" ht="18" customHeight="1" x14ac:dyDescent="0.35">
      <c r="A933" s="8" t="s">
        <v>1351</v>
      </c>
      <c r="B933" s="8" t="s">
        <v>1010</v>
      </c>
      <c r="C933" s="8" t="s">
        <v>25</v>
      </c>
      <c r="D933" s="9">
        <v>21</v>
      </c>
      <c r="E933" s="8" t="s">
        <v>2303</v>
      </c>
      <c r="F933" s="8" t="s">
        <v>90</v>
      </c>
      <c r="G933" s="10">
        <v>45676</v>
      </c>
      <c r="H933" s="8" t="s">
        <v>26</v>
      </c>
      <c r="I933" s="8" t="s">
        <v>36</v>
      </c>
      <c r="J933" s="8" t="s">
        <v>2270</v>
      </c>
      <c r="K933" s="8" t="s">
        <v>55</v>
      </c>
      <c r="L933" s="8" t="s">
        <v>87</v>
      </c>
      <c r="M933" s="8" t="s">
        <v>60</v>
      </c>
      <c r="N933" s="11">
        <v>43416</v>
      </c>
      <c r="O933" s="11">
        <v>36490</v>
      </c>
      <c r="P933" s="12">
        <v>91.6</v>
      </c>
      <c r="Q933" s="9">
        <v>7</v>
      </c>
      <c r="R933" s="13">
        <v>7</v>
      </c>
      <c r="S933" s="13">
        <v>4</v>
      </c>
      <c r="T933" s="9">
        <v>39</v>
      </c>
      <c r="U933" s="13">
        <v>63</v>
      </c>
      <c r="V933" s="8" t="s">
        <v>31</v>
      </c>
      <c r="W933" s="8"/>
      <c r="X933" s="22">
        <f>IF(V933="Yes",1,0)</f>
        <v>0</v>
      </c>
      <c r="Y933" s="22">
        <f>IF(H933="Active",0,1)</f>
        <v>0</v>
      </c>
    </row>
    <row r="934" spans="1:25" ht="18" customHeight="1" x14ac:dyDescent="0.35">
      <c r="A934" s="14" t="s">
        <v>1458</v>
      </c>
      <c r="B934" s="14" t="s">
        <v>672</v>
      </c>
      <c r="C934" s="14" t="s">
        <v>25</v>
      </c>
      <c r="D934" s="15">
        <v>29</v>
      </c>
      <c r="E934" s="14" t="s">
        <v>2303</v>
      </c>
      <c r="F934" s="14" t="s">
        <v>90</v>
      </c>
      <c r="G934" s="16">
        <v>45676</v>
      </c>
      <c r="H934" s="14" t="s">
        <v>26</v>
      </c>
      <c r="I934" s="14" t="s">
        <v>27</v>
      </c>
      <c r="J934" s="14" t="s">
        <v>2268</v>
      </c>
      <c r="K934" s="14" t="s">
        <v>28</v>
      </c>
      <c r="L934" s="14" t="s">
        <v>38</v>
      </c>
      <c r="M934" s="14" t="s">
        <v>30</v>
      </c>
      <c r="N934" s="17">
        <v>89315</v>
      </c>
      <c r="O934" s="17">
        <v>25836</v>
      </c>
      <c r="P934" s="18">
        <v>94.1</v>
      </c>
      <c r="Q934" s="15">
        <v>7</v>
      </c>
      <c r="R934" s="19">
        <v>17</v>
      </c>
      <c r="S934" s="19">
        <v>3</v>
      </c>
      <c r="T934" s="15">
        <v>0</v>
      </c>
      <c r="U934" s="19">
        <v>78</v>
      </c>
      <c r="V934" s="14" t="s">
        <v>31</v>
      </c>
      <c r="W934" s="14"/>
      <c r="X934" s="14">
        <f>IF(V934="Yes",1,0)</f>
        <v>0</v>
      </c>
      <c r="Y934" s="14">
        <f>IF(H934="Active",0,1)</f>
        <v>0</v>
      </c>
    </row>
    <row r="935" spans="1:25" ht="18" customHeight="1" x14ac:dyDescent="0.35">
      <c r="A935" s="8" t="s">
        <v>1471</v>
      </c>
      <c r="B935" s="8" t="s">
        <v>815</v>
      </c>
      <c r="C935" s="8" t="s">
        <v>25</v>
      </c>
      <c r="D935" s="9">
        <v>21</v>
      </c>
      <c r="E935" s="8" t="s">
        <v>2303</v>
      </c>
      <c r="F935" s="8" t="s">
        <v>79</v>
      </c>
      <c r="G935" s="10">
        <v>45676</v>
      </c>
      <c r="H935" s="8" t="s">
        <v>26</v>
      </c>
      <c r="I935" s="8" t="s">
        <v>36</v>
      </c>
      <c r="J935" s="8" t="s">
        <v>2270</v>
      </c>
      <c r="K935" s="8" t="s">
        <v>73</v>
      </c>
      <c r="L935" s="8" t="s">
        <v>116</v>
      </c>
      <c r="M935" s="8" t="s">
        <v>45</v>
      </c>
      <c r="N935" s="11">
        <v>82876</v>
      </c>
      <c r="O935" s="11">
        <v>18211</v>
      </c>
      <c r="P935" s="12">
        <v>85.8</v>
      </c>
      <c r="Q935" s="9">
        <v>0</v>
      </c>
      <c r="R935" s="13">
        <v>25</v>
      </c>
      <c r="S935" s="13">
        <v>3</v>
      </c>
      <c r="T935" s="9">
        <v>34</v>
      </c>
      <c r="U935" s="13">
        <v>62</v>
      </c>
      <c r="V935" s="8" t="s">
        <v>31</v>
      </c>
      <c r="W935" s="8"/>
      <c r="X935" s="22">
        <f>IF(V935="Yes",1,0)</f>
        <v>0</v>
      </c>
      <c r="Y935" s="22">
        <f>IF(H935="Active",0,1)</f>
        <v>0</v>
      </c>
    </row>
    <row r="936" spans="1:25" ht="18" customHeight="1" x14ac:dyDescent="0.35">
      <c r="A936" s="8" t="s">
        <v>178</v>
      </c>
      <c r="B936" s="8" t="s">
        <v>179</v>
      </c>
      <c r="C936" s="8" t="s">
        <v>25</v>
      </c>
      <c r="D936" s="9">
        <v>35</v>
      </c>
      <c r="E936" s="8" t="s">
        <v>63</v>
      </c>
      <c r="F936" s="8" t="s">
        <v>12</v>
      </c>
      <c r="G936" s="10">
        <v>45675</v>
      </c>
      <c r="H936" s="8" t="s">
        <v>54</v>
      </c>
      <c r="I936" s="8" t="s">
        <v>27</v>
      </c>
      <c r="J936" s="8" t="s">
        <v>2268</v>
      </c>
      <c r="K936" s="8" t="s">
        <v>73</v>
      </c>
      <c r="L936" s="8" t="s">
        <v>87</v>
      </c>
      <c r="M936" s="8" t="s">
        <v>60</v>
      </c>
      <c r="N936" s="11">
        <v>55970</v>
      </c>
      <c r="O936" s="11">
        <v>7096</v>
      </c>
      <c r="P936" s="12">
        <v>93.2</v>
      </c>
      <c r="Q936" s="9">
        <v>3</v>
      </c>
      <c r="R936" s="13">
        <v>19</v>
      </c>
      <c r="S936" s="13">
        <v>4</v>
      </c>
      <c r="T936" s="9">
        <v>12</v>
      </c>
      <c r="U936" s="13">
        <v>67</v>
      </c>
      <c r="V936" s="8" t="s">
        <v>31</v>
      </c>
      <c r="W936" s="8" t="s">
        <v>83</v>
      </c>
      <c r="X936" s="22">
        <f>IF(V936="Yes",1,0)</f>
        <v>0</v>
      </c>
      <c r="Y936" s="22">
        <f>IF(H936="Active",0,1)</f>
        <v>1</v>
      </c>
    </row>
    <row r="937" spans="1:25" ht="18" customHeight="1" x14ac:dyDescent="0.35">
      <c r="A937" s="8" t="s">
        <v>803</v>
      </c>
      <c r="B937" s="8" t="s">
        <v>458</v>
      </c>
      <c r="C937" s="8" t="s">
        <v>34</v>
      </c>
      <c r="D937" s="9">
        <v>31</v>
      </c>
      <c r="E937" s="8" t="s">
        <v>63</v>
      </c>
      <c r="F937" s="8" t="s">
        <v>12</v>
      </c>
      <c r="G937" s="10">
        <v>45675</v>
      </c>
      <c r="H937" s="8" t="s">
        <v>26</v>
      </c>
      <c r="I937" s="8" t="s">
        <v>36</v>
      </c>
      <c r="J937" s="8" t="s">
        <v>2269</v>
      </c>
      <c r="K937" s="8" t="s">
        <v>55</v>
      </c>
      <c r="L937" s="8" t="s">
        <v>68</v>
      </c>
      <c r="M937" s="8" t="s">
        <v>39</v>
      </c>
      <c r="N937" s="11">
        <v>83989</v>
      </c>
      <c r="O937" s="11">
        <v>48293</v>
      </c>
      <c r="P937" s="12">
        <v>86.2</v>
      </c>
      <c r="Q937" s="9">
        <v>10</v>
      </c>
      <c r="R937" s="13">
        <v>16</v>
      </c>
      <c r="S937" s="13">
        <v>3</v>
      </c>
      <c r="T937" s="9">
        <v>22</v>
      </c>
      <c r="U937" s="13">
        <v>70</v>
      </c>
      <c r="V937" s="8" t="s">
        <v>31</v>
      </c>
      <c r="W937" s="8"/>
      <c r="X937" s="22">
        <f>IF(V937="Yes",1,0)</f>
        <v>0</v>
      </c>
      <c r="Y937" s="22">
        <f>IF(H937="Active",0,1)</f>
        <v>0</v>
      </c>
    </row>
    <row r="938" spans="1:25" ht="18" customHeight="1" x14ac:dyDescent="0.35">
      <c r="A938" s="8" t="s">
        <v>944</v>
      </c>
      <c r="B938" s="8" t="s">
        <v>267</v>
      </c>
      <c r="C938" s="8" t="s">
        <v>34</v>
      </c>
      <c r="D938" s="9">
        <v>48</v>
      </c>
      <c r="E938" s="8" t="s">
        <v>109</v>
      </c>
      <c r="F938" s="8" t="s">
        <v>12</v>
      </c>
      <c r="G938" s="10">
        <v>45675</v>
      </c>
      <c r="H938" s="8" t="s">
        <v>26</v>
      </c>
      <c r="I938" s="8" t="s">
        <v>36</v>
      </c>
      <c r="J938" s="8" t="s">
        <v>2269</v>
      </c>
      <c r="K938" s="8" t="s">
        <v>55</v>
      </c>
      <c r="L938" s="8" t="s">
        <v>116</v>
      </c>
      <c r="M938" s="8" t="s">
        <v>39</v>
      </c>
      <c r="N938" s="11">
        <v>47896</v>
      </c>
      <c r="O938" s="11">
        <v>28090</v>
      </c>
      <c r="P938" s="12">
        <v>81.3</v>
      </c>
      <c r="Q938" s="9">
        <v>7</v>
      </c>
      <c r="R938" s="13">
        <v>21</v>
      </c>
      <c r="S938" s="13">
        <v>4</v>
      </c>
      <c r="T938" s="9">
        <v>3</v>
      </c>
      <c r="U938" s="13">
        <v>91</v>
      </c>
      <c r="V938" s="8" t="s">
        <v>31</v>
      </c>
      <c r="W938" s="8"/>
      <c r="X938" s="22">
        <f>IF(V938="Yes",1,0)</f>
        <v>0</v>
      </c>
      <c r="Y938" s="22">
        <f>IF(H938="Active",0,1)</f>
        <v>0</v>
      </c>
    </row>
    <row r="939" spans="1:25" ht="18" customHeight="1" x14ac:dyDescent="0.35">
      <c r="A939" s="8" t="s">
        <v>966</v>
      </c>
      <c r="B939" s="8" t="s">
        <v>362</v>
      </c>
      <c r="C939" s="8" t="s">
        <v>25</v>
      </c>
      <c r="D939" s="9">
        <v>59</v>
      </c>
      <c r="E939" s="8" t="s">
        <v>2304</v>
      </c>
      <c r="F939" s="8" t="s">
        <v>76</v>
      </c>
      <c r="G939" s="10">
        <v>45675</v>
      </c>
      <c r="H939" s="8" t="s">
        <v>26</v>
      </c>
      <c r="I939" s="8" t="s">
        <v>2267</v>
      </c>
      <c r="J939" s="8" t="s">
        <v>48</v>
      </c>
      <c r="K939" s="8" t="s">
        <v>73</v>
      </c>
      <c r="L939" s="8" t="s">
        <v>68</v>
      </c>
      <c r="M939" s="8" t="s">
        <v>39</v>
      </c>
      <c r="N939" s="11">
        <v>130288</v>
      </c>
      <c r="O939" s="11">
        <v>6567</v>
      </c>
      <c r="P939" s="12">
        <v>83.6</v>
      </c>
      <c r="Q939" s="9">
        <v>5</v>
      </c>
      <c r="R939" s="13">
        <v>11</v>
      </c>
      <c r="S939" s="13">
        <v>5</v>
      </c>
      <c r="T939" s="9">
        <v>40</v>
      </c>
      <c r="U939" s="13">
        <v>91</v>
      </c>
      <c r="V939" s="8" t="s">
        <v>31</v>
      </c>
      <c r="W939" s="8"/>
      <c r="X939" s="22">
        <f>IF(V939="Yes",1,0)</f>
        <v>0</v>
      </c>
      <c r="Y939" s="22">
        <f>IF(H939="Active",0,1)</f>
        <v>0</v>
      </c>
    </row>
    <row r="940" spans="1:25" ht="18" customHeight="1" x14ac:dyDescent="0.35">
      <c r="A940" s="14" t="s">
        <v>1496</v>
      </c>
      <c r="B940" s="14" t="s">
        <v>250</v>
      </c>
      <c r="C940" s="14" t="s">
        <v>25</v>
      </c>
      <c r="D940" s="15">
        <v>54</v>
      </c>
      <c r="E940" s="14" t="s">
        <v>52</v>
      </c>
      <c r="F940" s="14" t="s">
        <v>53</v>
      </c>
      <c r="G940" s="16">
        <v>45675</v>
      </c>
      <c r="H940" s="14" t="s">
        <v>26</v>
      </c>
      <c r="I940" s="14" t="s">
        <v>36</v>
      </c>
      <c r="J940" s="14" t="s">
        <v>80</v>
      </c>
      <c r="K940" s="14" t="s">
        <v>55</v>
      </c>
      <c r="L940" s="14" t="s">
        <v>29</v>
      </c>
      <c r="M940" s="14" t="s">
        <v>39</v>
      </c>
      <c r="N940" s="17">
        <v>138359</v>
      </c>
      <c r="O940" s="17">
        <v>7191</v>
      </c>
      <c r="P940" s="18">
        <v>82</v>
      </c>
      <c r="Q940" s="15">
        <v>3</v>
      </c>
      <c r="R940" s="19">
        <v>29</v>
      </c>
      <c r="S940" s="19">
        <v>5</v>
      </c>
      <c r="T940" s="15">
        <v>18</v>
      </c>
      <c r="U940" s="19">
        <v>87</v>
      </c>
      <c r="V940" s="14" t="s">
        <v>31</v>
      </c>
      <c r="W940" s="14"/>
      <c r="X940" s="14">
        <f>IF(V940="Yes",1,0)</f>
        <v>0</v>
      </c>
      <c r="Y940" s="14">
        <f>IF(H940="Active",0,1)</f>
        <v>0</v>
      </c>
    </row>
    <row r="941" spans="1:25" ht="18" customHeight="1" x14ac:dyDescent="0.35">
      <c r="A941" s="8" t="s">
        <v>1341</v>
      </c>
      <c r="B941" s="8" t="s">
        <v>587</v>
      </c>
      <c r="C941" s="8" t="s">
        <v>25</v>
      </c>
      <c r="D941" s="9">
        <v>35</v>
      </c>
      <c r="E941" s="8" t="s">
        <v>2303</v>
      </c>
      <c r="F941" s="8" t="s">
        <v>76</v>
      </c>
      <c r="G941" s="10">
        <v>45674</v>
      </c>
      <c r="H941" s="8" t="s">
        <v>26</v>
      </c>
      <c r="I941" s="8" t="s">
        <v>2267</v>
      </c>
      <c r="J941" s="8" t="s">
        <v>48</v>
      </c>
      <c r="K941" s="8" t="s">
        <v>28</v>
      </c>
      <c r="L941" s="8" t="s">
        <v>49</v>
      </c>
      <c r="M941" s="8" t="s">
        <v>60</v>
      </c>
      <c r="N941" s="11">
        <v>110325</v>
      </c>
      <c r="O941" s="11">
        <v>49705</v>
      </c>
      <c r="P941" s="12">
        <v>98.4</v>
      </c>
      <c r="Q941" s="9">
        <v>10</v>
      </c>
      <c r="R941" s="13">
        <v>3</v>
      </c>
      <c r="S941" s="13">
        <v>4</v>
      </c>
      <c r="T941" s="9">
        <v>22</v>
      </c>
      <c r="U941" s="13">
        <v>69</v>
      </c>
      <c r="V941" s="8" t="s">
        <v>31</v>
      </c>
      <c r="W941" s="8"/>
      <c r="X941" s="22">
        <f>IF(V941="Yes",1,0)</f>
        <v>0</v>
      </c>
      <c r="Y941" s="22">
        <f>IF(H941="Active",0,1)</f>
        <v>0</v>
      </c>
    </row>
    <row r="942" spans="1:25" ht="18" customHeight="1" x14ac:dyDescent="0.35">
      <c r="A942" s="14" t="s">
        <v>1736</v>
      </c>
      <c r="B942" s="14" t="s">
        <v>429</v>
      </c>
      <c r="C942" s="14" t="s">
        <v>34</v>
      </c>
      <c r="D942" s="15">
        <v>45</v>
      </c>
      <c r="E942" s="14" t="s">
        <v>93</v>
      </c>
      <c r="F942" s="14" t="s">
        <v>72</v>
      </c>
      <c r="G942" s="16">
        <v>45674</v>
      </c>
      <c r="H942" s="14" t="s">
        <v>26</v>
      </c>
      <c r="I942" s="14" t="s">
        <v>36</v>
      </c>
      <c r="J942" s="14" t="s">
        <v>2268</v>
      </c>
      <c r="K942" s="14" t="s">
        <v>73</v>
      </c>
      <c r="L942" s="14" t="s">
        <v>38</v>
      </c>
      <c r="M942" s="14" t="s">
        <v>60</v>
      </c>
      <c r="N942" s="17">
        <v>160946</v>
      </c>
      <c r="O942" s="17">
        <v>43496</v>
      </c>
      <c r="P942" s="18">
        <v>85.6</v>
      </c>
      <c r="Q942" s="15">
        <v>5</v>
      </c>
      <c r="R942" s="19">
        <v>8</v>
      </c>
      <c r="S942" s="19">
        <v>5</v>
      </c>
      <c r="T942" s="15">
        <v>24</v>
      </c>
      <c r="U942" s="19">
        <v>63</v>
      </c>
      <c r="V942" s="14" t="s">
        <v>31</v>
      </c>
      <c r="W942" s="14"/>
      <c r="X942" s="14">
        <f>IF(V942="Yes",1,0)</f>
        <v>0</v>
      </c>
      <c r="Y942" s="14">
        <f>IF(H942="Active",0,1)</f>
        <v>0</v>
      </c>
    </row>
    <row r="943" spans="1:25" ht="18" customHeight="1" x14ac:dyDescent="0.35">
      <c r="A943" s="8" t="s">
        <v>1965</v>
      </c>
      <c r="B943" s="8" t="s">
        <v>171</v>
      </c>
      <c r="C943" s="8" t="s">
        <v>25</v>
      </c>
      <c r="D943" s="9">
        <v>60</v>
      </c>
      <c r="E943" s="8" t="s">
        <v>2303</v>
      </c>
      <c r="F943" s="8" t="s">
        <v>76</v>
      </c>
      <c r="G943" s="10">
        <v>45672</v>
      </c>
      <c r="H943" s="8" t="s">
        <v>26</v>
      </c>
      <c r="I943" s="8" t="s">
        <v>2267</v>
      </c>
      <c r="J943" s="8" t="s">
        <v>80</v>
      </c>
      <c r="K943" s="8" t="s">
        <v>73</v>
      </c>
      <c r="L943" s="8" t="s">
        <v>68</v>
      </c>
      <c r="M943" s="8" t="s">
        <v>45</v>
      </c>
      <c r="N943" s="11">
        <v>140516</v>
      </c>
      <c r="O943" s="11">
        <v>40819</v>
      </c>
      <c r="P943" s="12">
        <v>96.4</v>
      </c>
      <c r="Q943" s="9">
        <v>5</v>
      </c>
      <c r="R943" s="13">
        <v>25</v>
      </c>
      <c r="S943" s="13">
        <v>3</v>
      </c>
      <c r="T943" s="9">
        <v>22</v>
      </c>
      <c r="U943" s="13">
        <v>85</v>
      </c>
      <c r="V943" s="8" t="s">
        <v>31</v>
      </c>
      <c r="W943" s="8"/>
      <c r="X943" s="22">
        <f>IF(V943="Yes",1,0)</f>
        <v>0</v>
      </c>
      <c r="Y943" s="22">
        <f>IF(H943="Active",0,1)</f>
        <v>0</v>
      </c>
    </row>
    <row r="944" spans="1:25" ht="18" customHeight="1" x14ac:dyDescent="0.35">
      <c r="A944" s="8" t="s">
        <v>1041</v>
      </c>
      <c r="B944" s="8" t="s">
        <v>630</v>
      </c>
      <c r="C944" s="8" t="s">
        <v>25</v>
      </c>
      <c r="D944" s="9">
        <v>60</v>
      </c>
      <c r="E944" s="8" t="s">
        <v>109</v>
      </c>
      <c r="F944" s="8" t="s">
        <v>35</v>
      </c>
      <c r="G944" s="10">
        <v>45671</v>
      </c>
      <c r="H944" s="8" t="s">
        <v>26</v>
      </c>
      <c r="I944" s="8" t="s">
        <v>27</v>
      </c>
      <c r="J944" s="8" t="s">
        <v>80</v>
      </c>
      <c r="K944" s="8" t="s">
        <v>73</v>
      </c>
      <c r="L944" s="8" t="s">
        <v>29</v>
      </c>
      <c r="M944" s="8" t="s">
        <v>39</v>
      </c>
      <c r="N944" s="11">
        <v>96409</v>
      </c>
      <c r="O944" s="11">
        <v>34414</v>
      </c>
      <c r="P944" s="12">
        <v>90</v>
      </c>
      <c r="Q944" s="9">
        <v>8</v>
      </c>
      <c r="R944" s="13">
        <v>2</v>
      </c>
      <c r="S944" s="13">
        <v>5</v>
      </c>
      <c r="T944" s="9">
        <v>24</v>
      </c>
      <c r="U944" s="13">
        <v>83</v>
      </c>
      <c r="V944" s="8" t="s">
        <v>31</v>
      </c>
      <c r="W944" s="8"/>
      <c r="X944" s="22">
        <f>IF(V944="Yes",1,0)</f>
        <v>0</v>
      </c>
      <c r="Y944" s="22">
        <f>IF(H944="Active",0,1)</f>
        <v>0</v>
      </c>
    </row>
    <row r="945" spans="1:25" ht="18" customHeight="1" x14ac:dyDescent="0.35">
      <c r="A945" s="8" t="s">
        <v>1425</v>
      </c>
      <c r="B945" s="8" t="s">
        <v>461</v>
      </c>
      <c r="C945" s="8" t="s">
        <v>25</v>
      </c>
      <c r="D945" s="9">
        <v>40</v>
      </c>
      <c r="E945" s="8" t="s">
        <v>93</v>
      </c>
      <c r="F945" s="8" t="s">
        <v>90</v>
      </c>
      <c r="G945" s="10">
        <v>45670</v>
      </c>
      <c r="H945" s="8" t="s">
        <v>26</v>
      </c>
      <c r="I945" s="8" t="s">
        <v>2267</v>
      </c>
      <c r="J945" s="8" t="s">
        <v>2270</v>
      </c>
      <c r="K945" s="8" t="s">
        <v>55</v>
      </c>
      <c r="L945" s="8" t="s">
        <v>68</v>
      </c>
      <c r="M945" s="8" t="s">
        <v>39</v>
      </c>
      <c r="N945" s="11">
        <v>106130</v>
      </c>
      <c r="O945" s="11">
        <v>35146</v>
      </c>
      <c r="P945" s="12">
        <v>95.4</v>
      </c>
      <c r="Q945" s="9">
        <v>2</v>
      </c>
      <c r="R945" s="13">
        <v>13</v>
      </c>
      <c r="S945" s="13">
        <v>3</v>
      </c>
      <c r="T945" s="9">
        <v>21</v>
      </c>
      <c r="U945" s="13">
        <v>67</v>
      </c>
      <c r="V945" s="8" t="s">
        <v>31</v>
      </c>
      <c r="W945" s="8"/>
      <c r="X945" s="22">
        <f>IF(V945="Yes",1,0)</f>
        <v>0</v>
      </c>
      <c r="Y945" s="22">
        <f>IF(H945="Active",0,1)</f>
        <v>0</v>
      </c>
    </row>
    <row r="946" spans="1:25" ht="18" customHeight="1" x14ac:dyDescent="0.35">
      <c r="A946" s="14" t="s">
        <v>2266</v>
      </c>
      <c r="B946" s="14" t="s">
        <v>305</v>
      </c>
      <c r="C946" s="14" t="s">
        <v>34</v>
      </c>
      <c r="D946" s="15">
        <v>28</v>
      </c>
      <c r="E946" s="14" t="s">
        <v>52</v>
      </c>
      <c r="F946" s="14" t="s">
        <v>43</v>
      </c>
      <c r="G946" s="16">
        <v>45669</v>
      </c>
      <c r="H946" s="14" t="s">
        <v>54</v>
      </c>
      <c r="I946" s="14" t="s">
        <v>36</v>
      </c>
      <c r="J946" s="14" t="s">
        <v>2269</v>
      </c>
      <c r="K946" s="14" t="s">
        <v>28</v>
      </c>
      <c r="L946" s="14" t="s">
        <v>68</v>
      </c>
      <c r="M946" s="14" t="s">
        <v>64</v>
      </c>
      <c r="N946" s="17">
        <v>239653</v>
      </c>
      <c r="O946" s="17">
        <v>46656</v>
      </c>
      <c r="P946" s="18">
        <v>95.5</v>
      </c>
      <c r="Q946" s="15">
        <v>4</v>
      </c>
      <c r="R946" s="19">
        <v>14</v>
      </c>
      <c r="S946" s="19">
        <v>1</v>
      </c>
      <c r="T946" s="15">
        <v>20</v>
      </c>
      <c r="U946" s="19">
        <v>74</v>
      </c>
      <c r="V946" s="14" t="s">
        <v>31</v>
      </c>
      <c r="W946" s="14" t="s">
        <v>123</v>
      </c>
      <c r="X946" s="14">
        <f>IF(V946="Yes",1,0)</f>
        <v>0</v>
      </c>
      <c r="Y946" s="14">
        <f>IF(H946="Active",0,1)</f>
        <v>1</v>
      </c>
    </row>
    <row r="947" spans="1:25" ht="18" customHeight="1" x14ac:dyDescent="0.35">
      <c r="A947" s="14" t="s">
        <v>337</v>
      </c>
      <c r="B947" s="14" t="s">
        <v>222</v>
      </c>
      <c r="C947" s="14" t="s">
        <v>34</v>
      </c>
      <c r="D947" s="15">
        <v>28</v>
      </c>
      <c r="E947" s="14" t="s">
        <v>63</v>
      </c>
      <c r="F947" s="14" t="s">
        <v>76</v>
      </c>
      <c r="G947" s="16">
        <v>45668</v>
      </c>
      <c r="H947" s="14" t="s">
        <v>26</v>
      </c>
      <c r="I947" s="14" t="s">
        <v>27</v>
      </c>
      <c r="J947" s="14" t="s">
        <v>2268</v>
      </c>
      <c r="K947" s="14" t="s">
        <v>28</v>
      </c>
      <c r="L947" s="14" t="s">
        <v>56</v>
      </c>
      <c r="M947" s="14" t="s">
        <v>45</v>
      </c>
      <c r="N947" s="17">
        <v>58296</v>
      </c>
      <c r="O947" s="17">
        <v>6193</v>
      </c>
      <c r="P947" s="18">
        <v>96.1</v>
      </c>
      <c r="Q947" s="15">
        <v>10</v>
      </c>
      <c r="R947" s="19">
        <v>6</v>
      </c>
      <c r="S947" s="19">
        <v>2</v>
      </c>
      <c r="T947" s="15">
        <v>36</v>
      </c>
      <c r="U947" s="19">
        <v>74</v>
      </c>
      <c r="V947" s="14" t="s">
        <v>69</v>
      </c>
      <c r="W947" s="14"/>
      <c r="X947" s="14">
        <f>IF(V947="Yes",1,0)</f>
        <v>1</v>
      </c>
      <c r="Y947" s="14">
        <f>IF(H947="Active",0,1)</f>
        <v>0</v>
      </c>
    </row>
    <row r="948" spans="1:25" ht="18" customHeight="1" x14ac:dyDescent="0.35">
      <c r="A948" s="14" t="s">
        <v>418</v>
      </c>
      <c r="B948" s="14" t="s">
        <v>111</v>
      </c>
      <c r="C948" s="14" t="s">
        <v>25</v>
      </c>
      <c r="D948" s="15">
        <v>59</v>
      </c>
      <c r="E948" s="14" t="s">
        <v>86</v>
      </c>
      <c r="F948" s="14" t="s">
        <v>79</v>
      </c>
      <c r="G948" s="16">
        <v>45668</v>
      </c>
      <c r="H948" s="14" t="s">
        <v>26</v>
      </c>
      <c r="I948" s="14" t="s">
        <v>36</v>
      </c>
      <c r="J948" s="14" t="s">
        <v>2270</v>
      </c>
      <c r="K948" s="14" t="s">
        <v>73</v>
      </c>
      <c r="L948" s="14" t="s">
        <v>38</v>
      </c>
      <c r="M948" s="14" t="s">
        <v>45</v>
      </c>
      <c r="N948" s="17">
        <v>70605</v>
      </c>
      <c r="O948" s="17">
        <v>7416</v>
      </c>
      <c r="P948" s="18">
        <v>95.9</v>
      </c>
      <c r="Q948" s="15">
        <v>10</v>
      </c>
      <c r="R948" s="19">
        <v>8</v>
      </c>
      <c r="S948" s="19">
        <v>4</v>
      </c>
      <c r="T948" s="15">
        <v>31</v>
      </c>
      <c r="U948" s="19">
        <v>67</v>
      </c>
      <c r="V948" s="14" t="s">
        <v>69</v>
      </c>
      <c r="W948" s="14"/>
      <c r="X948" s="14">
        <f>IF(V948="Yes",1,0)</f>
        <v>1</v>
      </c>
      <c r="Y948" s="14">
        <f>IF(H948="Active",0,1)</f>
        <v>0</v>
      </c>
    </row>
    <row r="949" spans="1:25" ht="18" customHeight="1" x14ac:dyDescent="0.35">
      <c r="A949" s="8" t="s">
        <v>757</v>
      </c>
      <c r="B949" s="8" t="s">
        <v>445</v>
      </c>
      <c r="C949" s="8" t="s">
        <v>25</v>
      </c>
      <c r="D949" s="9">
        <v>42</v>
      </c>
      <c r="E949" s="8" t="s">
        <v>2304</v>
      </c>
      <c r="F949" s="8" t="s">
        <v>79</v>
      </c>
      <c r="G949" s="10">
        <v>45668</v>
      </c>
      <c r="H949" s="8" t="s">
        <v>26</v>
      </c>
      <c r="I949" s="8" t="s">
        <v>36</v>
      </c>
      <c r="J949" s="8" t="s">
        <v>80</v>
      </c>
      <c r="K949" s="8" t="s">
        <v>28</v>
      </c>
      <c r="L949" s="8" t="s">
        <v>87</v>
      </c>
      <c r="M949" s="8" t="s">
        <v>39</v>
      </c>
      <c r="N949" s="11">
        <v>187253</v>
      </c>
      <c r="O949" s="11">
        <v>7295</v>
      </c>
      <c r="P949" s="12">
        <v>88.2</v>
      </c>
      <c r="Q949" s="9">
        <v>10</v>
      </c>
      <c r="R949" s="13">
        <v>19</v>
      </c>
      <c r="S949" s="13">
        <v>1</v>
      </c>
      <c r="T949" s="9">
        <v>16</v>
      </c>
      <c r="U949" s="13">
        <v>100</v>
      </c>
      <c r="V949" s="8" t="s">
        <v>31</v>
      </c>
      <c r="W949" s="8"/>
      <c r="X949" s="22">
        <f>IF(V949="Yes",1,0)</f>
        <v>0</v>
      </c>
      <c r="Y949" s="22">
        <f>IF(H949="Active",0,1)</f>
        <v>0</v>
      </c>
    </row>
    <row r="950" spans="1:25" ht="18" customHeight="1" x14ac:dyDescent="0.35">
      <c r="A950" s="14" t="s">
        <v>1566</v>
      </c>
      <c r="B950" s="14" t="s">
        <v>362</v>
      </c>
      <c r="C950" s="14" t="s">
        <v>25</v>
      </c>
      <c r="D950" s="15">
        <v>27</v>
      </c>
      <c r="E950" s="14" t="s">
        <v>52</v>
      </c>
      <c r="F950" s="14" t="s">
        <v>12</v>
      </c>
      <c r="G950" s="16">
        <v>45668</v>
      </c>
      <c r="H950" s="14" t="s">
        <v>54</v>
      </c>
      <c r="I950" s="14" t="s">
        <v>27</v>
      </c>
      <c r="J950" s="14" t="s">
        <v>2269</v>
      </c>
      <c r="K950" s="14" t="s">
        <v>55</v>
      </c>
      <c r="L950" s="14" t="s">
        <v>56</v>
      </c>
      <c r="M950" s="14" t="s">
        <v>39</v>
      </c>
      <c r="N950" s="17">
        <v>231866</v>
      </c>
      <c r="O950" s="17">
        <v>10118</v>
      </c>
      <c r="P950" s="18">
        <v>97.4</v>
      </c>
      <c r="Q950" s="15">
        <v>5</v>
      </c>
      <c r="R950" s="19">
        <v>7</v>
      </c>
      <c r="S950" s="19">
        <v>3</v>
      </c>
      <c r="T950" s="15">
        <v>19</v>
      </c>
      <c r="U950" s="19">
        <v>64</v>
      </c>
      <c r="V950" s="14" t="s">
        <v>31</v>
      </c>
      <c r="W950" s="14" t="s">
        <v>205</v>
      </c>
      <c r="X950" s="14">
        <f>IF(V950="Yes",1,0)</f>
        <v>0</v>
      </c>
      <c r="Y950" s="14">
        <f>IF(H950="Active",0,1)</f>
        <v>1</v>
      </c>
    </row>
    <row r="951" spans="1:25" ht="18" customHeight="1" x14ac:dyDescent="0.35">
      <c r="A951" s="8" t="s">
        <v>2211</v>
      </c>
      <c r="B951" s="8" t="s">
        <v>215</v>
      </c>
      <c r="C951" s="8" t="s">
        <v>34</v>
      </c>
      <c r="D951" s="9">
        <v>36</v>
      </c>
      <c r="E951" s="8" t="s">
        <v>63</v>
      </c>
      <c r="F951" s="8" t="s">
        <v>35</v>
      </c>
      <c r="G951" s="10">
        <v>45668</v>
      </c>
      <c r="H951" s="8" t="s">
        <v>26</v>
      </c>
      <c r="I951" s="8" t="s">
        <v>2267</v>
      </c>
      <c r="J951" s="8" t="s">
        <v>2268</v>
      </c>
      <c r="K951" s="8" t="s">
        <v>55</v>
      </c>
      <c r="L951" s="8" t="s">
        <v>56</v>
      </c>
      <c r="M951" s="8" t="s">
        <v>45</v>
      </c>
      <c r="N951" s="11">
        <v>59735</v>
      </c>
      <c r="O951" s="11">
        <v>21876</v>
      </c>
      <c r="P951" s="12">
        <v>97.9</v>
      </c>
      <c r="Q951" s="9">
        <v>4</v>
      </c>
      <c r="R951" s="13">
        <v>18</v>
      </c>
      <c r="S951" s="13">
        <v>5</v>
      </c>
      <c r="T951" s="9">
        <v>27</v>
      </c>
      <c r="U951" s="13">
        <v>95</v>
      </c>
      <c r="V951" s="8" t="s">
        <v>31</v>
      </c>
      <c r="W951" s="8"/>
      <c r="X951" s="22">
        <f>IF(V951="Yes",1,0)</f>
        <v>0</v>
      </c>
      <c r="Y951" s="22">
        <f>IF(H951="Active",0,1)</f>
        <v>0</v>
      </c>
    </row>
    <row r="952" spans="1:25" ht="18" customHeight="1" x14ac:dyDescent="0.35">
      <c r="A952" s="8" t="s">
        <v>621</v>
      </c>
      <c r="B952" s="8" t="s">
        <v>537</v>
      </c>
      <c r="C952" s="8" t="s">
        <v>25</v>
      </c>
      <c r="D952" s="9">
        <v>39</v>
      </c>
      <c r="E952" s="8" t="s">
        <v>2303</v>
      </c>
      <c r="F952" s="8" t="s">
        <v>90</v>
      </c>
      <c r="G952" s="10">
        <v>45667</v>
      </c>
      <c r="H952" s="8" t="s">
        <v>26</v>
      </c>
      <c r="I952" s="8" t="s">
        <v>2267</v>
      </c>
      <c r="J952" s="8" t="s">
        <v>80</v>
      </c>
      <c r="K952" s="8" t="s">
        <v>73</v>
      </c>
      <c r="L952" s="8" t="s">
        <v>38</v>
      </c>
      <c r="M952" s="8" t="s">
        <v>64</v>
      </c>
      <c r="N952" s="11">
        <v>136153</v>
      </c>
      <c r="O952" s="11">
        <v>19792</v>
      </c>
      <c r="P952" s="12">
        <v>95.9</v>
      </c>
      <c r="Q952" s="9">
        <v>9</v>
      </c>
      <c r="R952" s="13">
        <v>3</v>
      </c>
      <c r="S952" s="13">
        <v>1</v>
      </c>
      <c r="T952" s="9">
        <v>40</v>
      </c>
      <c r="U952" s="13">
        <v>77</v>
      </c>
      <c r="V952" s="8" t="s">
        <v>69</v>
      </c>
      <c r="W952" s="8"/>
      <c r="X952" s="22">
        <f>IF(V952="Yes",1,0)</f>
        <v>1</v>
      </c>
      <c r="Y952" s="22">
        <f>IF(H952="Active",0,1)</f>
        <v>0</v>
      </c>
    </row>
    <row r="953" spans="1:25" ht="18" customHeight="1" x14ac:dyDescent="0.35">
      <c r="A953" s="14" t="s">
        <v>1034</v>
      </c>
      <c r="B953" s="14" t="s">
        <v>203</v>
      </c>
      <c r="C953" s="14" t="s">
        <v>25</v>
      </c>
      <c r="D953" s="15">
        <v>52</v>
      </c>
      <c r="E953" s="14" t="s">
        <v>93</v>
      </c>
      <c r="F953" s="14" t="s">
        <v>90</v>
      </c>
      <c r="G953" s="16">
        <v>45667</v>
      </c>
      <c r="H953" s="14" t="s">
        <v>26</v>
      </c>
      <c r="I953" s="14" t="s">
        <v>36</v>
      </c>
      <c r="J953" s="14" t="s">
        <v>2268</v>
      </c>
      <c r="K953" s="14" t="s">
        <v>55</v>
      </c>
      <c r="L953" s="14" t="s">
        <v>29</v>
      </c>
      <c r="M953" s="14" t="s">
        <v>60</v>
      </c>
      <c r="N953" s="17">
        <v>228464</v>
      </c>
      <c r="O953" s="17">
        <v>9898</v>
      </c>
      <c r="P953" s="18">
        <v>82.3</v>
      </c>
      <c r="Q953" s="15">
        <v>3</v>
      </c>
      <c r="R953" s="19">
        <v>14</v>
      </c>
      <c r="S953" s="19">
        <v>2</v>
      </c>
      <c r="T953" s="15">
        <v>27</v>
      </c>
      <c r="U953" s="19">
        <v>67</v>
      </c>
      <c r="V953" s="14" t="s">
        <v>31</v>
      </c>
      <c r="W953" s="14"/>
      <c r="X953" s="14">
        <f>IF(V953="Yes",1,0)</f>
        <v>0</v>
      </c>
      <c r="Y953" s="14">
        <f>IF(H953="Active",0,1)</f>
        <v>0</v>
      </c>
    </row>
    <row r="954" spans="1:25" ht="18" customHeight="1" x14ac:dyDescent="0.35">
      <c r="A954" s="8" t="s">
        <v>1065</v>
      </c>
      <c r="B954" s="8" t="s">
        <v>248</v>
      </c>
      <c r="C954" s="8" t="s">
        <v>25</v>
      </c>
      <c r="D954" s="9">
        <v>24</v>
      </c>
      <c r="E954" s="8" t="s">
        <v>93</v>
      </c>
      <c r="F954" s="8" t="s">
        <v>43</v>
      </c>
      <c r="G954" s="10">
        <v>45667</v>
      </c>
      <c r="H954" s="8" t="s">
        <v>26</v>
      </c>
      <c r="I954" s="8" t="s">
        <v>36</v>
      </c>
      <c r="J954" s="8" t="s">
        <v>48</v>
      </c>
      <c r="K954" s="8" t="s">
        <v>55</v>
      </c>
      <c r="L954" s="8" t="s">
        <v>29</v>
      </c>
      <c r="M954" s="8" t="s">
        <v>64</v>
      </c>
      <c r="N954" s="11">
        <v>75900</v>
      </c>
      <c r="O954" s="11">
        <v>33540</v>
      </c>
      <c r="P954" s="12">
        <v>85.7</v>
      </c>
      <c r="Q954" s="9">
        <v>10</v>
      </c>
      <c r="R954" s="13">
        <v>3</v>
      </c>
      <c r="S954" s="13">
        <v>4</v>
      </c>
      <c r="T954" s="9">
        <v>38</v>
      </c>
      <c r="U954" s="13">
        <v>83</v>
      </c>
      <c r="V954" s="8" t="s">
        <v>31</v>
      </c>
      <c r="W954" s="8"/>
      <c r="X954" s="22">
        <f>IF(V954="Yes",1,0)</f>
        <v>0</v>
      </c>
      <c r="Y954" s="22">
        <f>IF(H954="Active",0,1)</f>
        <v>0</v>
      </c>
    </row>
    <row r="955" spans="1:25" ht="18" customHeight="1" x14ac:dyDescent="0.35">
      <c r="A955" s="8" t="s">
        <v>235</v>
      </c>
      <c r="B955" s="8" t="s">
        <v>140</v>
      </c>
      <c r="C955" s="8" t="s">
        <v>34</v>
      </c>
      <c r="D955" s="9">
        <v>53</v>
      </c>
      <c r="E955" s="8" t="s">
        <v>42</v>
      </c>
      <c r="F955" s="8" t="s">
        <v>35</v>
      </c>
      <c r="G955" s="10">
        <v>45666</v>
      </c>
      <c r="H955" s="8" t="s">
        <v>26</v>
      </c>
      <c r="I955" s="8" t="s">
        <v>2267</v>
      </c>
      <c r="J955" s="8" t="s">
        <v>80</v>
      </c>
      <c r="K955" s="8" t="s">
        <v>2271</v>
      </c>
      <c r="L955" s="8" t="s">
        <v>38</v>
      </c>
      <c r="M955" s="8" t="s">
        <v>45</v>
      </c>
      <c r="N955" s="11">
        <v>43396</v>
      </c>
      <c r="O955" s="11">
        <v>17952</v>
      </c>
      <c r="P955" s="12">
        <v>97.4</v>
      </c>
      <c r="Q955" s="9">
        <v>4</v>
      </c>
      <c r="R955" s="13">
        <v>12</v>
      </c>
      <c r="S955" s="13">
        <v>2</v>
      </c>
      <c r="T955" s="9">
        <v>27</v>
      </c>
      <c r="U955" s="13">
        <v>98</v>
      </c>
      <c r="V955" s="8" t="s">
        <v>31</v>
      </c>
      <c r="W955" s="8"/>
      <c r="X955" s="22">
        <f>IF(V955="Yes",1,0)</f>
        <v>0</v>
      </c>
      <c r="Y955" s="22">
        <f>IF(H955="Active",0,1)</f>
        <v>0</v>
      </c>
    </row>
    <row r="956" spans="1:25" ht="18" customHeight="1" x14ac:dyDescent="0.35">
      <c r="A956" s="8" t="s">
        <v>1202</v>
      </c>
      <c r="B956" s="8" t="s">
        <v>817</v>
      </c>
      <c r="C956" s="8" t="s">
        <v>34</v>
      </c>
      <c r="D956" s="9">
        <v>41</v>
      </c>
      <c r="E956" s="8" t="s">
        <v>2304</v>
      </c>
      <c r="F956" s="8" t="s">
        <v>35</v>
      </c>
      <c r="G956" s="10">
        <v>45666</v>
      </c>
      <c r="H956" s="8" t="s">
        <v>26</v>
      </c>
      <c r="I956" s="8" t="s">
        <v>2267</v>
      </c>
      <c r="J956" s="8" t="s">
        <v>2270</v>
      </c>
      <c r="K956" s="8" t="s">
        <v>73</v>
      </c>
      <c r="L956" s="8" t="s">
        <v>44</v>
      </c>
      <c r="M956" s="8" t="s">
        <v>30</v>
      </c>
      <c r="N956" s="11">
        <v>216169</v>
      </c>
      <c r="O956" s="11">
        <v>35132</v>
      </c>
      <c r="P956" s="12">
        <v>88.2</v>
      </c>
      <c r="Q956" s="9">
        <v>10</v>
      </c>
      <c r="R956" s="13">
        <v>7</v>
      </c>
      <c r="S956" s="13">
        <v>3</v>
      </c>
      <c r="T956" s="9">
        <v>12</v>
      </c>
      <c r="U956" s="13">
        <v>71</v>
      </c>
      <c r="V956" s="8" t="s">
        <v>31</v>
      </c>
      <c r="W956" s="8"/>
      <c r="X956" s="22">
        <f>IF(V956="Yes",1,0)</f>
        <v>0</v>
      </c>
      <c r="Y956" s="22">
        <f>IF(H956="Active",0,1)</f>
        <v>0</v>
      </c>
    </row>
    <row r="957" spans="1:25" ht="18" customHeight="1" x14ac:dyDescent="0.35">
      <c r="A957" s="14" t="s">
        <v>1684</v>
      </c>
      <c r="B957" s="14" t="s">
        <v>108</v>
      </c>
      <c r="C957" s="14" t="s">
        <v>34</v>
      </c>
      <c r="D957" s="15">
        <v>52</v>
      </c>
      <c r="E957" s="14" t="s">
        <v>86</v>
      </c>
      <c r="F957" s="14" t="s">
        <v>35</v>
      </c>
      <c r="G957" s="16">
        <v>45666</v>
      </c>
      <c r="H957" s="14" t="s">
        <v>26</v>
      </c>
      <c r="I957" s="14" t="s">
        <v>2267</v>
      </c>
      <c r="J957" s="14" t="s">
        <v>2269</v>
      </c>
      <c r="K957" s="14" t="s">
        <v>55</v>
      </c>
      <c r="L957" s="14" t="s">
        <v>49</v>
      </c>
      <c r="M957" s="14" t="s">
        <v>64</v>
      </c>
      <c r="N957" s="17">
        <v>115644</v>
      </c>
      <c r="O957" s="17">
        <v>12550</v>
      </c>
      <c r="P957" s="18">
        <v>98.8</v>
      </c>
      <c r="Q957" s="15">
        <v>5</v>
      </c>
      <c r="R957" s="19">
        <v>21</v>
      </c>
      <c r="S957" s="19">
        <v>4</v>
      </c>
      <c r="T957" s="15">
        <v>6</v>
      </c>
      <c r="U957" s="19">
        <v>77</v>
      </c>
      <c r="V957" s="14" t="s">
        <v>31</v>
      </c>
      <c r="W957" s="14"/>
      <c r="X957" s="14">
        <f>IF(V957="Yes",1,0)</f>
        <v>0</v>
      </c>
      <c r="Y957" s="14">
        <f>IF(H957="Active",0,1)</f>
        <v>0</v>
      </c>
    </row>
    <row r="958" spans="1:25" ht="18" customHeight="1" x14ac:dyDescent="0.35">
      <c r="A958" s="8" t="s">
        <v>1162</v>
      </c>
      <c r="B958" s="8" t="s">
        <v>51</v>
      </c>
      <c r="C958" s="8" t="s">
        <v>25</v>
      </c>
      <c r="D958" s="9">
        <v>40</v>
      </c>
      <c r="E958" s="8" t="s">
        <v>2304</v>
      </c>
      <c r="F958" s="8" t="s">
        <v>35</v>
      </c>
      <c r="G958" s="10">
        <v>45665</v>
      </c>
      <c r="H958" s="8" t="s">
        <v>26</v>
      </c>
      <c r="I958" s="8" t="s">
        <v>27</v>
      </c>
      <c r="J958" s="8" t="s">
        <v>2270</v>
      </c>
      <c r="K958" s="8" t="s">
        <v>73</v>
      </c>
      <c r="L958" s="8" t="s">
        <v>29</v>
      </c>
      <c r="M958" s="8" t="s">
        <v>60</v>
      </c>
      <c r="N958" s="11">
        <v>104548</v>
      </c>
      <c r="O958" s="11">
        <v>13087</v>
      </c>
      <c r="P958" s="12">
        <v>81.5</v>
      </c>
      <c r="Q958" s="9">
        <v>0</v>
      </c>
      <c r="R958" s="13">
        <v>2</v>
      </c>
      <c r="S958" s="13">
        <v>2</v>
      </c>
      <c r="T958" s="9">
        <v>10</v>
      </c>
      <c r="U958" s="13">
        <v>80</v>
      </c>
      <c r="V958" s="8" t="s">
        <v>69</v>
      </c>
      <c r="W958" s="8"/>
      <c r="X958" s="22">
        <f>IF(V958="Yes",1,0)</f>
        <v>1</v>
      </c>
      <c r="Y958" s="22">
        <f>IF(H958="Active",0,1)</f>
        <v>0</v>
      </c>
    </row>
    <row r="959" spans="1:25" ht="18" customHeight="1" x14ac:dyDescent="0.35">
      <c r="A959" s="14" t="s">
        <v>1197</v>
      </c>
      <c r="B959" s="14" t="s">
        <v>201</v>
      </c>
      <c r="C959" s="14" t="s">
        <v>25</v>
      </c>
      <c r="D959" s="15">
        <v>40</v>
      </c>
      <c r="E959" s="14" t="s">
        <v>86</v>
      </c>
      <c r="F959" s="14" t="s">
        <v>76</v>
      </c>
      <c r="G959" s="16">
        <v>45665</v>
      </c>
      <c r="H959" s="14" t="s">
        <v>26</v>
      </c>
      <c r="I959" s="14" t="s">
        <v>36</v>
      </c>
      <c r="J959" s="14" t="s">
        <v>2270</v>
      </c>
      <c r="K959" s="14" t="s">
        <v>37</v>
      </c>
      <c r="L959" s="14" t="s">
        <v>87</v>
      </c>
      <c r="M959" s="14" t="s">
        <v>60</v>
      </c>
      <c r="N959" s="17">
        <v>232920</v>
      </c>
      <c r="O959" s="17">
        <v>12351</v>
      </c>
      <c r="P959" s="18">
        <v>83.9</v>
      </c>
      <c r="Q959" s="15">
        <v>1</v>
      </c>
      <c r="R959" s="19">
        <v>17</v>
      </c>
      <c r="S959" s="19">
        <v>3</v>
      </c>
      <c r="T959" s="15">
        <v>3</v>
      </c>
      <c r="U959" s="19">
        <v>89</v>
      </c>
      <c r="V959" s="14" t="s">
        <v>31</v>
      </c>
      <c r="W959" s="14"/>
      <c r="X959" s="14">
        <f>IF(V959="Yes",1,0)</f>
        <v>0</v>
      </c>
      <c r="Y959" s="14">
        <f>IF(H959="Active",0,1)</f>
        <v>0</v>
      </c>
    </row>
    <row r="960" spans="1:25" ht="18" customHeight="1" x14ac:dyDescent="0.35">
      <c r="A960" s="14" t="s">
        <v>725</v>
      </c>
      <c r="B960" s="14" t="s">
        <v>24</v>
      </c>
      <c r="C960" s="14" t="s">
        <v>25</v>
      </c>
      <c r="D960" s="15">
        <v>23</v>
      </c>
      <c r="E960" s="14" t="s">
        <v>93</v>
      </c>
      <c r="F960" s="14" t="s">
        <v>79</v>
      </c>
      <c r="G960" s="16">
        <v>45664</v>
      </c>
      <c r="H960" s="14" t="s">
        <v>26</v>
      </c>
      <c r="I960" s="14" t="s">
        <v>36</v>
      </c>
      <c r="J960" s="14" t="s">
        <v>2270</v>
      </c>
      <c r="K960" s="14" t="s">
        <v>37</v>
      </c>
      <c r="L960" s="14" t="s">
        <v>38</v>
      </c>
      <c r="M960" s="14" t="s">
        <v>45</v>
      </c>
      <c r="N960" s="17">
        <v>92026</v>
      </c>
      <c r="O960" s="17">
        <v>12173</v>
      </c>
      <c r="P960" s="18">
        <v>90.7</v>
      </c>
      <c r="Q960" s="15">
        <v>5</v>
      </c>
      <c r="R960" s="19">
        <v>11</v>
      </c>
      <c r="S960" s="19">
        <v>2</v>
      </c>
      <c r="T960" s="15">
        <v>11</v>
      </c>
      <c r="U960" s="19">
        <v>66</v>
      </c>
      <c r="V960" s="14" t="s">
        <v>69</v>
      </c>
      <c r="W960" s="14"/>
      <c r="X960" s="14">
        <f>IF(V960="Yes",1,0)</f>
        <v>1</v>
      </c>
      <c r="Y960" s="14">
        <f>IF(H960="Active",0,1)</f>
        <v>0</v>
      </c>
    </row>
    <row r="961" spans="1:25" ht="18" customHeight="1" x14ac:dyDescent="0.35">
      <c r="A961" s="8" t="s">
        <v>1401</v>
      </c>
      <c r="B961" s="8" t="s">
        <v>75</v>
      </c>
      <c r="C961" s="8" t="s">
        <v>25</v>
      </c>
      <c r="D961" s="9">
        <v>36</v>
      </c>
      <c r="E961" s="8" t="s">
        <v>109</v>
      </c>
      <c r="F961" s="8" t="s">
        <v>76</v>
      </c>
      <c r="G961" s="10">
        <v>45664</v>
      </c>
      <c r="H961" s="8" t="s">
        <v>54</v>
      </c>
      <c r="I961" s="8" t="s">
        <v>2267</v>
      </c>
      <c r="J961" s="8" t="s">
        <v>2269</v>
      </c>
      <c r="K961" s="8" t="s">
        <v>73</v>
      </c>
      <c r="L961" s="8" t="s">
        <v>87</v>
      </c>
      <c r="M961" s="8" t="s">
        <v>45</v>
      </c>
      <c r="N961" s="11">
        <v>122722</v>
      </c>
      <c r="O961" s="11">
        <v>42943</v>
      </c>
      <c r="P961" s="12">
        <v>89.2</v>
      </c>
      <c r="Q961" s="9">
        <v>0</v>
      </c>
      <c r="R961" s="13">
        <v>20</v>
      </c>
      <c r="S961" s="13">
        <v>5</v>
      </c>
      <c r="T961" s="9">
        <v>9</v>
      </c>
      <c r="U961" s="13">
        <v>88</v>
      </c>
      <c r="V961" s="8" t="s">
        <v>31</v>
      </c>
      <c r="W961" s="8" t="s">
        <v>123</v>
      </c>
      <c r="X961" s="22">
        <f>IF(V961="Yes",1,0)</f>
        <v>0</v>
      </c>
      <c r="Y961" s="22">
        <f>IF(H961="Active",0,1)</f>
        <v>1</v>
      </c>
    </row>
    <row r="962" spans="1:25" ht="18" customHeight="1" x14ac:dyDescent="0.35">
      <c r="A962" s="14" t="s">
        <v>1490</v>
      </c>
      <c r="B962" s="14" t="s">
        <v>880</v>
      </c>
      <c r="C962" s="14" t="s">
        <v>34</v>
      </c>
      <c r="D962" s="15">
        <v>23</v>
      </c>
      <c r="E962" s="14" t="s">
        <v>109</v>
      </c>
      <c r="F962" s="14" t="s">
        <v>72</v>
      </c>
      <c r="G962" s="16">
        <v>45663</v>
      </c>
      <c r="H962" s="14" t="s">
        <v>26</v>
      </c>
      <c r="I962" s="14" t="s">
        <v>36</v>
      </c>
      <c r="J962" s="14" t="s">
        <v>2268</v>
      </c>
      <c r="K962" s="14" t="s">
        <v>2271</v>
      </c>
      <c r="L962" s="14" t="s">
        <v>29</v>
      </c>
      <c r="M962" s="14" t="s">
        <v>64</v>
      </c>
      <c r="N962" s="17">
        <v>128692</v>
      </c>
      <c r="O962" s="17">
        <v>29666</v>
      </c>
      <c r="P962" s="18">
        <v>80.3</v>
      </c>
      <c r="Q962" s="15">
        <v>0</v>
      </c>
      <c r="R962" s="19">
        <v>29</v>
      </c>
      <c r="S962" s="19">
        <v>3</v>
      </c>
      <c r="T962" s="15">
        <v>29</v>
      </c>
      <c r="U962" s="19">
        <v>67</v>
      </c>
      <c r="V962" s="14" t="s">
        <v>31</v>
      </c>
      <c r="W962" s="14"/>
      <c r="X962" s="14">
        <f>IF(V962="Yes",1,0)</f>
        <v>0</v>
      </c>
      <c r="Y962" s="14">
        <f>IF(H962="Active",0,1)</f>
        <v>0</v>
      </c>
    </row>
    <row r="963" spans="1:25" ht="18" customHeight="1" x14ac:dyDescent="0.35">
      <c r="A963" s="8" t="s">
        <v>1969</v>
      </c>
      <c r="B963" s="8" t="s">
        <v>71</v>
      </c>
      <c r="C963" s="8" t="s">
        <v>25</v>
      </c>
      <c r="D963" s="9">
        <v>50</v>
      </c>
      <c r="E963" s="8" t="s">
        <v>2303</v>
      </c>
      <c r="F963" s="8" t="s">
        <v>53</v>
      </c>
      <c r="G963" s="10">
        <v>45662</v>
      </c>
      <c r="H963" s="8" t="s">
        <v>26</v>
      </c>
      <c r="I963" s="8" t="s">
        <v>36</v>
      </c>
      <c r="J963" s="8" t="s">
        <v>2270</v>
      </c>
      <c r="K963" s="8" t="s">
        <v>37</v>
      </c>
      <c r="L963" s="8" t="s">
        <v>116</v>
      </c>
      <c r="M963" s="8" t="s">
        <v>30</v>
      </c>
      <c r="N963" s="11">
        <v>191036</v>
      </c>
      <c r="O963" s="11">
        <v>6889</v>
      </c>
      <c r="P963" s="12">
        <v>80.3</v>
      </c>
      <c r="Q963" s="9">
        <v>7</v>
      </c>
      <c r="R963" s="13">
        <v>14</v>
      </c>
      <c r="S963" s="13">
        <v>3</v>
      </c>
      <c r="T963" s="9">
        <v>24</v>
      </c>
      <c r="U963" s="13">
        <v>95</v>
      </c>
      <c r="V963" s="8" t="s">
        <v>31</v>
      </c>
      <c r="W963" s="8"/>
      <c r="X963" s="22">
        <f>IF(V963="Yes",1,0)</f>
        <v>0</v>
      </c>
      <c r="Y963" s="22">
        <f>IF(H963="Active",0,1)</f>
        <v>0</v>
      </c>
    </row>
    <row r="964" spans="1:25" ht="18" customHeight="1" x14ac:dyDescent="0.35">
      <c r="A964" s="14" t="s">
        <v>2212</v>
      </c>
      <c r="B964" s="14" t="s">
        <v>62</v>
      </c>
      <c r="C964" s="14" t="s">
        <v>34</v>
      </c>
      <c r="D964" s="15">
        <v>37</v>
      </c>
      <c r="E964" s="14" t="s">
        <v>2304</v>
      </c>
      <c r="F964" s="14" t="s">
        <v>12</v>
      </c>
      <c r="G964" s="16">
        <v>45662</v>
      </c>
      <c r="H964" s="14" t="s">
        <v>26</v>
      </c>
      <c r="I964" s="14" t="s">
        <v>27</v>
      </c>
      <c r="J964" s="14" t="s">
        <v>80</v>
      </c>
      <c r="K964" s="14" t="s">
        <v>37</v>
      </c>
      <c r="L964" s="14" t="s">
        <v>38</v>
      </c>
      <c r="M964" s="14" t="s">
        <v>45</v>
      </c>
      <c r="N964" s="17">
        <v>91188</v>
      </c>
      <c r="O964" s="17">
        <v>8500</v>
      </c>
      <c r="P964" s="18">
        <v>92.2</v>
      </c>
      <c r="Q964" s="15">
        <v>1</v>
      </c>
      <c r="R964" s="19">
        <v>26</v>
      </c>
      <c r="S964" s="19">
        <v>3</v>
      </c>
      <c r="T964" s="15">
        <v>18</v>
      </c>
      <c r="U964" s="19">
        <v>68</v>
      </c>
      <c r="V964" s="14" t="s">
        <v>31</v>
      </c>
      <c r="W964" s="14"/>
      <c r="X964" s="14">
        <f>IF(V964="Yes",1,0)</f>
        <v>0</v>
      </c>
      <c r="Y964" s="14">
        <f>IF(H964="Active",0,1)</f>
        <v>0</v>
      </c>
    </row>
    <row r="965" spans="1:25" ht="18" customHeight="1" x14ac:dyDescent="0.35">
      <c r="A965" s="14" t="s">
        <v>340</v>
      </c>
      <c r="B965" s="14" t="s">
        <v>341</v>
      </c>
      <c r="C965" s="14" t="s">
        <v>25</v>
      </c>
      <c r="D965" s="15">
        <v>46</v>
      </c>
      <c r="E965" s="14" t="s">
        <v>2303</v>
      </c>
      <c r="F965" s="14" t="s">
        <v>53</v>
      </c>
      <c r="G965" s="16">
        <v>45661</v>
      </c>
      <c r="H965" s="14" t="s">
        <v>54</v>
      </c>
      <c r="I965" s="14" t="s">
        <v>36</v>
      </c>
      <c r="J965" s="14" t="s">
        <v>2269</v>
      </c>
      <c r="K965" s="14" t="s">
        <v>55</v>
      </c>
      <c r="L965" s="14" t="s">
        <v>116</v>
      </c>
      <c r="M965" s="14" t="s">
        <v>30</v>
      </c>
      <c r="N965" s="17">
        <v>95831</v>
      </c>
      <c r="O965" s="17">
        <v>18822</v>
      </c>
      <c r="P965" s="18">
        <v>89.9</v>
      </c>
      <c r="Q965" s="15">
        <v>9</v>
      </c>
      <c r="R965" s="19">
        <v>28</v>
      </c>
      <c r="S965" s="19">
        <v>2</v>
      </c>
      <c r="T965" s="15">
        <v>34</v>
      </c>
      <c r="U965" s="19">
        <v>89</v>
      </c>
      <c r="V965" s="14" t="s">
        <v>31</v>
      </c>
      <c r="W965" s="14" t="s">
        <v>205</v>
      </c>
      <c r="X965" s="14">
        <f>IF(V965="Yes",1,0)</f>
        <v>0</v>
      </c>
      <c r="Y965" s="14">
        <f>IF(H965="Active",0,1)</f>
        <v>1</v>
      </c>
    </row>
    <row r="966" spans="1:25" ht="18" customHeight="1" x14ac:dyDescent="0.35">
      <c r="A966" s="14" t="s">
        <v>929</v>
      </c>
      <c r="B966" s="14" t="s">
        <v>215</v>
      </c>
      <c r="C966" s="14" t="s">
        <v>34</v>
      </c>
      <c r="D966" s="15">
        <v>50</v>
      </c>
      <c r="E966" s="14" t="s">
        <v>109</v>
      </c>
      <c r="F966" s="14" t="s">
        <v>12</v>
      </c>
      <c r="G966" s="16">
        <v>45661</v>
      </c>
      <c r="H966" s="14" t="s">
        <v>26</v>
      </c>
      <c r="I966" s="14" t="s">
        <v>36</v>
      </c>
      <c r="J966" s="14" t="s">
        <v>2269</v>
      </c>
      <c r="K966" s="14" t="s">
        <v>2271</v>
      </c>
      <c r="L966" s="14" t="s">
        <v>87</v>
      </c>
      <c r="M966" s="14" t="s">
        <v>60</v>
      </c>
      <c r="N966" s="17">
        <v>51879</v>
      </c>
      <c r="O966" s="17">
        <v>23507</v>
      </c>
      <c r="P966" s="18">
        <v>84.7</v>
      </c>
      <c r="Q966" s="15">
        <v>8</v>
      </c>
      <c r="R966" s="19">
        <v>26</v>
      </c>
      <c r="S966" s="19">
        <v>3</v>
      </c>
      <c r="T966" s="15">
        <v>6</v>
      </c>
      <c r="U966" s="19">
        <v>86</v>
      </c>
      <c r="V966" s="14" t="s">
        <v>69</v>
      </c>
      <c r="W966" s="14"/>
      <c r="X966" s="14">
        <f>IF(V966="Yes",1,0)</f>
        <v>1</v>
      </c>
      <c r="Y966" s="14">
        <f>IF(H966="Active",0,1)</f>
        <v>0</v>
      </c>
    </row>
    <row r="967" spans="1:25" ht="18" customHeight="1" x14ac:dyDescent="0.35">
      <c r="A967" s="14" t="s">
        <v>1790</v>
      </c>
      <c r="B967" s="14" t="s">
        <v>136</v>
      </c>
      <c r="C967" s="14" t="s">
        <v>34</v>
      </c>
      <c r="D967" s="15">
        <v>47</v>
      </c>
      <c r="E967" s="14" t="s">
        <v>63</v>
      </c>
      <c r="F967" s="14" t="s">
        <v>79</v>
      </c>
      <c r="G967" s="16">
        <v>45661</v>
      </c>
      <c r="H967" s="14" t="s">
        <v>26</v>
      </c>
      <c r="I967" s="14" t="s">
        <v>36</v>
      </c>
      <c r="J967" s="14" t="s">
        <v>2268</v>
      </c>
      <c r="K967" s="14" t="s">
        <v>55</v>
      </c>
      <c r="L967" s="14" t="s">
        <v>29</v>
      </c>
      <c r="M967" s="14" t="s">
        <v>30</v>
      </c>
      <c r="N967" s="17">
        <v>119622</v>
      </c>
      <c r="O967" s="17">
        <v>36798</v>
      </c>
      <c r="P967" s="18">
        <v>91.8</v>
      </c>
      <c r="Q967" s="15">
        <v>8</v>
      </c>
      <c r="R967" s="19">
        <v>6</v>
      </c>
      <c r="S967" s="19">
        <v>4</v>
      </c>
      <c r="T967" s="15">
        <v>0</v>
      </c>
      <c r="U967" s="19">
        <v>92</v>
      </c>
      <c r="V967" s="14" t="s">
        <v>31</v>
      </c>
      <c r="W967" s="14"/>
      <c r="X967" s="14">
        <f>IF(V967="Yes",1,0)</f>
        <v>0</v>
      </c>
      <c r="Y967" s="14">
        <f>IF(H967="Active",0,1)</f>
        <v>0</v>
      </c>
    </row>
    <row r="968" spans="1:25" ht="18" customHeight="1" x14ac:dyDescent="0.35">
      <c r="A968" s="14" t="s">
        <v>1844</v>
      </c>
      <c r="B968" s="14" t="s">
        <v>581</v>
      </c>
      <c r="C968" s="14" t="s">
        <v>25</v>
      </c>
      <c r="D968" s="15">
        <v>58</v>
      </c>
      <c r="E968" s="14" t="s">
        <v>86</v>
      </c>
      <c r="F968" s="14" t="s">
        <v>76</v>
      </c>
      <c r="G968" s="16">
        <v>45661</v>
      </c>
      <c r="H968" s="14" t="s">
        <v>54</v>
      </c>
      <c r="I968" s="14" t="s">
        <v>27</v>
      </c>
      <c r="J968" s="14" t="s">
        <v>2268</v>
      </c>
      <c r="K968" s="14" t="s">
        <v>55</v>
      </c>
      <c r="L968" s="14" t="s">
        <v>68</v>
      </c>
      <c r="M968" s="14" t="s">
        <v>64</v>
      </c>
      <c r="N968" s="17">
        <v>153760</v>
      </c>
      <c r="O968" s="17">
        <v>47490</v>
      </c>
      <c r="P968" s="18">
        <v>87.5</v>
      </c>
      <c r="Q968" s="15">
        <v>4</v>
      </c>
      <c r="R968" s="19">
        <v>6</v>
      </c>
      <c r="S968" s="19">
        <v>3</v>
      </c>
      <c r="T968" s="15">
        <v>29</v>
      </c>
      <c r="U968" s="19">
        <v>66</v>
      </c>
      <c r="V968" s="14" t="s">
        <v>69</v>
      </c>
      <c r="W968" s="14" t="s">
        <v>123</v>
      </c>
      <c r="X968" s="14">
        <f>IF(V968="Yes",1,0)</f>
        <v>1</v>
      </c>
      <c r="Y968" s="14">
        <f>IF(H968="Active",0,1)</f>
        <v>1</v>
      </c>
    </row>
    <row r="969" spans="1:25" ht="18" customHeight="1" x14ac:dyDescent="0.35">
      <c r="A969" s="8" t="s">
        <v>1937</v>
      </c>
      <c r="B969" s="8" t="s">
        <v>379</v>
      </c>
      <c r="C969" s="8" t="s">
        <v>34</v>
      </c>
      <c r="D969" s="9">
        <v>25</v>
      </c>
      <c r="E969" s="8" t="s">
        <v>42</v>
      </c>
      <c r="F969" s="8" t="s">
        <v>76</v>
      </c>
      <c r="G969" s="10">
        <v>45661</v>
      </c>
      <c r="H969" s="8" t="s">
        <v>26</v>
      </c>
      <c r="I969" s="8" t="s">
        <v>2267</v>
      </c>
      <c r="J969" s="8" t="s">
        <v>80</v>
      </c>
      <c r="K969" s="8" t="s">
        <v>55</v>
      </c>
      <c r="L969" s="8" t="s">
        <v>38</v>
      </c>
      <c r="M969" s="8" t="s">
        <v>45</v>
      </c>
      <c r="N969" s="11">
        <v>202466</v>
      </c>
      <c r="O969" s="11">
        <v>49417</v>
      </c>
      <c r="P969" s="12">
        <v>96.9</v>
      </c>
      <c r="Q969" s="9">
        <v>1</v>
      </c>
      <c r="R969" s="13">
        <v>6</v>
      </c>
      <c r="S969" s="13">
        <v>3</v>
      </c>
      <c r="T969" s="9">
        <v>21</v>
      </c>
      <c r="U969" s="13">
        <v>77</v>
      </c>
      <c r="V969" s="8" t="s">
        <v>31</v>
      </c>
      <c r="W969" s="8"/>
      <c r="X969" s="22">
        <f>IF(V969="Yes",1,0)</f>
        <v>0</v>
      </c>
      <c r="Y969" s="22">
        <f>IF(H969="Active",0,1)</f>
        <v>0</v>
      </c>
    </row>
    <row r="970" spans="1:25" ht="18" customHeight="1" x14ac:dyDescent="0.35">
      <c r="A970" s="14" t="s">
        <v>1686</v>
      </c>
      <c r="B970" s="14" t="s">
        <v>66</v>
      </c>
      <c r="C970" s="14" t="s">
        <v>34</v>
      </c>
      <c r="D970" s="15">
        <v>27</v>
      </c>
      <c r="E970" s="14" t="s">
        <v>2303</v>
      </c>
      <c r="F970" s="14" t="s">
        <v>79</v>
      </c>
      <c r="G970" s="16">
        <v>45660</v>
      </c>
      <c r="H970" s="14" t="s">
        <v>26</v>
      </c>
      <c r="I970" s="14" t="s">
        <v>36</v>
      </c>
      <c r="J970" s="14" t="s">
        <v>80</v>
      </c>
      <c r="K970" s="14" t="s">
        <v>28</v>
      </c>
      <c r="L970" s="14" t="s">
        <v>29</v>
      </c>
      <c r="M970" s="14" t="s">
        <v>60</v>
      </c>
      <c r="N970" s="17">
        <v>154060</v>
      </c>
      <c r="O970" s="17">
        <v>34963</v>
      </c>
      <c r="P970" s="18">
        <v>84.2</v>
      </c>
      <c r="Q970" s="15">
        <v>7</v>
      </c>
      <c r="R970" s="19">
        <v>23</v>
      </c>
      <c r="S970" s="19">
        <v>5</v>
      </c>
      <c r="T970" s="15">
        <v>13</v>
      </c>
      <c r="U970" s="19">
        <v>74</v>
      </c>
      <c r="V970" s="14" t="s">
        <v>31</v>
      </c>
      <c r="W970" s="14"/>
      <c r="X970" s="14">
        <f>IF(V970="Yes",1,0)</f>
        <v>0</v>
      </c>
      <c r="Y970" s="14">
        <f>IF(H970="Active",0,1)</f>
        <v>0</v>
      </c>
    </row>
    <row r="971" spans="1:25" ht="18" customHeight="1" x14ac:dyDescent="0.35">
      <c r="A971" s="8" t="s">
        <v>412</v>
      </c>
      <c r="B971" s="8" t="s">
        <v>413</v>
      </c>
      <c r="C971" s="8" t="s">
        <v>25</v>
      </c>
      <c r="D971" s="9">
        <v>41</v>
      </c>
      <c r="E971" s="8" t="s">
        <v>2303</v>
      </c>
      <c r="F971" s="8" t="s">
        <v>90</v>
      </c>
      <c r="G971" s="10">
        <v>45659</v>
      </c>
      <c r="H971" s="8" t="s">
        <v>26</v>
      </c>
      <c r="I971" s="8" t="s">
        <v>36</v>
      </c>
      <c r="J971" s="8" t="s">
        <v>48</v>
      </c>
      <c r="K971" s="8" t="s">
        <v>28</v>
      </c>
      <c r="L971" s="8" t="s">
        <v>116</v>
      </c>
      <c r="M971" s="8" t="s">
        <v>60</v>
      </c>
      <c r="N971" s="11">
        <v>104557</v>
      </c>
      <c r="O971" s="11">
        <v>33134</v>
      </c>
      <c r="P971" s="12">
        <v>94.9</v>
      </c>
      <c r="Q971" s="9">
        <v>0</v>
      </c>
      <c r="R971" s="13">
        <v>30</v>
      </c>
      <c r="S971" s="13">
        <v>1</v>
      </c>
      <c r="T971" s="9">
        <v>37</v>
      </c>
      <c r="U971" s="13">
        <v>74</v>
      </c>
      <c r="V971" s="8" t="s">
        <v>31</v>
      </c>
      <c r="W971" s="8"/>
      <c r="X971" s="22">
        <f>IF(V971="Yes",1,0)</f>
        <v>0</v>
      </c>
      <c r="Y971" s="22">
        <f>IF(H971="Active",0,1)</f>
        <v>0</v>
      </c>
    </row>
    <row r="972" spans="1:25" ht="18" customHeight="1" x14ac:dyDescent="0.35">
      <c r="A972" s="8" t="s">
        <v>828</v>
      </c>
      <c r="B972" s="8" t="s">
        <v>424</v>
      </c>
      <c r="C972" s="8" t="s">
        <v>25</v>
      </c>
      <c r="D972" s="9">
        <v>29</v>
      </c>
      <c r="E972" s="8" t="s">
        <v>93</v>
      </c>
      <c r="F972" s="8" t="s">
        <v>35</v>
      </c>
      <c r="G972" s="10">
        <v>45659</v>
      </c>
      <c r="H972" s="8" t="s">
        <v>26</v>
      </c>
      <c r="I972" s="8" t="s">
        <v>2267</v>
      </c>
      <c r="J972" s="8" t="s">
        <v>80</v>
      </c>
      <c r="K972" s="8" t="s">
        <v>37</v>
      </c>
      <c r="L972" s="8" t="s">
        <v>44</v>
      </c>
      <c r="M972" s="8" t="s">
        <v>60</v>
      </c>
      <c r="N972" s="11">
        <v>160106</v>
      </c>
      <c r="O972" s="11">
        <v>19481</v>
      </c>
      <c r="P972" s="12">
        <v>97.9</v>
      </c>
      <c r="Q972" s="9">
        <v>10</v>
      </c>
      <c r="R972" s="13">
        <v>12</v>
      </c>
      <c r="S972" s="13">
        <v>5</v>
      </c>
      <c r="T972" s="9">
        <v>12</v>
      </c>
      <c r="U972" s="13">
        <v>90</v>
      </c>
      <c r="V972" s="8" t="s">
        <v>31</v>
      </c>
      <c r="W972" s="8"/>
      <c r="X972" s="22">
        <f>IF(V972="Yes",1,0)</f>
        <v>0</v>
      </c>
      <c r="Y972" s="22">
        <f>IF(H972="Active",0,1)</f>
        <v>0</v>
      </c>
    </row>
    <row r="973" spans="1:25" ht="18" customHeight="1" x14ac:dyDescent="0.35">
      <c r="A973" s="14" t="s">
        <v>939</v>
      </c>
      <c r="B973" s="14" t="s">
        <v>120</v>
      </c>
      <c r="C973" s="14" t="s">
        <v>25</v>
      </c>
      <c r="D973" s="15">
        <v>28</v>
      </c>
      <c r="E973" s="14" t="s">
        <v>109</v>
      </c>
      <c r="F973" s="14" t="s">
        <v>43</v>
      </c>
      <c r="G973" s="16">
        <v>45659</v>
      </c>
      <c r="H973" s="14" t="s">
        <v>26</v>
      </c>
      <c r="I973" s="14" t="s">
        <v>27</v>
      </c>
      <c r="J973" s="14" t="s">
        <v>2268</v>
      </c>
      <c r="K973" s="14" t="s">
        <v>2271</v>
      </c>
      <c r="L973" s="14" t="s">
        <v>68</v>
      </c>
      <c r="M973" s="14" t="s">
        <v>30</v>
      </c>
      <c r="N973" s="17">
        <v>80146</v>
      </c>
      <c r="O973" s="17">
        <v>21731</v>
      </c>
      <c r="P973" s="18">
        <v>91.5</v>
      </c>
      <c r="Q973" s="15">
        <v>2</v>
      </c>
      <c r="R973" s="19">
        <v>1</v>
      </c>
      <c r="S973" s="19">
        <v>3</v>
      </c>
      <c r="T973" s="15">
        <v>28</v>
      </c>
      <c r="U973" s="19">
        <v>96</v>
      </c>
      <c r="V973" s="14" t="s">
        <v>31</v>
      </c>
      <c r="W973" s="14"/>
      <c r="X973" s="14">
        <f>IF(V973="Yes",1,0)</f>
        <v>0</v>
      </c>
      <c r="Y973" s="14">
        <f>IF(H973="Active",0,1)</f>
        <v>0</v>
      </c>
    </row>
    <row r="974" spans="1:25" ht="18" customHeight="1" x14ac:dyDescent="0.35">
      <c r="A974" s="14" t="s">
        <v>1568</v>
      </c>
      <c r="B974" s="14" t="s">
        <v>157</v>
      </c>
      <c r="C974" s="14" t="s">
        <v>34</v>
      </c>
      <c r="D974" s="15">
        <v>37</v>
      </c>
      <c r="E974" s="14" t="s">
        <v>2304</v>
      </c>
      <c r="F974" s="14" t="s">
        <v>35</v>
      </c>
      <c r="G974" s="16">
        <v>45659</v>
      </c>
      <c r="H974" s="14" t="s">
        <v>26</v>
      </c>
      <c r="I974" s="14" t="s">
        <v>36</v>
      </c>
      <c r="J974" s="14" t="s">
        <v>48</v>
      </c>
      <c r="K974" s="14" t="s">
        <v>28</v>
      </c>
      <c r="L974" s="14" t="s">
        <v>116</v>
      </c>
      <c r="M974" s="14" t="s">
        <v>64</v>
      </c>
      <c r="N974" s="17">
        <v>103429</v>
      </c>
      <c r="O974" s="17">
        <v>24188</v>
      </c>
      <c r="P974" s="18">
        <v>96.6</v>
      </c>
      <c r="Q974" s="15">
        <v>6</v>
      </c>
      <c r="R974" s="19">
        <v>18</v>
      </c>
      <c r="S974" s="19">
        <v>1</v>
      </c>
      <c r="T974" s="15">
        <v>40</v>
      </c>
      <c r="U974" s="19">
        <v>67</v>
      </c>
      <c r="V974" s="14" t="s">
        <v>31</v>
      </c>
      <c r="W974" s="14"/>
      <c r="X974" s="14">
        <f>IF(V974="Yes",1,0)</f>
        <v>0</v>
      </c>
      <c r="Y974" s="14">
        <f>IF(H974="Active",0,1)</f>
        <v>0</v>
      </c>
    </row>
    <row r="975" spans="1:25" ht="18" customHeight="1" x14ac:dyDescent="0.35">
      <c r="A975" s="14" t="s">
        <v>1606</v>
      </c>
      <c r="B975" s="14" t="s">
        <v>288</v>
      </c>
      <c r="C975" s="14" t="s">
        <v>25</v>
      </c>
      <c r="D975" s="15">
        <v>26</v>
      </c>
      <c r="E975" s="14" t="s">
        <v>86</v>
      </c>
      <c r="F975" s="14" t="s">
        <v>12</v>
      </c>
      <c r="G975" s="16">
        <v>45659</v>
      </c>
      <c r="H975" s="14" t="s">
        <v>26</v>
      </c>
      <c r="I975" s="14" t="s">
        <v>36</v>
      </c>
      <c r="J975" s="14" t="s">
        <v>48</v>
      </c>
      <c r="K975" s="14" t="s">
        <v>37</v>
      </c>
      <c r="L975" s="14" t="s">
        <v>56</v>
      </c>
      <c r="M975" s="14" t="s">
        <v>45</v>
      </c>
      <c r="N975" s="17">
        <v>245065</v>
      </c>
      <c r="O975" s="17">
        <v>28805</v>
      </c>
      <c r="P975" s="18">
        <v>95.4</v>
      </c>
      <c r="Q975" s="15">
        <v>5</v>
      </c>
      <c r="R975" s="19">
        <v>30</v>
      </c>
      <c r="S975" s="19">
        <v>3</v>
      </c>
      <c r="T975" s="15">
        <v>4</v>
      </c>
      <c r="U975" s="19">
        <v>74</v>
      </c>
      <c r="V975" s="14" t="s">
        <v>31</v>
      </c>
      <c r="W975" s="14"/>
      <c r="X975" s="14">
        <f>IF(V975="Yes",1,0)</f>
        <v>0</v>
      </c>
      <c r="Y975" s="14">
        <f>IF(H975="Active",0,1)</f>
        <v>0</v>
      </c>
    </row>
    <row r="976" spans="1:25" ht="18" customHeight="1" x14ac:dyDescent="0.35">
      <c r="A976" s="14" t="s">
        <v>2090</v>
      </c>
      <c r="B976" s="14" t="s">
        <v>318</v>
      </c>
      <c r="C976" s="14" t="s">
        <v>25</v>
      </c>
      <c r="D976" s="15">
        <v>39</v>
      </c>
      <c r="E976" s="14" t="s">
        <v>67</v>
      </c>
      <c r="F976" s="14" t="s">
        <v>79</v>
      </c>
      <c r="G976" s="16">
        <v>45659</v>
      </c>
      <c r="H976" s="14" t="s">
        <v>54</v>
      </c>
      <c r="I976" s="14" t="s">
        <v>27</v>
      </c>
      <c r="J976" s="14" t="s">
        <v>80</v>
      </c>
      <c r="K976" s="14" t="s">
        <v>28</v>
      </c>
      <c r="L976" s="14" t="s">
        <v>87</v>
      </c>
      <c r="M976" s="14" t="s">
        <v>64</v>
      </c>
      <c r="N976" s="17">
        <v>53589</v>
      </c>
      <c r="O976" s="17">
        <v>29987</v>
      </c>
      <c r="P976" s="18">
        <v>81.8</v>
      </c>
      <c r="Q976" s="15">
        <v>0</v>
      </c>
      <c r="R976" s="19">
        <v>19</v>
      </c>
      <c r="S976" s="19">
        <v>1</v>
      </c>
      <c r="T976" s="15">
        <v>9</v>
      </c>
      <c r="U976" s="19">
        <v>80</v>
      </c>
      <c r="V976" s="14" t="s">
        <v>31</v>
      </c>
      <c r="W976" s="14" t="s">
        <v>83</v>
      </c>
      <c r="X976" s="14">
        <f>IF(V976="Yes",1,0)</f>
        <v>0</v>
      </c>
      <c r="Y976" s="14">
        <f>IF(H976="Active",0,1)</f>
        <v>1</v>
      </c>
    </row>
    <row r="977" spans="1:25" ht="18" customHeight="1" x14ac:dyDescent="0.35">
      <c r="A977" s="14" t="s">
        <v>1862</v>
      </c>
      <c r="B977" s="14" t="s">
        <v>327</v>
      </c>
      <c r="C977" s="14" t="s">
        <v>25</v>
      </c>
      <c r="D977" s="15">
        <v>41</v>
      </c>
      <c r="E977" s="14" t="s">
        <v>52</v>
      </c>
      <c r="F977" s="14" t="s">
        <v>72</v>
      </c>
      <c r="G977" s="16">
        <v>45658</v>
      </c>
      <c r="H977" s="14" t="s">
        <v>26</v>
      </c>
      <c r="I977" s="14" t="s">
        <v>2267</v>
      </c>
      <c r="J977" s="14" t="s">
        <v>80</v>
      </c>
      <c r="K977" s="14" t="s">
        <v>28</v>
      </c>
      <c r="L977" s="14" t="s">
        <v>44</v>
      </c>
      <c r="M977" s="14" t="s">
        <v>60</v>
      </c>
      <c r="N977" s="17">
        <v>203635</v>
      </c>
      <c r="O977" s="17">
        <v>8278</v>
      </c>
      <c r="P977" s="18">
        <v>97.6</v>
      </c>
      <c r="Q977" s="15">
        <v>7</v>
      </c>
      <c r="R977" s="19">
        <v>2</v>
      </c>
      <c r="S977" s="19">
        <v>4</v>
      </c>
      <c r="T977" s="15">
        <v>26</v>
      </c>
      <c r="U977" s="19">
        <v>92</v>
      </c>
      <c r="V977" s="14" t="s">
        <v>31</v>
      </c>
      <c r="W977" s="14"/>
      <c r="X977" s="14">
        <f>IF(V977="Yes",1,0)</f>
        <v>0</v>
      </c>
      <c r="Y977" s="14">
        <f>IF(H977="Active",0,1)</f>
        <v>0</v>
      </c>
    </row>
    <row r="978" spans="1:25" ht="18" customHeight="1" x14ac:dyDescent="0.35">
      <c r="A978" s="8" t="s">
        <v>1917</v>
      </c>
      <c r="B978" s="8" t="s">
        <v>318</v>
      </c>
      <c r="C978" s="8" t="s">
        <v>25</v>
      </c>
      <c r="D978" s="9">
        <v>33</v>
      </c>
      <c r="E978" s="8" t="s">
        <v>2303</v>
      </c>
      <c r="F978" s="8" t="s">
        <v>43</v>
      </c>
      <c r="G978" s="10">
        <v>45658</v>
      </c>
      <c r="H978" s="8" t="s">
        <v>26</v>
      </c>
      <c r="I978" s="8" t="s">
        <v>2267</v>
      </c>
      <c r="J978" s="8" t="s">
        <v>80</v>
      </c>
      <c r="K978" s="8" t="s">
        <v>73</v>
      </c>
      <c r="L978" s="8" t="s">
        <v>44</v>
      </c>
      <c r="M978" s="8" t="s">
        <v>45</v>
      </c>
      <c r="N978" s="11">
        <v>149979</v>
      </c>
      <c r="O978" s="11">
        <v>29858</v>
      </c>
      <c r="P978" s="12">
        <v>94.3</v>
      </c>
      <c r="Q978" s="9">
        <v>1</v>
      </c>
      <c r="R978" s="13">
        <v>20</v>
      </c>
      <c r="S978" s="13">
        <v>4</v>
      </c>
      <c r="T978" s="9">
        <v>28</v>
      </c>
      <c r="U978" s="13">
        <v>70</v>
      </c>
      <c r="V978" s="8" t="s">
        <v>31</v>
      </c>
      <c r="W978" s="8"/>
      <c r="X978" s="22">
        <f>IF(V978="Yes",1,0)</f>
        <v>0</v>
      </c>
      <c r="Y978" s="22">
        <f>IF(H978="Active",0,1)</f>
        <v>0</v>
      </c>
    </row>
    <row r="979" spans="1:25" ht="18" customHeight="1" x14ac:dyDescent="0.35">
      <c r="A979" s="14" t="s">
        <v>1966</v>
      </c>
      <c r="B979" s="14" t="s">
        <v>224</v>
      </c>
      <c r="C979" s="14" t="s">
        <v>34</v>
      </c>
      <c r="D979" s="15">
        <v>59</v>
      </c>
      <c r="E979" s="14" t="s">
        <v>109</v>
      </c>
      <c r="F979" s="14" t="s">
        <v>53</v>
      </c>
      <c r="G979" s="16">
        <v>45658</v>
      </c>
      <c r="H979" s="14" t="s">
        <v>26</v>
      </c>
      <c r="I979" s="14" t="s">
        <v>27</v>
      </c>
      <c r="J979" s="14" t="s">
        <v>80</v>
      </c>
      <c r="K979" s="14" t="s">
        <v>28</v>
      </c>
      <c r="L979" s="14" t="s">
        <v>87</v>
      </c>
      <c r="M979" s="14" t="s">
        <v>45</v>
      </c>
      <c r="N979" s="17">
        <v>124574</v>
      </c>
      <c r="O979" s="17">
        <v>18060</v>
      </c>
      <c r="P979" s="18">
        <v>85.9</v>
      </c>
      <c r="Q979" s="15">
        <v>7</v>
      </c>
      <c r="R979" s="19">
        <v>8</v>
      </c>
      <c r="S979" s="19">
        <v>1</v>
      </c>
      <c r="T979" s="15">
        <v>2</v>
      </c>
      <c r="U979" s="19">
        <v>63</v>
      </c>
      <c r="V979" s="14" t="s">
        <v>31</v>
      </c>
      <c r="W979" s="14"/>
      <c r="X979" s="14">
        <f>IF(V979="Yes",1,0)</f>
        <v>0</v>
      </c>
      <c r="Y979" s="14">
        <f>IF(H979="Active",0,1)</f>
        <v>0</v>
      </c>
    </row>
    <row r="980" spans="1:25" ht="18" customHeight="1" x14ac:dyDescent="0.35">
      <c r="A980" s="14" t="s">
        <v>1750</v>
      </c>
      <c r="B980" s="14" t="s">
        <v>567</v>
      </c>
      <c r="C980" s="14" t="s">
        <v>25</v>
      </c>
      <c r="D980" s="15">
        <v>37</v>
      </c>
      <c r="E980" s="14" t="s">
        <v>52</v>
      </c>
      <c r="F980" s="14" t="s">
        <v>43</v>
      </c>
      <c r="G980" s="16">
        <v>45657</v>
      </c>
      <c r="H980" s="14" t="s">
        <v>26</v>
      </c>
      <c r="I980" s="14" t="s">
        <v>2267</v>
      </c>
      <c r="J980" s="14" t="s">
        <v>80</v>
      </c>
      <c r="K980" s="14" t="s">
        <v>28</v>
      </c>
      <c r="L980" s="14" t="s">
        <v>56</v>
      </c>
      <c r="M980" s="14" t="s">
        <v>64</v>
      </c>
      <c r="N980" s="17">
        <v>69095</v>
      </c>
      <c r="O980" s="17">
        <v>35401</v>
      </c>
      <c r="P980" s="18">
        <v>93.3</v>
      </c>
      <c r="Q980" s="15">
        <v>7</v>
      </c>
      <c r="R980" s="19">
        <v>7</v>
      </c>
      <c r="S980" s="19">
        <v>2</v>
      </c>
      <c r="T980" s="15">
        <v>28</v>
      </c>
      <c r="U980" s="19">
        <v>73</v>
      </c>
      <c r="V980" s="14" t="s">
        <v>31</v>
      </c>
      <c r="W980" s="14"/>
      <c r="X980" s="14">
        <f>IF(V980="Yes",1,0)</f>
        <v>0</v>
      </c>
      <c r="Y980" s="14">
        <f>IF(H980="Active",0,1)</f>
        <v>0</v>
      </c>
    </row>
    <row r="981" spans="1:25" ht="18" customHeight="1" x14ac:dyDescent="0.35">
      <c r="A981" s="14" t="s">
        <v>491</v>
      </c>
      <c r="B981" s="14" t="s">
        <v>106</v>
      </c>
      <c r="C981" s="14" t="s">
        <v>34</v>
      </c>
      <c r="D981" s="15">
        <v>27</v>
      </c>
      <c r="E981" s="14" t="s">
        <v>86</v>
      </c>
      <c r="F981" s="14" t="s">
        <v>90</v>
      </c>
      <c r="G981" s="16">
        <v>45656</v>
      </c>
      <c r="H981" s="14" t="s">
        <v>26</v>
      </c>
      <c r="I981" s="14" t="s">
        <v>36</v>
      </c>
      <c r="J981" s="14" t="s">
        <v>2270</v>
      </c>
      <c r="K981" s="14" t="s">
        <v>2271</v>
      </c>
      <c r="L981" s="14" t="s">
        <v>49</v>
      </c>
      <c r="M981" s="14" t="s">
        <v>30</v>
      </c>
      <c r="N981" s="17">
        <v>229965</v>
      </c>
      <c r="O981" s="17">
        <v>45712</v>
      </c>
      <c r="P981" s="18">
        <v>90</v>
      </c>
      <c r="Q981" s="15">
        <v>2</v>
      </c>
      <c r="R981" s="19">
        <v>3</v>
      </c>
      <c r="S981" s="19">
        <v>3</v>
      </c>
      <c r="T981" s="15">
        <v>1</v>
      </c>
      <c r="U981" s="19">
        <v>100</v>
      </c>
      <c r="V981" s="14" t="s">
        <v>31</v>
      </c>
      <c r="W981" s="14"/>
      <c r="X981" s="14">
        <f>IF(V981="Yes",1,0)</f>
        <v>0</v>
      </c>
      <c r="Y981" s="14">
        <f>IF(H981="Active",0,1)</f>
        <v>0</v>
      </c>
    </row>
    <row r="982" spans="1:25" ht="18" customHeight="1" x14ac:dyDescent="0.35">
      <c r="A982" s="14" t="s">
        <v>800</v>
      </c>
      <c r="B982" s="14" t="s">
        <v>201</v>
      </c>
      <c r="C982" s="14" t="s">
        <v>25</v>
      </c>
      <c r="D982" s="15">
        <v>27</v>
      </c>
      <c r="E982" s="14" t="s">
        <v>2304</v>
      </c>
      <c r="F982" s="14" t="s">
        <v>43</v>
      </c>
      <c r="G982" s="16">
        <v>45656</v>
      </c>
      <c r="H982" s="14" t="s">
        <v>26</v>
      </c>
      <c r="I982" s="14" t="s">
        <v>36</v>
      </c>
      <c r="J982" s="14" t="s">
        <v>2268</v>
      </c>
      <c r="K982" s="14" t="s">
        <v>73</v>
      </c>
      <c r="L982" s="14" t="s">
        <v>56</v>
      </c>
      <c r="M982" s="14" t="s">
        <v>60</v>
      </c>
      <c r="N982" s="17">
        <v>228940</v>
      </c>
      <c r="O982" s="17">
        <v>37809</v>
      </c>
      <c r="P982" s="18">
        <v>85</v>
      </c>
      <c r="Q982" s="15">
        <v>2</v>
      </c>
      <c r="R982" s="19">
        <v>13</v>
      </c>
      <c r="S982" s="19">
        <v>4</v>
      </c>
      <c r="T982" s="15">
        <v>34</v>
      </c>
      <c r="U982" s="19">
        <v>95</v>
      </c>
      <c r="V982" s="14" t="s">
        <v>69</v>
      </c>
      <c r="W982" s="14"/>
      <c r="X982" s="14">
        <f>IF(V982="Yes",1,0)</f>
        <v>1</v>
      </c>
      <c r="Y982" s="14">
        <f>IF(H982="Active",0,1)</f>
        <v>0</v>
      </c>
    </row>
    <row r="983" spans="1:25" ht="18" customHeight="1" x14ac:dyDescent="0.35">
      <c r="A983" s="14" t="s">
        <v>1314</v>
      </c>
      <c r="B983" s="14" t="s">
        <v>390</v>
      </c>
      <c r="C983" s="14" t="s">
        <v>25</v>
      </c>
      <c r="D983" s="15">
        <v>27</v>
      </c>
      <c r="E983" s="14" t="s">
        <v>52</v>
      </c>
      <c r="F983" s="14" t="s">
        <v>53</v>
      </c>
      <c r="G983" s="16">
        <v>45655</v>
      </c>
      <c r="H983" s="14" t="s">
        <v>26</v>
      </c>
      <c r="I983" s="14" t="s">
        <v>27</v>
      </c>
      <c r="J983" s="14" t="s">
        <v>48</v>
      </c>
      <c r="K983" s="14" t="s">
        <v>28</v>
      </c>
      <c r="L983" s="14" t="s">
        <v>56</v>
      </c>
      <c r="M983" s="14" t="s">
        <v>30</v>
      </c>
      <c r="N983" s="17">
        <v>228134</v>
      </c>
      <c r="O983" s="17">
        <v>6953</v>
      </c>
      <c r="P983" s="18">
        <v>88.1</v>
      </c>
      <c r="Q983" s="15">
        <v>10</v>
      </c>
      <c r="R983" s="19">
        <v>1</v>
      </c>
      <c r="S983" s="19">
        <v>1</v>
      </c>
      <c r="T983" s="15">
        <v>36</v>
      </c>
      <c r="U983" s="19">
        <v>88</v>
      </c>
      <c r="V983" s="14" t="s">
        <v>31</v>
      </c>
      <c r="W983" s="14"/>
      <c r="X983" s="14">
        <f>IF(V983="Yes",1,0)</f>
        <v>0</v>
      </c>
      <c r="Y983" s="14">
        <f>IF(H983="Active",0,1)</f>
        <v>0</v>
      </c>
    </row>
    <row r="984" spans="1:25" ht="18" customHeight="1" x14ac:dyDescent="0.35">
      <c r="A984" s="14" t="s">
        <v>1406</v>
      </c>
      <c r="B984" s="14" t="s">
        <v>386</v>
      </c>
      <c r="C984" s="14" t="s">
        <v>25</v>
      </c>
      <c r="D984" s="15">
        <v>26</v>
      </c>
      <c r="E984" s="14" t="s">
        <v>52</v>
      </c>
      <c r="F984" s="14" t="s">
        <v>90</v>
      </c>
      <c r="G984" s="16">
        <v>45655</v>
      </c>
      <c r="H984" s="14" t="s">
        <v>26</v>
      </c>
      <c r="I984" s="14" t="s">
        <v>2267</v>
      </c>
      <c r="J984" s="14" t="s">
        <v>2269</v>
      </c>
      <c r="K984" s="14" t="s">
        <v>2271</v>
      </c>
      <c r="L984" s="14" t="s">
        <v>116</v>
      </c>
      <c r="M984" s="14" t="s">
        <v>64</v>
      </c>
      <c r="N984" s="17">
        <v>107851</v>
      </c>
      <c r="O984" s="17">
        <v>14251</v>
      </c>
      <c r="P984" s="18">
        <v>92.2</v>
      </c>
      <c r="Q984" s="15">
        <v>0</v>
      </c>
      <c r="R984" s="19">
        <v>30</v>
      </c>
      <c r="S984" s="19">
        <v>4</v>
      </c>
      <c r="T984" s="15">
        <v>2</v>
      </c>
      <c r="U984" s="19">
        <v>66</v>
      </c>
      <c r="V984" s="14" t="s">
        <v>31</v>
      </c>
      <c r="W984" s="14"/>
      <c r="X984" s="14">
        <f>IF(V984="Yes",1,0)</f>
        <v>0</v>
      </c>
      <c r="Y984" s="14">
        <f>IF(H984="Active",0,1)</f>
        <v>0</v>
      </c>
    </row>
    <row r="985" spans="1:25" ht="18" customHeight="1" x14ac:dyDescent="0.35">
      <c r="A985" s="8" t="s">
        <v>1419</v>
      </c>
      <c r="B985" s="8" t="s">
        <v>41</v>
      </c>
      <c r="C985" s="8" t="s">
        <v>25</v>
      </c>
      <c r="D985" s="9">
        <v>44</v>
      </c>
      <c r="E985" s="8" t="s">
        <v>93</v>
      </c>
      <c r="F985" s="8" t="s">
        <v>53</v>
      </c>
      <c r="G985" s="10">
        <v>45655</v>
      </c>
      <c r="H985" s="8" t="s">
        <v>26</v>
      </c>
      <c r="I985" s="8" t="s">
        <v>36</v>
      </c>
      <c r="J985" s="8" t="s">
        <v>48</v>
      </c>
      <c r="K985" s="8" t="s">
        <v>55</v>
      </c>
      <c r="L985" s="8" t="s">
        <v>38</v>
      </c>
      <c r="M985" s="8" t="s">
        <v>45</v>
      </c>
      <c r="N985" s="11">
        <v>103982</v>
      </c>
      <c r="O985" s="11">
        <v>23203</v>
      </c>
      <c r="P985" s="12">
        <v>85.8</v>
      </c>
      <c r="Q985" s="9">
        <v>3</v>
      </c>
      <c r="R985" s="13">
        <v>5</v>
      </c>
      <c r="S985" s="13">
        <v>2</v>
      </c>
      <c r="T985" s="9">
        <v>3</v>
      </c>
      <c r="U985" s="13">
        <v>96</v>
      </c>
      <c r="V985" s="8" t="s">
        <v>31</v>
      </c>
      <c r="W985" s="8"/>
      <c r="X985" s="22">
        <f>IF(V985="Yes",1,0)</f>
        <v>0</v>
      </c>
      <c r="Y985" s="22">
        <f>IF(H985="Active",0,1)</f>
        <v>0</v>
      </c>
    </row>
    <row r="986" spans="1:25" ht="18" customHeight="1" x14ac:dyDescent="0.35">
      <c r="A986" s="14" t="s">
        <v>609</v>
      </c>
      <c r="B986" s="14" t="s">
        <v>66</v>
      </c>
      <c r="C986" s="14" t="s">
        <v>34</v>
      </c>
      <c r="D986" s="15">
        <v>52</v>
      </c>
      <c r="E986" s="14" t="s">
        <v>63</v>
      </c>
      <c r="F986" s="14" t="s">
        <v>76</v>
      </c>
      <c r="G986" s="16">
        <v>45654</v>
      </c>
      <c r="H986" s="14" t="s">
        <v>26</v>
      </c>
      <c r="I986" s="14" t="s">
        <v>36</v>
      </c>
      <c r="J986" s="14" t="s">
        <v>80</v>
      </c>
      <c r="K986" s="14" t="s">
        <v>55</v>
      </c>
      <c r="L986" s="14" t="s">
        <v>49</v>
      </c>
      <c r="M986" s="14" t="s">
        <v>30</v>
      </c>
      <c r="N986" s="17">
        <v>53188</v>
      </c>
      <c r="O986" s="17">
        <v>30649</v>
      </c>
      <c r="P986" s="18">
        <v>88.7</v>
      </c>
      <c r="Q986" s="15">
        <v>3</v>
      </c>
      <c r="R986" s="19">
        <v>2</v>
      </c>
      <c r="S986" s="19">
        <v>3</v>
      </c>
      <c r="T986" s="15">
        <v>7</v>
      </c>
      <c r="U986" s="19">
        <v>93</v>
      </c>
      <c r="V986" s="14" t="s">
        <v>31</v>
      </c>
      <c r="W986" s="14"/>
      <c r="X986" s="14">
        <f>IF(V986="Yes",1,0)</f>
        <v>0</v>
      </c>
      <c r="Y986" s="14">
        <f>IF(H986="Active",0,1)</f>
        <v>0</v>
      </c>
    </row>
    <row r="987" spans="1:25" ht="18" customHeight="1" x14ac:dyDescent="0.35">
      <c r="A987" s="14" t="s">
        <v>686</v>
      </c>
      <c r="B987" s="14" t="s">
        <v>567</v>
      </c>
      <c r="C987" s="14" t="s">
        <v>25</v>
      </c>
      <c r="D987" s="15">
        <v>33</v>
      </c>
      <c r="E987" s="14" t="s">
        <v>67</v>
      </c>
      <c r="F987" s="14" t="s">
        <v>43</v>
      </c>
      <c r="G987" s="16">
        <v>45654</v>
      </c>
      <c r="H987" s="14" t="s">
        <v>26</v>
      </c>
      <c r="I987" s="14" t="s">
        <v>27</v>
      </c>
      <c r="J987" s="14" t="s">
        <v>80</v>
      </c>
      <c r="K987" s="14" t="s">
        <v>73</v>
      </c>
      <c r="L987" s="14" t="s">
        <v>29</v>
      </c>
      <c r="M987" s="14" t="s">
        <v>45</v>
      </c>
      <c r="N987" s="17">
        <v>230539</v>
      </c>
      <c r="O987" s="17">
        <v>33947</v>
      </c>
      <c r="P987" s="18">
        <v>94.4</v>
      </c>
      <c r="Q987" s="15">
        <v>5</v>
      </c>
      <c r="R987" s="19">
        <v>13</v>
      </c>
      <c r="S987" s="19">
        <v>3</v>
      </c>
      <c r="T987" s="15">
        <v>22</v>
      </c>
      <c r="U987" s="19">
        <v>74</v>
      </c>
      <c r="V987" s="14" t="s">
        <v>69</v>
      </c>
      <c r="W987" s="14"/>
      <c r="X987" s="14">
        <f>IF(V987="Yes",1,0)</f>
        <v>1</v>
      </c>
      <c r="Y987" s="14">
        <f>IF(H987="Active",0,1)</f>
        <v>0</v>
      </c>
    </row>
    <row r="988" spans="1:25" ht="18" customHeight="1" x14ac:dyDescent="0.35">
      <c r="A988" s="14" t="s">
        <v>842</v>
      </c>
      <c r="B988" s="14" t="s">
        <v>177</v>
      </c>
      <c r="C988" s="14" t="s">
        <v>34</v>
      </c>
      <c r="D988" s="15">
        <v>58</v>
      </c>
      <c r="E988" s="14" t="s">
        <v>86</v>
      </c>
      <c r="F988" s="14" t="s">
        <v>76</v>
      </c>
      <c r="G988" s="16">
        <v>45654</v>
      </c>
      <c r="H988" s="14" t="s">
        <v>26</v>
      </c>
      <c r="I988" s="14" t="s">
        <v>27</v>
      </c>
      <c r="J988" s="14" t="s">
        <v>48</v>
      </c>
      <c r="K988" s="14" t="s">
        <v>37</v>
      </c>
      <c r="L988" s="14" t="s">
        <v>116</v>
      </c>
      <c r="M988" s="14" t="s">
        <v>60</v>
      </c>
      <c r="N988" s="17">
        <v>151431</v>
      </c>
      <c r="O988" s="17">
        <v>38607</v>
      </c>
      <c r="P988" s="18">
        <v>89.1</v>
      </c>
      <c r="Q988" s="15">
        <v>4</v>
      </c>
      <c r="R988" s="19">
        <v>25</v>
      </c>
      <c r="S988" s="19">
        <v>3</v>
      </c>
      <c r="T988" s="15">
        <v>22</v>
      </c>
      <c r="U988" s="19">
        <v>97</v>
      </c>
      <c r="V988" s="14" t="s">
        <v>31</v>
      </c>
      <c r="W988" s="14"/>
      <c r="X988" s="14">
        <f>IF(V988="Yes",1,0)</f>
        <v>0</v>
      </c>
      <c r="Y988" s="14">
        <f>IF(H988="Active",0,1)</f>
        <v>0</v>
      </c>
    </row>
    <row r="989" spans="1:25" ht="18" customHeight="1" x14ac:dyDescent="0.35">
      <c r="A989" s="14" t="s">
        <v>2240</v>
      </c>
      <c r="B989" s="14" t="s">
        <v>439</v>
      </c>
      <c r="C989" s="14" t="s">
        <v>25</v>
      </c>
      <c r="D989" s="15">
        <v>51</v>
      </c>
      <c r="E989" s="14" t="s">
        <v>93</v>
      </c>
      <c r="F989" s="14" t="s">
        <v>53</v>
      </c>
      <c r="G989" s="16">
        <v>45654</v>
      </c>
      <c r="H989" s="14" t="s">
        <v>26</v>
      </c>
      <c r="I989" s="14" t="s">
        <v>2267</v>
      </c>
      <c r="J989" s="14" t="s">
        <v>2270</v>
      </c>
      <c r="K989" s="14" t="s">
        <v>55</v>
      </c>
      <c r="L989" s="14" t="s">
        <v>116</v>
      </c>
      <c r="M989" s="14" t="s">
        <v>45</v>
      </c>
      <c r="N989" s="17">
        <v>191136</v>
      </c>
      <c r="O989" s="17">
        <v>42177</v>
      </c>
      <c r="P989" s="18">
        <v>94.7</v>
      </c>
      <c r="Q989" s="15">
        <v>4</v>
      </c>
      <c r="R989" s="19">
        <v>12</v>
      </c>
      <c r="S989" s="19">
        <v>1</v>
      </c>
      <c r="T989" s="15">
        <v>10</v>
      </c>
      <c r="U989" s="19">
        <v>99</v>
      </c>
      <c r="V989" s="14" t="s">
        <v>31</v>
      </c>
      <c r="W989" s="14"/>
      <c r="X989" s="14">
        <f>IF(V989="Yes",1,0)</f>
        <v>0</v>
      </c>
      <c r="Y989" s="14">
        <f>IF(H989="Active",0,1)</f>
        <v>0</v>
      </c>
    </row>
    <row r="990" spans="1:25" ht="18" customHeight="1" x14ac:dyDescent="0.35">
      <c r="A990" s="14" t="s">
        <v>313</v>
      </c>
      <c r="B990" s="14" t="s">
        <v>314</v>
      </c>
      <c r="C990" s="14" t="s">
        <v>34</v>
      </c>
      <c r="D990" s="15">
        <v>55</v>
      </c>
      <c r="E990" s="14" t="s">
        <v>2304</v>
      </c>
      <c r="F990" s="14" t="s">
        <v>12</v>
      </c>
      <c r="G990" s="16">
        <v>45653</v>
      </c>
      <c r="H990" s="14" t="s">
        <v>26</v>
      </c>
      <c r="I990" s="14" t="s">
        <v>36</v>
      </c>
      <c r="J990" s="14" t="s">
        <v>2270</v>
      </c>
      <c r="K990" s="14" t="s">
        <v>37</v>
      </c>
      <c r="L990" s="14" t="s">
        <v>116</v>
      </c>
      <c r="M990" s="14" t="s">
        <v>39</v>
      </c>
      <c r="N990" s="17">
        <v>217572</v>
      </c>
      <c r="O990" s="17">
        <v>33672</v>
      </c>
      <c r="P990" s="18">
        <v>90.2</v>
      </c>
      <c r="Q990" s="15">
        <v>0</v>
      </c>
      <c r="R990" s="19">
        <v>15</v>
      </c>
      <c r="S990" s="19">
        <v>3</v>
      </c>
      <c r="T990" s="15">
        <v>7</v>
      </c>
      <c r="U990" s="19">
        <v>80</v>
      </c>
      <c r="V990" s="14" t="s">
        <v>31</v>
      </c>
      <c r="W990" s="14"/>
      <c r="X990" s="14">
        <f>IF(V990="Yes",1,0)</f>
        <v>0</v>
      </c>
      <c r="Y990" s="14">
        <f>IF(H990="Active",0,1)</f>
        <v>0</v>
      </c>
    </row>
    <row r="991" spans="1:25" ht="18" customHeight="1" x14ac:dyDescent="0.35">
      <c r="A991" s="8" t="s">
        <v>924</v>
      </c>
      <c r="B991" s="8" t="s">
        <v>327</v>
      </c>
      <c r="C991" s="8" t="s">
        <v>34</v>
      </c>
      <c r="D991" s="9">
        <v>55</v>
      </c>
      <c r="E991" s="8" t="s">
        <v>63</v>
      </c>
      <c r="F991" s="8" t="s">
        <v>35</v>
      </c>
      <c r="G991" s="10">
        <v>45653</v>
      </c>
      <c r="H991" s="8" t="s">
        <v>26</v>
      </c>
      <c r="I991" s="8" t="s">
        <v>27</v>
      </c>
      <c r="J991" s="8" t="s">
        <v>80</v>
      </c>
      <c r="K991" s="8" t="s">
        <v>28</v>
      </c>
      <c r="L991" s="8" t="s">
        <v>44</v>
      </c>
      <c r="M991" s="8" t="s">
        <v>60</v>
      </c>
      <c r="N991" s="11">
        <v>220570</v>
      </c>
      <c r="O991" s="11">
        <v>37337</v>
      </c>
      <c r="P991" s="12">
        <v>81.8</v>
      </c>
      <c r="Q991" s="9">
        <v>4</v>
      </c>
      <c r="R991" s="13">
        <v>7</v>
      </c>
      <c r="S991" s="13">
        <v>4</v>
      </c>
      <c r="T991" s="9">
        <v>14</v>
      </c>
      <c r="U991" s="13">
        <v>65</v>
      </c>
      <c r="V991" s="8" t="s">
        <v>31</v>
      </c>
      <c r="W991" s="8"/>
      <c r="X991" s="22">
        <f>IF(V991="Yes",1,0)</f>
        <v>0</v>
      </c>
      <c r="Y991" s="22">
        <f>IF(H991="Active",0,1)</f>
        <v>0</v>
      </c>
    </row>
    <row r="992" spans="1:25" ht="18" customHeight="1" x14ac:dyDescent="0.35">
      <c r="A992" s="8" t="s">
        <v>1413</v>
      </c>
      <c r="B992" s="8" t="s">
        <v>1015</v>
      </c>
      <c r="C992" s="8" t="s">
        <v>34</v>
      </c>
      <c r="D992" s="9">
        <v>57</v>
      </c>
      <c r="E992" s="8" t="s">
        <v>86</v>
      </c>
      <c r="F992" s="8" t="s">
        <v>12</v>
      </c>
      <c r="G992" s="10">
        <v>45653</v>
      </c>
      <c r="H992" s="8" t="s">
        <v>26</v>
      </c>
      <c r="I992" s="8" t="s">
        <v>36</v>
      </c>
      <c r="J992" s="8" t="s">
        <v>2268</v>
      </c>
      <c r="K992" s="8" t="s">
        <v>73</v>
      </c>
      <c r="L992" s="8" t="s">
        <v>68</v>
      </c>
      <c r="M992" s="8" t="s">
        <v>64</v>
      </c>
      <c r="N992" s="11">
        <v>244202</v>
      </c>
      <c r="O992" s="11">
        <v>14113</v>
      </c>
      <c r="P992" s="12">
        <v>98.3</v>
      </c>
      <c r="Q992" s="9">
        <v>4</v>
      </c>
      <c r="R992" s="13">
        <v>6</v>
      </c>
      <c r="S992" s="13">
        <v>1</v>
      </c>
      <c r="T992" s="9">
        <v>18</v>
      </c>
      <c r="U992" s="13">
        <v>97</v>
      </c>
      <c r="V992" s="8" t="s">
        <v>69</v>
      </c>
      <c r="W992" s="8"/>
      <c r="X992" s="22">
        <f>IF(V992="Yes",1,0)</f>
        <v>1</v>
      </c>
      <c r="Y992" s="22">
        <f>IF(H992="Active",0,1)</f>
        <v>0</v>
      </c>
    </row>
    <row r="993" spans="1:25" ht="18" customHeight="1" x14ac:dyDescent="0.35">
      <c r="A993" s="8" t="s">
        <v>2109</v>
      </c>
      <c r="B993" s="8" t="s">
        <v>295</v>
      </c>
      <c r="C993" s="8" t="s">
        <v>34</v>
      </c>
      <c r="D993" s="9">
        <v>40</v>
      </c>
      <c r="E993" s="8" t="s">
        <v>109</v>
      </c>
      <c r="F993" s="8" t="s">
        <v>90</v>
      </c>
      <c r="G993" s="10">
        <v>45653</v>
      </c>
      <c r="H993" s="8" t="s">
        <v>26</v>
      </c>
      <c r="I993" s="8" t="s">
        <v>27</v>
      </c>
      <c r="J993" s="8" t="s">
        <v>2269</v>
      </c>
      <c r="K993" s="8" t="s">
        <v>73</v>
      </c>
      <c r="L993" s="8" t="s">
        <v>87</v>
      </c>
      <c r="M993" s="8" t="s">
        <v>60</v>
      </c>
      <c r="N993" s="11">
        <v>153135</v>
      </c>
      <c r="O993" s="11">
        <v>6265</v>
      </c>
      <c r="P993" s="12">
        <v>92.1</v>
      </c>
      <c r="Q993" s="9">
        <v>10</v>
      </c>
      <c r="R993" s="13">
        <v>25</v>
      </c>
      <c r="S993" s="13">
        <v>5</v>
      </c>
      <c r="T993" s="9">
        <v>22</v>
      </c>
      <c r="U993" s="13">
        <v>96</v>
      </c>
      <c r="V993" s="8" t="s">
        <v>31</v>
      </c>
      <c r="W993" s="8"/>
      <c r="X993" s="22">
        <f>IF(V993="Yes",1,0)</f>
        <v>0</v>
      </c>
      <c r="Y993" s="22">
        <f>IF(H993="Active",0,1)</f>
        <v>0</v>
      </c>
    </row>
    <row r="994" spans="1:25" ht="18" customHeight="1" x14ac:dyDescent="0.35">
      <c r="A994" s="8" t="s">
        <v>783</v>
      </c>
      <c r="B994" s="8" t="s">
        <v>66</v>
      </c>
      <c r="C994" s="8" t="s">
        <v>25</v>
      </c>
      <c r="D994" s="9">
        <v>41</v>
      </c>
      <c r="E994" s="8" t="s">
        <v>2304</v>
      </c>
      <c r="F994" s="8" t="s">
        <v>90</v>
      </c>
      <c r="G994" s="10">
        <v>45652</v>
      </c>
      <c r="H994" s="8" t="s">
        <v>26</v>
      </c>
      <c r="I994" s="8" t="s">
        <v>36</v>
      </c>
      <c r="J994" s="8" t="s">
        <v>80</v>
      </c>
      <c r="K994" s="8" t="s">
        <v>28</v>
      </c>
      <c r="L994" s="8" t="s">
        <v>116</v>
      </c>
      <c r="M994" s="8" t="s">
        <v>45</v>
      </c>
      <c r="N994" s="11">
        <v>87797</v>
      </c>
      <c r="O994" s="11">
        <v>39840</v>
      </c>
      <c r="P994" s="12">
        <v>80.099999999999994</v>
      </c>
      <c r="Q994" s="9">
        <v>10</v>
      </c>
      <c r="R994" s="13">
        <v>30</v>
      </c>
      <c r="S994" s="13">
        <v>1</v>
      </c>
      <c r="T994" s="9">
        <v>36</v>
      </c>
      <c r="U994" s="13">
        <v>63</v>
      </c>
      <c r="V994" s="8" t="s">
        <v>31</v>
      </c>
      <c r="W994" s="8"/>
      <c r="X994" s="22">
        <f>IF(V994="Yes",1,0)</f>
        <v>0</v>
      </c>
      <c r="Y994" s="22">
        <f>IF(H994="Active",0,1)</f>
        <v>0</v>
      </c>
    </row>
    <row r="995" spans="1:25" ht="18" customHeight="1" x14ac:dyDescent="0.35">
      <c r="A995" s="14" t="s">
        <v>1248</v>
      </c>
      <c r="B995" s="14" t="s">
        <v>62</v>
      </c>
      <c r="C995" s="14" t="s">
        <v>34</v>
      </c>
      <c r="D995" s="15">
        <v>45</v>
      </c>
      <c r="E995" s="14" t="s">
        <v>42</v>
      </c>
      <c r="F995" s="14" t="s">
        <v>53</v>
      </c>
      <c r="G995" s="16">
        <v>45652</v>
      </c>
      <c r="H995" s="14" t="s">
        <v>26</v>
      </c>
      <c r="I995" s="14" t="s">
        <v>27</v>
      </c>
      <c r="J995" s="14" t="s">
        <v>2268</v>
      </c>
      <c r="K995" s="14" t="s">
        <v>73</v>
      </c>
      <c r="L995" s="14" t="s">
        <v>116</v>
      </c>
      <c r="M995" s="14" t="s">
        <v>64</v>
      </c>
      <c r="N995" s="17">
        <v>240788</v>
      </c>
      <c r="O995" s="17">
        <v>26242</v>
      </c>
      <c r="P995" s="18">
        <v>83.3</v>
      </c>
      <c r="Q995" s="15">
        <v>7</v>
      </c>
      <c r="R995" s="19">
        <v>25</v>
      </c>
      <c r="S995" s="19">
        <v>1</v>
      </c>
      <c r="T995" s="15">
        <v>11</v>
      </c>
      <c r="U995" s="19">
        <v>98</v>
      </c>
      <c r="V995" s="14" t="s">
        <v>31</v>
      </c>
      <c r="W995" s="14"/>
      <c r="X995" s="14">
        <f>IF(V995="Yes",1,0)</f>
        <v>0</v>
      </c>
      <c r="Y995" s="14">
        <f>IF(H995="Active",0,1)</f>
        <v>0</v>
      </c>
    </row>
    <row r="996" spans="1:25" ht="18" customHeight="1" x14ac:dyDescent="0.35">
      <c r="A996" s="14" t="s">
        <v>332</v>
      </c>
      <c r="B996" s="14" t="s">
        <v>333</v>
      </c>
      <c r="C996" s="14" t="s">
        <v>34</v>
      </c>
      <c r="D996" s="15">
        <v>31</v>
      </c>
      <c r="E996" s="14" t="s">
        <v>52</v>
      </c>
      <c r="F996" s="14" t="s">
        <v>90</v>
      </c>
      <c r="G996" s="16">
        <v>45651</v>
      </c>
      <c r="H996" s="14" t="s">
        <v>26</v>
      </c>
      <c r="I996" s="14" t="s">
        <v>2267</v>
      </c>
      <c r="J996" s="14" t="s">
        <v>2270</v>
      </c>
      <c r="K996" s="14" t="s">
        <v>2271</v>
      </c>
      <c r="L996" s="14" t="s">
        <v>56</v>
      </c>
      <c r="M996" s="14" t="s">
        <v>39</v>
      </c>
      <c r="N996" s="17">
        <v>100552</v>
      </c>
      <c r="O996" s="17">
        <v>38243</v>
      </c>
      <c r="P996" s="18">
        <v>83.9</v>
      </c>
      <c r="Q996" s="15">
        <v>7</v>
      </c>
      <c r="R996" s="19">
        <v>26</v>
      </c>
      <c r="S996" s="19">
        <v>3</v>
      </c>
      <c r="T996" s="15">
        <v>17</v>
      </c>
      <c r="U996" s="19">
        <v>76</v>
      </c>
      <c r="V996" s="14" t="s">
        <v>69</v>
      </c>
      <c r="W996" s="14"/>
      <c r="X996" s="14">
        <f>IF(V996="Yes",1,0)</f>
        <v>1</v>
      </c>
      <c r="Y996" s="14">
        <f>IF(H996="Active",0,1)</f>
        <v>0</v>
      </c>
    </row>
    <row r="997" spans="1:25" ht="18" customHeight="1" x14ac:dyDescent="0.35">
      <c r="A997" s="14" t="s">
        <v>406</v>
      </c>
      <c r="B997" s="14" t="s">
        <v>244</v>
      </c>
      <c r="C997" s="14" t="s">
        <v>25</v>
      </c>
      <c r="D997" s="15">
        <v>57</v>
      </c>
      <c r="E997" s="14" t="s">
        <v>86</v>
      </c>
      <c r="F997" s="14" t="s">
        <v>43</v>
      </c>
      <c r="G997" s="16">
        <v>45651</v>
      </c>
      <c r="H997" s="14" t="s">
        <v>26</v>
      </c>
      <c r="I997" s="14" t="s">
        <v>27</v>
      </c>
      <c r="J997" s="14" t="s">
        <v>80</v>
      </c>
      <c r="K997" s="14" t="s">
        <v>55</v>
      </c>
      <c r="L997" s="14" t="s">
        <v>44</v>
      </c>
      <c r="M997" s="14" t="s">
        <v>64</v>
      </c>
      <c r="N997" s="17">
        <v>156175</v>
      </c>
      <c r="O997" s="17">
        <v>6785</v>
      </c>
      <c r="P997" s="18">
        <v>90.8</v>
      </c>
      <c r="Q997" s="15">
        <v>8</v>
      </c>
      <c r="R997" s="19">
        <v>9</v>
      </c>
      <c r="S997" s="19">
        <v>1</v>
      </c>
      <c r="T997" s="15">
        <v>34</v>
      </c>
      <c r="U997" s="19">
        <v>84</v>
      </c>
      <c r="V997" s="14" t="s">
        <v>31</v>
      </c>
      <c r="W997" s="14"/>
      <c r="X997" s="14">
        <f>IF(V997="Yes",1,0)</f>
        <v>0</v>
      </c>
      <c r="Y997" s="14">
        <f>IF(H997="Active",0,1)</f>
        <v>0</v>
      </c>
    </row>
    <row r="998" spans="1:25" ht="18" customHeight="1" x14ac:dyDescent="0.35">
      <c r="A998" s="8" t="s">
        <v>477</v>
      </c>
      <c r="B998" s="8" t="s">
        <v>471</v>
      </c>
      <c r="C998" s="8" t="s">
        <v>34</v>
      </c>
      <c r="D998" s="9">
        <v>43</v>
      </c>
      <c r="E998" s="8" t="s">
        <v>93</v>
      </c>
      <c r="F998" s="8" t="s">
        <v>35</v>
      </c>
      <c r="G998" s="10">
        <v>45651</v>
      </c>
      <c r="H998" s="8" t="s">
        <v>26</v>
      </c>
      <c r="I998" s="8" t="s">
        <v>36</v>
      </c>
      <c r="J998" s="8" t="s">
        <v>2270</v>
      </c>
      <c r="K998" s="8" t="s">
        <v>2271</v>
      </c>
      <c r="L998" s="8" t="s">
        <v>29</v>
      </c>
      <c r="M998" s="8" t="s">
        <v>64</v>
      </c>
      <c r="N998" s="11">
        <v>62258</v>
      </c>
      <c r="O998" s="11">
        <v>17958</v>
      </c>
      <c r="P998" s="12">
        <v>98.1</v>
      </c>
      <c r="Q998" s="9">
        <v>3</v>
      </c>
      <c r="R998" s="13">
        <v>28</v>
      </c>
      <c r="S998" s="13">
        <v>4</v>
      </c>
      <c r="T998" s="9">
        <v>12</v>
      </c>
      <c r="U998" s="13">
        <v>95</v>
      </c>
      <c r="V998" s="8" t="s">
        <v>31</v>
      </c>
      <c r="W998" s="8"/>
      <c r="X998" s="22">
        <f>IF(V998="Yes",1,0)</f>
        <v>0</v>
      </c>
      <c r="Y998" s="22">
        <f>IF(H998="Active",0,1)</f>
        <v>0</v>
      </c>
    </row>
    <row r="999" spans="1:25" ht="18" customHeight="1" x14ac:dyDescent="0.35">
      <c r="A999" s="8" t="s">
        <v>892</v>
      </c>
      <c r="B999" s="8" t="s">
        <v>447</v>
      </c>
      <c r="C999" s="8" t="s">
        <v>34</v>
      </c>
      <c r="D999" s="9">
        <v>23</v>
      </c>
      <c r="E999" s="8" t="s">
        <v>67</v>
      </c>
      <c r="F999" s="8" t="s">
        <v>72</v>
      </c>
      <c r="G999" s="10">
        <v>45651</v>
      </c>
      <c r="H999" s="8" t="s">
        <v>26</v>
      </c>
      <c r="I999" s="8" t="s">
        <v>2267</v>
      </c>
      <c r="J999" s="8" t="s">
        <v>2270</v>
      </c>
      <c r="K999" s="8" t="s">
        <v>37</v>
      </c>
      <c r="L999" s="8" t="s">
        <v>87</v>
      </c>
      <c r="M999" s="8" t="s">
        <v>39</v>
      </c>
      <c r="N999" s="11">
        <v>206953</v>
      </c>
      <c r="O999" s="11">
        <v>38648</v>
      </c>
      <c r="P999" s="12">
        <v>97.8</v>
      </c>
      <c r="Q999" s="9">
        <v>5</v>
      </c>
      <c r="R999" s="13">
        <v>11</v>
      </c>
      <c r="S999" s="13">
        <v>5</v>
      </c>
      <c r="T999" s="9">
        <v>7</v>
      </c>
      <c r="U999" s="13">
        <v>75</v>
      </c>
      <c r="V999" s="8" t="s">
        <v>31</v>
      </c>
      <c r="W999" s="8"/>
      <c r="X999" s="22">
        <f>IF(V999="Yes",1,0)</f>
        <v>0</v>
      </c>
      <c r="Y999" s="22">
        <f>IF(H999="Active",0,1)</f>
        <v>0</v>
      </c>
    </row>
    <row r="1000" spans="1:25" ht="18" customHeight="1" x14ac:dyDescent="0.35">
      <c r="A1000" s="14" t="s">
        <v>1310</v>
      </c>
      <c r="B1000" s="14" t="s">
        <v>709</v>
      </c>
      <c r="C1000" s="14" t="s">
        <v>25</v>
      </c>
      <c r="D1000" s="15">
        <v>24</v>
      </c>
      <c r="E1000" s="14" t="s">
        <v>109</v>
      </c>
      <c r="F1000" s="14" t="s">
        <v>72</v>
      </c>
      <c r="G1000" s="16">
        <v>45651</v>
      </c>
      <c r="H1000" s="14" t="s">
        <v>26</v>
      </c>
      <c r="I1000" s="14" t="s">
        <v>27</v>
      </c>
      <c r="J1000" s="14" t="s">
        <v>80</v>
      </c>
      <c r="K1000" s="14" t="s">
        <v>2271</v>
      </c>
      <c r="L1000" s="14" t="s">
        <v>38</v>
      </c>
      <c r="M1000" s="14" t="s">
        <v>64</v>
      </c>
      <c r="N1000" s="17">
        <v>157629</v>
      </c>
      <c r="O1000" s="17">
        <v>7371</v>
      </c>
      <c r="P1000" s="18">
        <v>88</v>
      </c>
      <c r="Q1000" s="15">
        <v>4</v>
      </c>
      <c r="R1000" s="19">
        <v>11</v>
      </c>
      <c r="S1000" s="19">
        <v>4</v>
      </c>
      <c r="T1000" s="15">
        <v>30</v>
      </c>
      <c r="U1000" s="19">
        <v>98</v>
      </c>
      <c r="V1000" s="14" t="s">
        <v>69</v>
      </c>
      <c r="W1000" s="14"/>
      <c r="X1000" s="14">
        <f>IF(V1000="Yes",1,0)</f>
        <v>1</v>
      </c>
      <c r="Y1000" s="14">
        <f>IF(H1000="Active",0,1)</f>
        <v>0</v>
      </c>
    </row>
    <row r="1001" spans="1:25" ht="18" customHeight="1" x14ac:dyDescent="0.35">
      <c r="A1001" s="14" t="s">
        <v>1644</v>
      </c>
      <c r="B1001" s="14" t="s">
        <v>403</v>
      </c>
      <c r="C1001" s="14" t="s">
        <v>34</v>
      </c>
      <c r="D1001" s="15">
        <v>57</v>
      </c>
      <c r="E1001" s="14" t="s">
        <v>63</v>
      </c>
      <c r="F1001" s="14" t="s">
        <v>53</v>
      </c>
      <c r="G1001" s="16">
        <v>45651</v>
      </c>
      <c r="H1001" s="14" t="s">
        <v>26</v>
      </c>
      <c r="I1001" s="14" t="s">
        <v>27</v>
      </c>
      <c r="J1001" s="14" t="s">
        <v>2269</v>
      </c>
      <c r="K1001" s="14" t="s">
        <v>2271</v>
      </c>
      <c r="L1001" s="14" t="s">
        <v>116</v>
      </c>
      <c r="M1001" s="14" t="s">
        <v>60</v>
      </c>
      <c r="N1001" s="17">
        <v>150067</v>
      </c>
      <c r="O1001" s="17">
        <v>45201</v>
      </c>
      <c r="P1001" s="18">
        <v>94.5</v>
      </c>
      <c r="Q1001" s="15">
        <v>10</v>
      </c>
      <c r="R1001" s="19">
        <v>11</v>
      </c>
      <c r="S1001" s="19">
        <v>2</v>
      </c>
      <c r="T1001" s="15">
        <v>28</v>
      </c>
      <c r="U1001" s="19">
        <v>82</v>
      </c>
      <c r="V1001" s="14" t="s">
        <v>31</v>
      </c>
      <c r="W1001" s="14"/>
      <c r="X1001" s="14">
        <f>IF(V1001="Yes",1,0)</f>
        <v>0</v>
      </c>
      <c r="Y1001" s="14">
        <f>IF(H1001="Active",0,1)</f>
        <v>0</v>
      </c>
    </row>
    <row r="1002" spans="1:25" ht="18" customHeight="1" x14ac:dyDescent="0.35">
      <c r="A1002" s="14" t="s">
        <v>1660</v>
      </c>
      <c r="B1002" s="14" t="s">
        <v>85</v>
      </c>
      <c r="C1002" s="14" t="s">
        <v>25</v>
      </c>
      <c r="D1002" s="15">
        <v>36</v>
      </c>
      <c r="E1002" s="14" t="s">
        <v>2304</v>
      </c>
      <c r="F1002" s="14" t="s">
        <v>90</v>
      </c>
      <c r="G1002" s="16">
        <v>45651</v>
      </c>
      <c r="H1002" s="14" t="s">
        <v>26</v>
      </c>
      <c r="I1002" s="14" t="s">
        <v>27</v>
      </c>
      <c r="J1002" s="14" t="s">
        <v>48</v>
      </c>
      <c r="K1002" s="14" t="s">
        <v>37</v>
      </c>
      <c r="L1002" s="14" t="s">
        <v>49</v>
      </c>
      <c r="M1002" s="14" t="s">
        <v>39</v>
      </c>
      <c r="N1002" s="17">
        <v>130515</v>
      </c>
      <c r="O1002" s="17">
        <v>34185</v>
      </c>
      <c r="P1002" s="18">
        <v>91.6</v>
      </c>
      <c r="Q1002" s="15">
        <v>7</v>
      </c>
      <c r="R1002" s="19">
        <v>10</v>
      </c>
      <c r="S1002" s="19">
        <v>4</v>
      </c>
      <c r="T1002" s="15">
        <v>17</v>
      </c>
      <c r="U1002" s="19">
        <v>60</v>
      </c>
      <c r="V1002" s="14" t="s">
        <v>31</v>
      </c>
      <c r="W1002" s="14"/>
      <c r="X1002" s="14">
        <f>IF(V1002="Yes",1,0)</f>
        <v>0</v>
      </c>
      <c r="Y1002" s="14">
        <f>IF(H1002="Active",0,1)</f>
        <v>0</v>
      </c>
    </row>
    <row r="1003" spans="1:25" ht="18" customHeight="1" x14ac:dyDescent="0.35">
      <c r="A1003" s="8" t="s">
        <v>365</v>
      </c>
      <c r="B1003" s="8" t="s">
        <v>215</v>
      </c>
      <c r="C1003" s="8" t="s">
        <v>34</v>
      </c>
      <c r="D1003" s="9">
        <v>48</v>
      </c>
      <c r="E1003" s="8" t="s">
        <v>63</v>
      </c>
      <c r="F1003" s="8" t="s">
        <v>43</v>
      </c>
      <c r="G1003" s="10">
        <v>45650</v>
      </c>
      <c r="H1003" s="8" t="s">
        <v>54</v>
      </c>
      <c r="I1003" s="8" t="s">
        <v>36</v>
      </c>
      <c r="J1003" s="8" t="s">
        <v>48</v>
      </c>
      <c r="K1003" s="8" t="s">
        <v>2271</v>
      </c>
      <c r="L1003" s="8" t="s">
        <v>49</v>
      </c>
      <c r="M1003" s="8" t="s">
        <v>30</v>
      </c>
      <c r="N1003" s="11">
        <v>89554</v>
      </c>
      <c r="O1003" s="11">
        <v>11747</v>
      </c>
      <c r="P1003" s="12">
        <v>81.3</v>
      </c>
      <c r="Q1003" s="9">
        <v>0</v>
      </c>
      <c r="R1003" s="13">
        <v>17</v>
      </c>
      <c r="S1003" s="13">
        <v>4</v>
      </c>
      <c r="T1003" s="9">
        <v>32</v>
      </c>
      <c r="U1003" s="13">
        <v>91</v>
      </c>
      <c r="V1003" s="8" t="s">
        <v>31</v>
      </c>
      <c r="W1003" s="8" t="s">
        <v>205</v>
      </c>
      <c r="X1003" s="22">
        <f>IF(V1003="Yes",1,0)</f>
        <v>0</v>
      </c>
      <c r="Y1003" s="22">
        <f>IF(H1003="Active",0,1)</f>
        <v>1</v>
      </c>
    </row>
    <row r="1004" spans="1:25" ht="18" customHeight="1" x14ac:dyDescent="0.35">
      <c r="A1004" s="8" t="s">
        <v>668</v>
      </c>
      <c r="B1004" s="8" t="s">
        <v>323</v>
      </c>
      <c r="C1004" s="8" t="s">
        <v>25</v>
      </c>
      <c r="D1004" s="9">
        <v>42</v>
      </c>
      <c r="E1004" s="8" t="s">
        <v>63</v>
      </c>
      <c r="F1004" s="8" t="s">
        <v>43</v>
      </c>
      <c r="G1004" s="10">
        <v>45650</v>
      </c>
      <c r="H1004" s="8" t="s">
        <v>26</v>
      </c>
      <c r="I1004" s="8" t="s">
        <v>27</v>
      </c>
      <c r="J1004" s="8" t="s">
        <v>2268</v>
      </c>
      <c r="K1004" s="8" t="s">
        <v>73</v>
      </c>
      <c r="L1004" s="8" t="s">
        <v>116</v>
      </c>
      <c r="M1004" s="8" t="s">
        <v>45</v>
      </c>
      <c r="N1004" s="11">
        <v>116603</v>
      </c>
      <c r="O1004" s="11">
        <v>14131</v>
      </c>
      <c r="P1004" s="12">
        <v>80.599999999999994</v>
      </c>
      <c r="Q1004" s="9">
        <v>9</v>
      </c>
      <c r="R1004" s="13">
        <v>28</v>
      </c>
      <c r="S1004" s="13">
        <v>3</v>
      </c>
      <c r="T1004" s="9">
        <v>37</v>
      </c>
      <c r="U1004" s="13">
        <v>62</v>
      </c>
      <c r="V1004" s="8" t="s">
        <v>31</v>
      </c>
      <c r="W1004" s="8"/>
      <c r="X1004" s="22">
        <f>IF(V1004="Yes",1,0)</f>
        <v>0</v>
      </c>
      <c r="Y1004" s="22">
        <f>IF(H1004="Active",0,1)</f>
        <v>0</v>
      </c>
    </row>
    <row r="1005" spans="1:25" ht="18" customHeight="1" x14ac:dyDescent="0.35">
      <c r="A1005" s="14" t="s">
        <v>1842</v>
      </c>
      <c r="B1005" s="14" t="s">
        <v>393</v>
      </c>
      <c r="C1005" s="14" t="s">
        <v>25</v>
      </c>
      <c r="D1005" s="15">
        <v>22</v>
      </c>
      <c r="E1005" s="14" t="s">
        <v>67</v>
      </c>
      <c r="F1005" s="14" t="s">
        <v>43</v>
      </c>
      <c r="G1005" s="16">
        <v>45650</v>
      </c>
      <c r="H1005" s="14" t="s">
        <v>26</v>
      </c>
      <c r="I1005" s="14" t="s">
        <v>36</v>
      </c>
      <c r="J1005" s="14" t="s">
        <v>2270</v>
      </c>
      <c r="K1005" s="14" t="s">
        <v>28</v>
      </c>
      <c r="L1005" s="14" t="s">
        <v>44</v>
      </c>
      <c r="M1005" s="14" t="s">
        <v>39</v>
      </c>
      <c r="N1005" s="17">
        <v>74369</v>
      </c>
      <c r="O1005" s="17">
        <v>23830</v>
      </c>
      <c r="P1005" s="18">
        <v>80.099999999999994</v>
      </c>
      <c r="Q1005" s="15">
        <v>10</v>
      </c>
      <c r="R1005" s="19">
        <v>10</v>
      </c>
      <c r="S1005" s="19">
        <v>3</v>
      </c>
      <c r="T1005" s="15">
        <v>22</v>
      </c>
      <c r="U1005" s="19">
        <v>78</v>
      </c>
      <c r="V1005" s="14" t="s">
        <v>31</v>
      </c>
      <c r="W1005" s="14"/>
      <c r="X1005" s="14">
        <f>IF(V1005="Yes",1,0)</f>
        <v>0</v>
      </c>
      <c r="Y1005" s="14">
        <f>IF(H1005="Active",0,1)</f>
        <v>0</v>
      </c>
    </row>
    <row r="1006" spans="1:25" ht="18" customHeight="1" x14ac:dyDescent="0.35">
      <c r="A1006" s="14" t="s">
        <v>2206</v>
      </c>
      <c r="B1006" s="14" t="s">
        <v>806</v>
      </c>
      <c r="C1006" s="14" t="s">
        <v>25</v>
      </c>
      <c r="D1006" s="15">
        <v>60</v>
      </c>
      <c r="E1006" s="14" t="s">
        <v>109</v>
      </c>
      <c r="F1006" s="14" t="s">
        <v>72</v>
      </c>
      <c r="G1006" s="16">
        <v>45650</v>
      </c>
      <c r="H1006" s="14" t="s">
        <v>26</v>
      </c>
      <c r="I1006" s="14" t="s">
        <v>27</v>
      </c>
      <c r="J1006" s="14" t="s">
        <v>80</v>
      </c>
      <c r="K1006" s="14" t="s">
        <v>73</v>
      </c>
      <c r="L1006" s="14" t="s">
        <v>116</v>
      </c>
      <c r="M1006" s="14" t="s">
        <v>64</v>
      </c>
      <c r="N1006" s="17">
        <v>84988</v>
      </c>
      <c r="O1006" s="17">
        <v>6136</v>
      </c>
      <c r="P1006" s="18">
        <v>99.9</v>
      </c>
      <c r="Q1006" s="15">
        <v>9</v>
      </c>
      <c r="R1006" s="19">
        <v>14</v>
      </c>
      <c r="S1006" s="19">
        <v>5</v>
      </c>
      <c r="T1006" s="15">
        <v>0</v>
      </c>
      <c r="U1006" s="19">
        <v>70</v>
      </c>
      <c r="V1006" s="14" t="s">
        <v>31</v>
      </c>
      <c r="W1006" s="14"/>
      <c r="X1006" s="14">
        <f>IF(V1006="Yes",1,0)</f>
        <v>0</v>
      </c>
      <c r="Y1006" s="14">
        <f>IF(H1006="Active",0,1)</f>
        <v>0</v>
      </c>
    </row>
    <row r="1007" spans="1:25" ht="18" customHeight="1" x14ac:dyDescent="0.35">
      <c r="A1007" s="14" t="s">
        <v>597</v>
      </c>
      <c r="B1007" s="14" t="s">
        <v>432</v>
      </c>
      <c r="C1007" s="14" t="s">
        <v>34</v>
      </c>
      <c r="D1007" s="15">
        <v>58</v>
      </c>
      <c r="E1007" s="14" t="s">
        <v>42</v>
      </c>
      <c r="F1007" s="14" t="s">
        <v>35</v>
      </c>
      <c r="G1007" s="16">
        <v>45649</v>
      </c>
      <c r="H1007" s="14" t="s">
        <v>26</v>
      </c>
      <c r="I1007" s="14" t="s">
        <v>36</v>
      </c>
      <c r="J1007" s="14" t="s">
        <v>2270</v>
      </c>
      <c r="K1007" s="14" t="s">
        <v>28</v>
      </c>
      <c r="L1007" s="14" t="s">
        <v>116</v>
      </c>
      <c r="M1007" s="14" t="s">
        <v>60</v>
      </c>
      <c r="N1007" s="17">
        <v>94968</v>
      </c>
      <c r="O1007" s="17">
        <v>21655</v>
      </c>
      <c r="P1007" s="18">
        <v>82.6</v>
      </c>
      <c r="Q1007" s="15">
        <v>6</v>
      </c>
      <c r="R1007" s="19">
        <v>16</v>
      </c>
      <c r="S1007" s="19">
        <v>3</v>
      </c>
      <c r="T1007" s="15">
        <v>19</v>
      </c>
      <c r="U1007" s="19">
        <v>60</v>
      </c>
      <c r="V1007" s="14" t="s">
        <v>31</v>
      </c>
      <c r="W1007" s="14"/>
      <c r="X1007" s="14">
        <f>IF(V1007="Yes",1,0)</f>
        <v>0</v>
      </c>
      <c r="Y1007" s="14">
        <f>IF(H1007="Active",0,1)</f>
        <v>0</v>
      </c>
    </row>
    <row r="1008" spans="1:25" ht="18" customHeight="1" x14ac:dyDescent="0.35">
      <c r="A1008" s="14" t="s">
        <v>1308</v>
      </c>
      <c r="B1008" s="14" t="s">
        <v>265</v>
      </c>
      <c r="C1008" s="14" t="s">
        <v>25</v>
      </c>
      <c r="D1008" s="15">
        <v>59</v>
      </c>
      <c r="E1008" s="14" t="s">
        <v>109</v>
      </c>
      <c r="F1008" s="14" t="s">
        <v>43</v>
      </c>
      <c r="G1008" s="16">
        <v>45649</v>
      </c>
      <c r="H1008" s="14" t="s">
        <v>26</v>
      </c>
      <c r="I1008" s="14" t="s">
        <v>27</v>
      </c>
      <c r="J1008" s="14" t="s">
        <v>80</v>
      </c>
      <c r="K1008" s="14" t="s">
        <v>37</v>
      </c>
      <c r="L1008" s="14" t="s">
        <v>49</v>
      </c>
      <c r="M1008" s="14" t="s">
        <v>39</v>
      </c>
      <c r="N1008" s="17">
        <v>242778</v>
      </c>
      <c r="O1008" s="17">
        <v>34280</v>
      </c>
      <c r="P1008" s="18">
        <v>97.7</v>
      </c>
      <c r="Q1008" s="15">
        <v>10</v>
      </c>
      <c r="R1008" s="19">
        <v>3</v>
      </c>
      <c r="S1008" s="19">
        <v>4</v>
      </c>
      <c r="T1008" s="15">
        <v>18</v>
      </c>
      <c r="U1008" s="19">
        <v>88</v>
      </c>
      <c r="V1008" s="14" t="s">
        <v>31</v>
      </c>
      <c r="W1008" s="14"/>
      <c r="X1008" s="14">
        <f>IF(V1008="Yes",1,0)</f>
        <v>0</v>
      </c>
      <c r="Y1008" s="14">
        <f>IF(H1008="Active",0,1)</f>
        <v>0</v>
      </c>
    </row>
    <row r="1009" spans="1:25" ht="18" customHeight="1" x14ac:dyDescent="0.35">
      <c r="A1009" s="14" t="s">
        <v>1848</v>
      </c>
      <c r="B1009" s="14" t="s">
        <v>118</v>
      </c>
      <c r="C1009" s="14" t="s">
        <v>34</v>
      </c>
      <c r="D1009" s="15">
        <v>34</v>
      </c>
      <c r="E1009" s="14" t="s">
        <v>2303</v>
      </c>
      <c r="F1009" s="14" t="s">
        <v>76</v>
      </c>
      <c r="G1009" s="16">
        <v>45649</v>
      </c>
      <c r="H1009" s="14" t="s">
        <v>26</v>
      </c>
      <c r="I1009" s="14" t="s">
        <v>2267</v>
      </c>
      <c r="J1009" s="14" t="s">
        <v>2269</v>
      </c>
      <c r="K1009" s="14" t="s">
        <v>73</v>
      </c>
      <c r="L1009" s="14" t="s">
        <v>44</v>
      </c>
      <c r="M1009" s="14" t="s">
        <v>30</v>
      </c>
      <c r="N1009" s="17">
        <v>249484</v>
      </c>
      <c r="O1009" s="17">
        <v>32998</v>
      </c>
      <c r="P1009" s="18">
        <v>88.1</v>
      </c>
      <c r="Q1009" s="15">
        <v>6</v>
      </c>
      <c r="R1009" s="19">
        <v>23</v>
      </c>
      <c r="S1009" s="19">
        <v>3</v>
      </c>
      <c r="T1009" s="15">
        <v>35</v>
      </c>
      <c r="U1009" s="19">
        <v>91</v>
      </c>
      <c r="V1009" s="14" t="s">
        <v>69</v>
      </c>
      <c r="W1009" s="14"/>
      <c r="X1009" s="14">
        <f>IF(V1009="Yes",1,0)</f>
        <v>1</v>
      </c>
      <c r="Y1009" s="14">
        <f>IF(H1009="Active",0,1)</f>
        <v>0</v>
      </c>
    </row>
    <row r="1010" spans="1:25" ht="18" customHeight="1" x14ac:dyDescent="0.35">
      <c r="A1010" s="14" t="s">
        <v>276</v>
      </c>
      <c r="B1010" s="14" t="s">
        <v>151</v>
      </c>
      <c r="C1010" s="14" t="s">
        <v>25</v>
      </c>
      <c r="D1010" s="15">
        <v>40</v>
      </c>
      <c r="E1010" s="14" t="s">
        <v>2304</v>
      </c>
      <c r="F1010" s="14" t="s">
        <v>72</v>
      </c>
      <c r="G1010" s="16">
        <v>45648</v>
      </c>
      <c r="H1010" s="14" t="s">
        <v>26</v>
      </c>
      <c r="I1010" s="14" t="s">
        <v>2267</v>
      </c>
      <c r="J1010" s="14" t="s">
        <v>2268</v>
      </c>
      <c r="K1010" s="14" t="s">
        <v>37</v>
      </c>
      <c r="L1010" s="14" t="s">
        <v>49</v>
      </c>
      <c r="M1010" s="14" t="s">
        <v>60</v>
      </c>
      <c r="N1010" s="17">
        <v>42650</v>
      </c>
      <c r="O1010" s="17">
        <v>49212</v>
      </c>
      <c r="P1010" s="18">
        <v>80.099999999999994</v>
      </c>
      <c r="Q1010" s="15">
        <v>2</v>
      </c>
      <c r="R1010" s="19">
        <v>0</v>
      </c>
      <c r="S1010" s="19">
        <v>3</v>
      </c>
      <c r="T1010" s="15">
        <v>32</v>
      </c>
      <c r="U1010" s="19">
        <v>65</v>
      </c>
      <c r="V1010" s="14" t="s">
        <v>69</v>
      </c>
      <c r="W1010" s="14"/>
      <c r="X1010" s="14">
        <f>IF(V1010="Yes",1,0)</f>
        <v>1</v>
      </c>
      <c r="Y1010" s="14">
        <f>IF(H1010="Active",0,1)</f>
        <v>0</v>
      </c>
    </row>
    <row r="1011" spans="1:25" ht="18" customHeight="1" x14ac:dyDescent="0.35">
      <c r="A1011" s="8" t="s">
        <v>1186</v>
      </c>
      <c r="B1011" s="8" t="s">
        <v>388</v>
      </c>
      <c r="C1011" s="8" t="s">
        <v>34</v>
      </c>
      <c r="D1011" s="9">
        <v>31</v>
      </c>
      <c r="E1011" s="8" t="s">
        <v>52</v>
      </c>
      <c r="F1011" s="8" t="s">
        <v>12</v>
      </c>
      <c r="G1011" s="10">
        <v>45648</v>
      </c>
      <c r="H1011" s="8" t="s">
        <v>26</v>
      </c>
      <c r="I1011" s="8" t="s">
        <v>36</v>
      </c>
      <c r="J1011" s="8" t="s">
        <v>2268</v>
      </c>
      <c r="K1011" s="8" t="s">
        <v>2271</v>
      </c>
      <c r="L1011" s="8" t="s">
        <v>56</v>
      </c>
      <c r="M1011" s="8" t="s">
        <v>30</v>
      </c>
      <c r="N1011" s="11">
        <v>43504</v>
      </c>
      <c r="O1011" s="11">
        <v>36663</v>
      </c>
      <c r="P1011" s="12">
        <v>91.1</v>
      </c>
      <c r="Q1011" s="9">
        <v>4</v>
      </c>
      <c r="R1011" s="13">
        <v>25</v>
      </c>
      <c r="S1011" s="13">
        <v>2</v>
      </c>
      <c r="T1011" s="9">
        <v>23</v>
      </c>
      <c r="U1011" s="13">
        <v>60</v>
      </c>
      <c r="V1011" s="8" t="s">
        <v>31</v>
      </c>
      <c r="W1011" s="8"/>
      <c r="X1011" s="22">
        <f>IF(V1011="Yes",1,0)</f>
        <v>0</v>
      </c>
      <c r="Y1011" s="22">
        <f>IF(H1011="Active",0,1)</f>
        <v>0</v>
      </c>
    </row>
    <row r="1012" spans="1:25" ht="18" customHeight="1" x14ac:dyDescent="0.35">
      <c r="A1012" s="8" t="s">
        <v>387</v>
      </c>
      <c r="B1012" s="8" t="s">
        <v>388</v>
      </c>
      <c r="C1012" s="8" t="s">
        <v>25</v>
      </c>
      <c r="D1012" s="9">
        <v>21</v>
      </c>
      <c r="E1012" s="8" t="s">
        <v>86</v>
      </c>
      <c r="F1012" s="8" t="s">
        <v>79</v>
      </c>
      <c r="G1012" s="10">
        <v>45647</v>
      </c>
      <c r="H1012" s="8" t="s">
        <v>26</v>
      </c>
      <c r="I1012" s="8" t="s">
        <v>27</v>
      </c>
      <c r="J1012" s="8" t="s">
        <v>80</v>
      </c>
      <c r="K1012" s="8" t="s">
        <v>73</v>
      </c>
      <c r="L1012" s="8" t="s">
        <v>38</v>
      </c>
      <c r="M1012" s="8" t="s">
        <v>60</v>
      </c>
      <c r="N1012" s="11">
        <v>211938</v>
      </c>
      <c r="O1012" s="11">
        <v>8101</v>
      </c>
      <c r="P1012" s="12">
        <v>91.1</v>
      </c>
      <c r="Q1012" s="9">
        <v>4</v>
      </c>
      <c r="R1012" s="13">
        <v>12</v>
      </c>
      <c r="S1012" s="13">
        <v>5</v>
      </c>
      <c r="T1012" s="9">
        <v>3</v>
      </c>
      <c r="U1012" s="13">
        <v>65</v>
      </c>
      <c r="V1012" s="8" t="s">
        <v>69</v>
      </c>
      <c r="W1012" s="8"/>
      <c r="X1012" s="22">
        <f>IF(V1012="Yes",1,0)</f>
        <v>1</v>
      </c>
      <c r="Y1012" s="22">
        <f>IF(H1012="Active",0,1)</f>
        <v>0</v>
      </c>
    </row>
    <row r="1013" spans="1:25" ht="18" customHeight="1" x14ac:dyDescent="0.35">
      <c r="A1013" s="14" t="s">
        <v>593</v>
      </c>
      <c r="B1013" s="14" t="s">
        <v>51</v>
      </c>
      <c r="C1013" s="14" t="s">
        <v>25</v>
      </c>
      <c r="D1013" s="15">
        <v>45</v>
      </c>
      <c r="E1013" s="14" t="s">
        <v>86</v>
      </c>
      <c r="F1013" s="14" t="s">
        <v>53</v>
      </c>
      <c r="G1013" s="16">
        <v>45647</v>
      </c>
      <c r="H1013" s="14" t="s">
        <v>26</v>
      </c>
      <c r="I1013" s="14" t="s">
        <v>36</v>
      </c>
      <c r="J1013" s="14" t="s">
        <v>2269</v>
      </c>
      <c r="K1013" s="14" t="s">
        <v>55</v>
      </c>
      <c r="L1013" s="14" t="s">
        <v>44</v>
      </c>
      <c r="M1013" s="14" t="s">
        <v>60</v>
      </c>
      <c r="N1013" s="17">
        <v>86659</v>
      </c>
      <c r="O1013" s="17">
        <v>38482</v>
      </c>
      <c r="P1013" s="18">
        <v>96.9</v>
      </c>
      <c r="Q1013" s="15">
        <v>10</v>
      </c>
      <c r="R1013" s="19">
        <v>17</v>
      </c>
      <c r="S1013" s="19">
        <v>1</v>
      </c>
      <c r="T1013" s="15">
        <v>28</v>
      </c>
      <c r="U1013" s="19">
        <v>71</v>
      </c>
      <c r="V1013" s="14" t="s">
        <v>31</v>
      </c>
      <c r="W1013" s="14"/>
      <c r="X1013" s="14">
        <f>IF(V1013="Yes",1,0)</f>
        <v>0</v>
      </c>
      <c r="Y1013" s="14">
        <f>IF(H1013="Active",0,1)</f>
        <v>0</v>
      </c>
    </row>
    <row r="1014" spans="1:25" ht="18" customHeight="1" x14ac:dyDescent="0.35">
      <c r="A1014" s="8" t="s">
        <v>1129</v>
      </c>
      <c r="B1014" s="8" t="s">
        <v>197</v>
      </c>
      <c r="C1014" s="8" t="s">
        <v>34</v>
      </c>
      <c r="D1014" s="9">
        <v>36</v>
      </c>
      <c r="E1014" s="8" t="s">
        <v>2304</v>
      </c>
      <c r="F1014" s="8" t="s">
        <v>53</v>
      </c>
      <c r="G1014" s="10">
        <v>45647</v>
      </c>
      <c r="H1014" s="8" t="s">
        <v>26</v>
      </c>
      <c r="I1014" s="8" t="s">
        <v>27</v>
      </c>
      <c r="J1014" s="8" t="s">
        <v>48</v>
      </c>
      <c r="K1014" s="8" t="s">
        <v>2271</v>
      </c>
      <c r="L1014" s="8" t="s">
        <v>68</v>
      </c>
      <c r="M1014" s="8" t="s">
        <v>30</v>
      </c>
      <c r="N1014" s="11">
        <v>201542</v>
      </c>
      <c r="O1014" s="11">
        <v>15872</v>
      </c>
      <c r="P1014" s="12">
        <v>91.4</v>
      </c>
      <c r="Q1014" s="9">
        <v>4</v>
      </c>
      <c r="R1014" s="13">
        <v>15</v>
      </c>
      <c r="S1014" s="13">
        <v>4</v>
      </c>
      <c r="T1014" s="9">
        <v>39</v>
      </c>
      <c r="U1014" s="13">
        <v>60</v>
      </c>
      <c r="V1014" s="8" t="s">
        <v>31</v>
      </c>
      <c r="W1014" s="8"/>
      <c r="X1014" s="22">
        <f>IF(V1014="Yes",1,0)</f>
        <v>0</v>
      </c>
      <c r="Y1014" s="22">
        <f>IF(H1014="Active",0,1)</f>
        <v>0</v>
      </c>
    </row>
    <row r="1015" spans="1:25" ht="18" customHeight="1" x14ac:dyDescent="0.35">
      <c r="A1015" s="8" t="s">
        <v>320</v>
      </c>
      <c r="B1015" s="8" t="s">
        <v>82</v>
      </c>
      <c r="C1015" s="8" t="s">
        <v>34</v>
      </c>
      <c r="D1015" s="9">
        <v>35</v>
      </c>
      <c r="E1015" s="8" t="s">
        <v>42</v>
      </c>
      <c r="F1015" s="8" t="s">
        <v>12</v>
      </c>
      <c r="G1015" s="10">
        <v>45646</v>
      </c>
      <c r="H1015" s="8" t="s">
        <v>26</v>
      </c>
      <c r="I1015" s="8" t="s">
        <v>36</v>
      </c>
      <c r="J1015" s="8" t="s">
        <v>48</v>
      </c>
      <c r="K1015" s="8" t="s">
        <v>28</v>
      </c>
      <c r="L1015" s="8" t="s">
        <v>49</v>
      </c>
      <c r="M1015" s="8" t="s">
        <v>30</v>
      </c>
      <c r="N1015" s="11">
        <v>242349</v>
      </c>
      <c r="O1015" s="11">
        <v>7282</v>
      </c>
      <c r="P1015" s="12">
        <v>99.5</v>
      </c>
      <c r="Q1015" s="9">
        <v>1</v>
      </c>
      <c r="R1015" s="13">
        <v>6</v>
      </c>
      <c r="S1015" s="13">
        <v>3</v>
      </c>
      <c r="T1015" s="9">
        <v>10</v>
      </c>
      <c r="U1015" s="13">
        <v>62</v>
      </c>
      <c r="V1015" s="8" t="s">
        <v>31</v>
      </c>
      <c r="W1015" s="8"/>
      <c r="X1015" s="22">
        <f>IF(V1015="Yes",1,0)</f>
        <v>0</v>
      </c>
      <c r="Y1015" s="22">
        <f>IF(H1015="Active",0,1)</f>
        <v>0</v>
      </c>
    </row>
    <row r="1016" spans="1:25" ht="18" customHeight="1" x14ac:dyDescent="0.35">
      <c r="A1016" s="14" t="s">
        <v>868</v>
      </c>
      <c r="B1016" s="14" t="s">
        <v>153</v>
      </c>
      <c r="C1016" s="14" t="s">
        <v>25</v>
      </c>
      <c r="D1016" s="15">
        <v>23</v>
      </c>
      <c r="E1016" s="14" t="s">
        <v>109</v>
      </c>
      <c r="F1016" s="14" t="s">
        <v>79</v>
      </c>
      <c r="G1016" s="16">
        <v>45646</v>
      </c>
      <c r="H1016" s="14" t="s">
        <v>26</v>
      </c>
      <c r="I1016" s="14" t="s">
        <v>2267</v>
      </c>
      <c r="J1016" s="14" t="s">
        <v>2269</v>
      </c>
      <c r="K1016" s="14" t="s">
        <v>28</v>
      </c>
      <c r="L1016" s="14" t="s">
        <v>44</v>
      </c>
      <c r="M1016" s="14" t="s">
        <v>45</v>
      </c>
      <c r="N1016" s="17">
        <v>167417</v>
      </c>
      <c r="O1016" s="17">
        <v>34328</v>
      </c>
      <c r="P1016" s="18">
        <v>82.8</v>
      </c>
      <c r="Q1016" s="15">
        <v>5</v>
      </c>
      <c r="R1016" s="19">
        <v>21</v>
      </c>
      <c r="S1016" s="19">
        <v>1</v>
      </c>
      <c r="T1016" s="15">
        <v>37</v>
      </c>
      <c r="U1016" s="19">
        <v>62</v>
      </c>
      <c r="V1016" s="14" t="s">
        <v>69</v>
      </c>
      <c r="W1016" s="14"/>
      <c r="X1016" s="14">
        <f>IF(V1016="Yes",1,0)</f>
        <v>1</v>
      </c>
      <c r="Y1016" s="14">
        <f>IF(H1016="Active",0,1)</f>
        <v>0</v>
      </c>
    </row>
    <row r="1017" spans="1:25" ht="18" customHeight="1" x14ac:dyDescent="0.35">
      <c r="A1017" s="8" t="s">
        <v>1143</v>
      </c>
      <c r="B1017" s="8" t="s">
        <v>619</v>
      </c>
      <c r="C1017" s="8" t="s">
        <v>34</v>
      </c>
      <c r="D1017" s="9">
        <v>50</v>
      </c>
      <c r="E1017" s="8" t="s">
        <v>93</v>
      </c>
      <c r="F1017" s="8" t="s">
        <v>43</v>
      </c>
      <c r="G1017" s="10">
        <v>45646</v>
      </c>
      <c r="H1017" s="8" t="s">
        <v>26</v>
      </c>
      <c r="I1017" s="8" t="s">
        <v>27</v>
      </c>
      <c r="J1017" s="8" t="s">
        <v>48</v>
      </c>
      <c r="K1017" s="8" t="s">
        <v>28</v>
      </c>
      <c r="L1017" s="8" t="s">
        <v>49</v>
      </c>
      <c r="M1017" s="8" t="s">
        <v>39</v>
      </c>
      <c r="N1017" s="11">
        <v>86129</v>
      </c>
      <c r="O1017" s="11">
        <v>21195</v>
      </c>
      <c r="P1017" s="12">
        <v>87.2</v>
      </c>
      <c r="Q1017" s="9">
        <v>8</v>
      </c>
      <c r="R1017" s="13">
        <v>28</v>
      </c>
      <c r="S1017" s="13">
        <v>3</v>
      </c>
      <c r="T1017" s="9">
        <v>28</v>
      </c>
      <c r="U1017" s="13">
        <v>90</v>
      </c>
      <c r="V1017" s="8" t="s">
        <v>31</v>
      </c>
      <c r="W1017" s="8"/>
      <c r="X1017" s="22">
        <f>IF(V1017="Yes",1,0)</f>
        <v>0</v>
      </c>
      <c r="Y1017" s="22">
        <f>IF(H1017="Active",0,1)</f>
        <v>0</v>
      </c>
    </row>
    <row r="1018" spans="1:25" ht="18" customHeight="1" x14ac:dyDescent="0.35">
      <c r="A1018" s="14" t="s">
        <v>2118</v>
      </c>
      <c r="B1018" s="14" t="s">
        <v>464</v>
      </c>
      <c r="C1018" s="14" t="s">
        <v>25</v>
      </c>
      <c r="D1018" s="15">
        <v>51</v>
      </c>
      <c r="E1018" s="14" t="s">
        <v>2304</v>
      </c>
      <c r="F1018" s="14" t="s">
        <v>90</v>
      </c>
      <c r="G1018" s="16">
        <v>45646</v>
      </c>
      <c r="H1018" s="14" t="s">
        <v>26</v>
      </c>
      <c r="I1018" s="14" t="s">
        <v>2267</v>
      </c>
      <c r="J1018" s="14" t="s">
        <v>2270</v>
      </c>
      <c r="K1018" s="14" t="s">
        <v>55</v>
      </c>
      <c r="L1018" s="14" t="s">
        <v>116</v>
      </c>
      <c r="M1018" s="14" t="s">
        <v>64</v>
      </c>
      <c r="N1018" s="17">
        <v>163143</v>
      </c>
      <c r="O1018" s="17">
        <v>32324</v>
      </c>
      <c r="P1018" s="18">
        <v>81.3</v>
      </c>
      <c r="Q1018" s="15">
        <v>5</v>
      </c>
      <c r="R1018" s="19">
        <v>24</v>
      </c>
      <c r="S1018" s="19">
        <v>1</v>
      </c>
      <c r="T1018" s="15">
        <v>33</v>
      </c>
      <c r="U1018" s="19">
        <v>100</v>
      </c>
      <c r="V1018" s="14" t="s">
        <v>31</v>
      </c>
      <c r="W1018" s="14"/>
      <c r="X1018" s="14">
        <f>IF(V1018="Yes",1,0)</f>
        <v>0</v>
      </c>
      <c r="Y1018" s="14">
        <f>IF(H1018="Active",0,1)</f>
        <v>0</v>
      </c>
    </row>
    <row r="1019" spans="1:25" ht="18" customHeight="1" x14ac:dyDescent="0.35">
      <c r="A1019" s="8" t="s">
        <v>328</v>
      </c>
      <c r="B1019" s="8" t="s">
        <v>329</v>
      </c>
      <c r="C1019" s="8" t="s">
        <v>25</v>
      </c>
      <c r="D1019" s="9">
        <v>59</v>
      </c>
      <c r="E1019" s="8" t="s">
        <v>109</v>
      </c>
      <c r="F1019" s="8" t="s">
        <v>12</v>
      </c>
      <c r="G1019" s="10">
        <v>45645</v>
      </c>
      <c r="H1019" s="8" t="s">
        <v>26</v>
      </c>
      <c r="I1019" s="8" t="s">
        <v>36</v>
      </c>
      <c r="J1019" s="8" t="s">
        <v>2268</v>
      </c>
      <c r="K1019" s="8" t="s">
        <v>73</v>
      </c>
      <c r="L1019" s="8" t="s">
        <v>49</v>
      </c>
      <c r="M1019" s="8" t="s">
        <v>45</v>
      </c>
      <c r="N1019" s="11">
        <v>87674</v>
      </c>
      <c r="O1019" s="11">
        <v>9834</v>
      </c>
      <c r="P1019" s="12">
        <v>96.3</v>
      </c>
      <c r="Q1019" s="9">
        <v>10</v>
      </c>
      <c r="R1019" s="13">
        <v>19</v>
      </c>
      <c r="S1019" s="13">
        <v>2</v>
      </c>
      <c r="T1019" s="9">
        <v>39</v>
      </c>
      <c r="U1019" s="13">
        <v>68</v>
      </c>
      <c r="V1019" s="8" t="s">
        <v>31</v>
      </c>
      <c r="W1019" s="8"/>
      <c r="X1019" s="22">
        <f>IF(V1019="Yes",1,0)</f>
        <v>0</v>
      </c>
      <c r="Y1019" s="22">
        <f>IF(H1019="Active",0,1)</f>
        <v>0</v>
      </c>
    </row>
    <row r="1020" spans="1:25" ht="18" customHeight="1" x14ac:dyDescent="0.35">
      <c r="A1020" s="14" t="s">
        <v>1578</v>
      </c>
      <c r="B1020" s="14" t="s">
        <v>974</v>
      </c>
      <c r="C1020" s="14" t="s">
        <v>34</v>
      </c>
      <c r="D1020" s="15">
        <v>32</v>
      </c>
      <c r="E1020" s="14" t="s">
        <v>2303</v>
      </c>
      <c r="F1020" s="14" t="s">
        <v>79</v>
      </c>
      <c r="G1020" s="16">
        <v>45645</v>
      </c>
      <c r="H1020" s="14" t="s">
        <v>26</v>
      </c>
      <c r="I1020" s="14" t="s">
        <v>36</v>
      </c>
      <c r="J1020" s="14" t="s">
        <v>80</v>
      </c>
      <c r="K1020" s="14" t="s">
        <v>2271</v>
      </c>
      <c r="L1020" s="14" t="s">
        <v>68</v>
      </c>
      <c r="M1020" s="14" t="s">
        <v>45</v>
      </c>
      <c r="N1020" s="17">
        <v>84398</v>
      </c>
      <c r="O1020" s="17">
        <v>11687</v>
      </c>
      <c r="P1020" s="18">
        <v>99.7</v>
      </c>
      <c r="Q1020" s="15">
        <v>4</v>
      </c>
      <c r="R1020" s="19">
        <v>28</v>
      </c>
      <c r="S1020" s="19">
        <v>1</v>
      </c>
      <c r="T1020" s="15">
        <v>36</v>
      </c>
      <c r="U1020" s="19">
        <v>71</v>
      </c>
      <c r="V1020" s="14" t="s">
        <v>69</v>
      </c>
      <c r="W1020" s="14"/>
      <c r="X1020" s="14">
        <f>IF(V1020="Yes",1,0)</f>
        <v>1</v>
      </c>
      <c r="Y1020" s="14">
        <f>IF(H1020="Active",0,1)</f>
        <v>0</v>
      </c>
    </row>
    <row r="1021" spans="1:25" ht="18" customHeight="1" x14ac:dyDescent="0.35">
      <c r="A1021" s="14" t="s">
        <v>1604</v>
      </c>
      <c r="B1021" s="14" t="s">
        <v>356</v>
      </c>
      <c r="C1021" s="14" t="s">
        <v>34</v>
      </c>
      <c r="D1021" s="15">
        <v>28</v>
      </c>
      <c r="E1021" s="14" t="s">
        <v>67</v>
      </c>
      <c r="F1021" s="14" t="s">
        <v>79</v>
      </c>
      <c r="G1021" s="16">
        <v>45645</v>
      </c>
      <c r="H1021" s="14" t="s">
        <v>54</v>
      </c>
      <c r="I1021" s="14" t="s">
        <v>2267</v>
      </c>
      <c r="J1021" s="14" t="s">
        <v>48</v>
      </c>
      <c r="K1021" s="14" t="s">
        <v>2271</v>
      </c>
      <c r="L1021" s="14" t="s">
        <v>87</v>
      </c>
      <c r="M1021" s="14" t="s">
        <v>64</v>
      </c>
      <c r="N1021" s="17">
        <v>70293</v>
      </c>
      <c r="O1021" s="17">
        <v>19492</v>
      </c>
      <c r="P1021" s="18">
        <v>89.8</v>
      </c>
      <c r="Q1021" s="15">
        <v>5</v>
      </c>
      <c r="R1021" s="19">
        <v>17</v>
      </c>
      <c r="S1021" s="19">
        <v>3</v>
      </c>
      <c r="T1021" s="15">
        <v>0</v>
      </c>
      <c r="U1021" s="19">
        <v>74</v>
      </c>
      <c r="V1021" s="14" t="s">
        <v>31</v>
      </c>
      <c r="W1021" s="14" t="s">
        <v>96</v>
      </c>
      <c r="X1021" s="14">
        <f>IF(V1021="Yes",1,0)</f>
        <v>0</v>
      </c>
      <c r="Y1021" s="14">
        <f>IF(H1021="Active",0,1)</f>
        <v>1</v>
      </c>
    </row>
    <row r="1022" spans="1:25" ht="18" customHeight="1" x14ac:dyDescent="0.35">
      <c r="A1022" s="14" t="s">
        <v>858</v>
      </c>
      <c r="B1022" s="14" t="s">
        <v>100</v>
      </c>
      <c r="C1022" s="14" t="s">
        <v>25</v>
      </c>
      <c r="D1022" s="15">
        <v>33</v>
      </c>
      <c r="E1022" s="14" t="s">
        <v>109</v>
      </c>
      <c r="F1022" s="14" t="s">
        <v>90</v>
      </c>
      <c r="G1022" s="16">
        <v>45644</v>
      </c>
      <c r="H1022" s="14" t="s">
        <v>26</v>
      </c>
      <c r="I1022" s="14" t="s">
        <v>2267</v>
      </c>
      <c r="J1022" s="14" t="s">
        <v>2269</v>
      </c>
      <c r="K1022" s="14" t="s">
        <v>28</v>
      </c>
      <c r="L1022" s="14" t="s">
        <v>87</v>
      </c>
      <c r="M1022" s="14" t="s">
        <v>30</v>
      </c>
      <c r="N1022" s="17">
        <v>128851</v>
      </c>
      <c r="O1022" s="17">
        <v>46799</v>
      </c>
      <c r="P1022" s="18">
        <v>85.4</v>
      </c>
      <c r="Q1022" s="15">
        <v>0</v>
      </c>
      <c r="R1022" s="19">
        <v>14</v>
      </c>
      <c r="S1022" s="19">
        <v>5</v>
      </c>
      <c r="T1022" s="15">
        <v>0</v>
      </c>
      <c r="U1022" s="19">
        <v>61</v>
      </c>
      <c r="V1022" s="14" t="s">
        <v>31</v>
      </c>
      <c r="W1022" s="14"/>
      <c r="X1022" s="14">
        <f>IF(V1022="Yes",1,0)</f>
        <v>0</v>
      </c>
      <c r="Y1022" s="14">
        <f>IF(H1022="Active",0,1)</f>
        <v>0</v>
      </c>
    </row>
    <row r="1023" spans="1:25" ht="18" customHeight="1" x14ac:dyDescent="0.35">
      <c r="A1023" s="8" t="s">
        <v>1073</v>
      </c>
      <c r="B1023" s="8" t="s">
        <v>226</v>
      </c>
      <c r="C1023" s="8" t="s">
        <v>34</v>
      </c>
      <c r="D1023" s="9">
        <v>35</v>
      </c>
      <c r="E1023" s="8" t="s">
        <v>63</v>
      </c>
      <c r="F1023" s="8" t="s">
        <v>43</v>
      </c>
      <c r="G1023" s="10">
        <v>45644</v>
      </c>
      <c r="H1023" s="8" t="s">
        <v>54</v>
      </c>
      <c r="I1023" s="8" t="s">
        <v>27</v>
      </c>
      <c r="J1023" s="8" t="s">
        <v>2269</v>
      </c>
      <c r="K1023" s="8" t="s">
        <v>73</v>
      </c>
      <c r="L1023" s="8" t="s">
        <v>44</v>
      </c>
      <c r="M1023" s="8" t="s">
        <v>64</v>
      </c>
      <c r="N1023" s="11">
        <v>191118</v>
      </c>
      <c r="O1023" s="11">
        <v>6992</v>
      </c>
      <c r="P1023" s="12">
        <v>96.7</v>
      </c>
      <c r="Q1023" s="9">
        <v>3</v>
      </c>
      <c r="R1023" s="13">
        <v>7</v>
      </c>
      <c r="S1023" s="13">
        <v>1</v>
      </c>
      <c r="T1023" s="9">
        <v>20</v>
      </c>
      <c r="U1023" s="13">
        <v>74</v>
      </c>
      <c r="V1023" s="8" t="s">
        <v>69</v>
      </c>
      <c r="W1023" s="8" t="s">
        <v>96</v>
      </c>
      <c r="X1023" s="22">
        <f>IF(V1023="Yes",1,0)</f>
        <v>1</v>
      </c>
      <c r="Y1023" s="22">
        <f>IF(H1023="Active",0,1)</f>
        <v>1</v>
      </c>
    </row>
    <row r="1024" spans="1:25" ht="18" customHeight="1" x14ac:dyDescent="0.35">
      <c r="A1024" s="8" t="s">
        <v>1869</v>
      </c>
      <c r="B1024" s="8" t="s">
        <v>113</v>
      </c>
      <c r="C1024" s="8" t="s">
        <v>25</v>
      </c>
      <c r="D1024" s="9">
        <v>24</v>
      </c>
      <c r="E1024" s="8" t="s">
        <v>52</v>
      </c>
      <c r="F1024" s="8" t="s">
        <v>35</v>
      </c>
      <c r="G1024" s="10">
        <v>45644</v>
      </c>
      <c r="H1024" s="8" t="s">
        <v>26</v>
      </c>
      <c r="I1024" s="8" t="s">
        <v>2267</v>
      </c>
      <c r="J1024" s="8" t="s">
        <v>2270</v>
      </c>
      <c r="K1024" s="8" t="s">
        <v>73</v>
      </c>
      <c r="L1024" s="8" t="s">
        <v>116</v>
      </c>
      <c r="M1024" s="8" t="s">
        <v>60</v>
      </c>
      <c r="N1024" s="11">
        <v>41846</v>
      </c>
      <c r="O1024" s="11">
        <v>28501</v>
      </c>
      <c r="P1024" s="12">
        <v>91.9</v>
      </c>
      <c r="Q1024" s="9">
        <v>5</v>
      </c>
      <c r="R1024" s="13">
        <v>27</v>
      </c>
      <c r="S1024" s="13">
        <v>5</v>
      </c>
      <c r="T1024" s="9">
        <v>31</v>
      </c>
      <c r="U1024" s="13">
        <v>71</v>
      </c>
      <c r="V1024" s="8" t="s">
        <v>31</v>
      </c>
      <c r="W1024" s="8"/>
      <c r="X1024" s="22">
        <f>IF(V1024="Yes",1,0)</f>
        <v>0</v>
      </c>
      <c r="Y1024" s="22">
        <f>IF(H1024="Active",0,1)</f>
        <v>0</v>
      </c>
    </row>
    <row r="1025" spans="1:25" ht="18" customHeight="1" x14ac:dyDescent="0.35">
      <c r="A1025" s="14" t="s">
        <v>121</v>
      </c>
      <c r="B1025" s="14" t="s">
        <v>92</v>
      </c>
      <c r="C1025" s="14" t="s">
        <v>25</v>
      </c>
      <c r="D1025" s="15">
        <v>29</v>
      </c>
      <c r="E1025" s="14" t="s">
        <v>86</v>
      </c>
      <c r="F1025" s="14" t="s">
        <v>79</v>
      </c>
      <c r="G1025" s="16">
        <v>45643</v>
      </c>
      <c r="H1025" s="14" t="s">
        <v>26</v>
      </c>
      <c r="I1025" s="14" t="s">
        <v>2267</v>
      </c>
      <c r="J1025" s="14" t="s">
        <v>2268</v>
      </c>
      <c r="K1025" s="14" t="s">
        <v>37</v>
      </c>
      <c r="L1025" s="14" t="s">
        <v>44</v>
      </c>
      <c r="M1025" s="14" t="s">
        <v>45</v>
      </c>
      <c r="N1025" s="17">
        <v>162040</v>
      </c>
      <c r="O1025" s="17">
        <v>13202</v>
      </c>
      <c r="P1025" s="18">
        <v>89.2</v>
      </c>
      <c r="Q1025" s="15">
        <v>4</v>
      </c>
      <c r="R1025" s="19">
        <v>27</v>
      </c>
      <c r="S1025" s="19">
        <v>2</v>
      </c>
      <c r="T1025" s="15">
        <v>31</v>
      </c>
      <c r="U1025" s="19">
        <v>78</v>
      </c>
      <c r="V1025" s="14" t="s">
        <v>31</v>
      </c>
      <c r="W1025" s="14"/>
      <c r="X1025" s="14">
        <f>IF(V1025="Yes",1,0)</f>
        <v>0</v>
      </c>
      <c r="Y1025" s="14">
        <f>IF(H1025="Active",0,1)</f>
        <v>0</v>
      </c>
    </row>
    <row r="1026" spans="1:25" ht="18" customHeight="1" x14ac:dyDescent="0.35">
      <c r="A1026" s="8" t="s">
        <v>1789</v>
      </c>
      <c r="B1026" s="8" t="s">
        <v>646</v>
      </c>
      <c r="C1026" s="8" t="s">
        <v>34</v>
      </c>
      <c r="D1026" s="9">
        <v>44</v>
      </c>
      <c r="E1026" s="8" t="s">
        <v>2304</v>
      </c>
      <c r="F1026" s="8" t="s">
        <v>79</v>
      </c>
      <c r="G1026" s="10">
        <v>45643</v>
      </c>
      <c r="H1026" s="8" t="s">
        <v>26</v>
      </c>
      <c r="I1026" s="8" t="s">
        <v>27</v>
      </c>
      <c r="J1026" s="8" t="s">
        <v>2270</v>
      </c>
      <c r="K1026" s="8" t="s">
        <v>73</v>
      </c>
      <c r="L1026" s="8" t="s">
        <v>116</v>
      </c>
      <c r="M1026" s="8" t="s">
        <v>30</v>
      </c>
      <c r="N1026" s="11">
        <v>175206</v>
      </c>
      <c r="O1026" s="11">
        <v>26924</v>
      </c>
      <c r="P1026" s="12">
        <v>96.3</v>
      </c>
      <c r="Q1026" s="9">
        <v>2</v>
      </c>
      <c r="R1026" s="13">
        <v>14</v>
      </c>
      <c r="S1026" s="13">
        <v>5</v>
      </c>
      <c r="T1026" s="9">
        <v>34</v>
      </c>
      <c r="U1026" s="13">
        <v>63</v>
      </c>
      <c r="V1026" s="8" t="s">
        <v>31</v>
      </c>
      <c r="W1026" s="8"/>
      <c r="X1026" s="22">
        <f>IF(V1026="Yes",1,0)</f>
        <v>0</v>
      </c>
      <c r="Y1026" s="22">
        <f>IF(H1026="Active",0,1)</f>
        <v>0</v>
      </c>
    </row>
    <row r="1027" spans="1:25" ht="18" customHeight="1" x14ac:dyDescent="0.35">
      <c r="A1027" s="8" t="s">
        <v>2057</v>
      </c>
      <c r="B1027" s="8" t="s">
        <v>82</v>
      </c>
      <c r="C1027" s="8" t="s">
        <v>25</v>
      </c>
      <c r="D1027" s="9">
        <v>41</v>
      </c>
      <c r="E1027" s="8" t="s">
        <v>63</v>
      </c>
      <c r="F1027" s="8" t="s">
        <v>90</v>
      </c>
      <c r="G1027" s="10">
        <v>45643</v>
      </c>
      <c r="H1027" s="8" t="s">
        <v>26</v>
      </c>
      <c r="I1027" s="8" t="s">
        <v>27</v>
      </c>
      <c r="J1027" s="8" t="s">
        <v>48</v>
      </c>
      <c r="K1027" s="8" t="s">
        <v>55</v>
      </c>
      <c r="L1027" s="8" t="s">
        <v>49</v>
      </c>
      <c r="M1027" s="8" t="s">
        <v>39</v>
      </c>
      <c r="N1027" s="11">
        <v>36606</v>
      </c>
      <c r="O1027" s="11">
        <v>17200</v>
      </c>
      <c r="P1027" s="12">
        <v>94.4</v>
      </c>
      <c r="Q1027" s="9">
        <v>10</v>
      </c>
      <c r="R1027" s="13">
        <v>26</v>
      </c>
      <c r="S1027" s="13">
        <v>5</v>
      </c>
      <c r="T1027" s="9">
        <v>9</v>
      </c>
      <c r="U1027" s="13">
        <v>77</v>
      </c>
      <c r="V1027" s="8" t="s">
        <v>31</v>
      </c>
      <c r="W1027" s="8"/>
      <c r="X1027" s="22">
        <f>IF(V1027="Yes",1,0)</f>
        <v>0</v>
      </c>
      <c r="Y1027" s="22">
        <f>IF(H1027="Active",0,1)</f>
        <v>0</v>
      </c>
    </row>
    <row r="1028" spans="1:25" ht="18" customHeight="1" x14ac:dyDescent="0.35">
      <c r="A1028" s="8" t="s">
        <v>2169</v>
      </c>
      <c r="B1028" s="8" t="s">
        <v>136</v>
      </c>
      <c r="C1028" s="8" t="s">
        <v>25</v>
      </c>
      <c r="D1028" s="9">
        <v>54</v>
      </c>
      <c r="E1028" s="8" t="s">
        <v>86</v>
      </c>
      <c r="F1028" s="8" t="s">
        <v>76</v>
      </c>
      <c r="G1028" s="10">
        <v>45643</v>
      </c>
      <c r="H1028" s="8" t="s">
        <v>26</v>
      </c>
      <c r="I1028" s="8" t="s">
        <v>2267</v>
      </c>
      <c r="J1028" s="8" t="s">
        <v>2270</v>
      </c>
      <c r="K1028" s="8" t="s">
        <v>28</v>
      </c>
      <c r="L1028" s="8" t="s">
        <v>29</v>
      </c>
      <c r="M1028" s="8" t="s">
        <v>39</v>
      </c>
      <c r="N1028" s="11">
        <v>230280</v>
      </c>
      <c r="O1028" s="11">
        <v>17042</v>
      </c>
      <c r="P1028" s="12">
        <v>84.7</v>
      </c>
      <c r="Q1028" s="9">
        <v>10</v>
      </c>
      <c r="R1028" s="13">
        <v>16</v>
      </c>
      <c r="S1028" s="13">
        <v>1</v>
      </c>
      <c r="T1028" s="9">
        <v>31</v>
      </c>
      <c r="U1028" s="13">
        <v>67</v>
      </c>
      <c r="V1028" s="8" t="s">
        <v>31</v>
      </c>
      <c r="W1028" s="8"/>
      <c r="X1028" s="22">
        <f>IF(V1028="Yes",1,0)</f>
        <v>0</v>
      </c>
      <c r="Y1028" s="22">
        <f>IF(H1028="Active",0,1)</f>
        <v>0</v>
      </c>
    </row>
    <row r="1029" spans="1:25" ht="18" customHeight="1" x14ac:dyDescent="0.35">
      <c r="A1029" s="8" t="s">
        <v>1461</v>
      </c>
      <c r="B1029" s="8" t="s">
        <v>100</v>
      </c>
      <c r="C1029" s="8" t="s">
        <v>25</v>
      </c>
      <c r="D1029" s="9">
        <v>42</v>
      </c>
      <c r="E1029" s="8" t="s">
        <v>67</v>
      </c>
      <c r="F1029" s="8" t="s">
        <v>79</v>
      </c>
      <c r="G1029" s="10">
        <v>45642</v>
      </c>
      <c r="H1029" s="8" t="s">
        <v>26</v>
      </c>
      <c r="I1029" s="8" t="s">
        <v>27</v>
      </c>
      <c r="J1029" s="8" t="s">
        <v>2268</v>
      </c>
      <c r="K1029" s="8" t="s">
        <v>37</v>
      </c>
      <c r="L1029" s="8" t="s">
        <v>29</v>
      </c>
      <c r="M1029" s="8" t="s">
        <v>30</v>
      </c>
      <c r="N1029" s="11">
        <v>176347</v>
      </c>
      <c r="O1029" s="11">
        <v>28934</v>
      </c>
      <c r="P1029" s="12">
        <v>88.8</v>
      </c>
      <c r="Q1029" s="9">
        <v>3</v>
      </c>
      <c r="R1029" s="13">
        <v>2</v>
      </c>
      <c r="S1029" s="13">
        <v>2</v>
      </c>
      <c r="T1029" s="9">
        <v>15</v>
      </c>
      <c r="U1029" s="13">
        <v>96</v>
      </c>
      <c r="V1029" s="8" t="s">
        <v>31</v>
      </c>
      <c r="W1029" s="8"/>
      <c r="X1029" s="22">
        <f>IF(V1029="Yes",1,0)</f>
        <v>0</v>
      </c>
      <c r="Y1029" s="22">
        <f>IF(H1029="Active",0,1)</f>
        <v>0</v>
      </c>
    </row>
    <row r="1030" spans="1:25" ht="18" customHeight="1" x14ac:dyDescent="0.35">
      <c r="A1030" s="14" t="s">
        <v>373</v>
      </c>
      <c r="B1030" s="14" t="s">
        <v>104</v>
      </c>
      <c r="C1030" s="14" t="s">
        <v>25</v>
      </c>
      <c r="D1030" s="15">
        <v>21</v>
      </c>
      <c r="E1030" s="14" t="s">
        <v>63</v>
      </c>
      <c r="F1030" s="14" t="s">
        <v>90</v>
      </c>
      <c r="G1030" s="16">
        <v>45641</v>
      </c>
      <c r="H1030" s="14" t="s">
        <v>26</v>
      </c>
      <c r="I1030" s="14" t="s">
        <v>36</v>
      </c>
      <c r="J1030" s="14" t="s">
        <v>2269</v>
      </c>
      <c r="K1030" s="14" t="s">
        <v>55</v>
      </c>
      <c r="L1030" s="14" t="s">
        <v>29</v>
      </c>
      <c r="M1030" s="14" t="s">
        <v>60</v>
      </c>
      <c r="N1030" s="17">
        <v>116055</v>
      </c>
      <c r="O1030" s="17">
        <v>29041</v>
      </c>
      <c r="P1030" s="18">
        <v>82.9</v>
      </c>
      <c r="Q1030" s="15">
        <v>0</v>
      </c>
      <c r="R1030" s="19">
        <v>10</v>
      </c>
      <c r="S1030" s="19">
        <v>4</v>
      </c>
      <c r="T1030" s="15">
        <v>28</v>
      </c>
      <c r="U1030" s="19">
        <v>83</v>
      </c>
      <c r="V1030" s="14" t="s">
        <v>31</v>
      </c>
      <c r="W1030" s="14"/>
      <c r="X1030" s="14">
        <f>IF(V1030="Yes",1,0)</f>
        <v>0</v>
      </c>
      <c r="Y1030" s="14">
        <f>IF(H1030="Active",0,1)</f>
        <v>0</v>
      </c>
    </row>
    <row r="1031" spans="1:25" ht="18" customHeight="1" x14ac:dyDescent="0.35">
      <c r="A1031" s="8" t="s">
        <v>1137</v>
      </c>
      <c r="B1031" s="8" t="s">
        <v>454</v>
      </c>
      <c r="C1031" s="8" t="s">
        <v>25</v>
      </c>
      <c r="D1031" s="9">
        <v>52</v>
      </c>
      <c r="E1031" s="8" t="s">
        <v>93</v>
      </c>
      <c r="F1031" s="8" t="s">
        <v>90</v>
      </c>
      <c r="G1031" s="10">
        <v>45640</v>
      </c>
      <c r="H1031" s="8" t="s">
        <v>26</v>
      </c>
      <c r="I1031" s="8" t="s">
        <v>36</v>
      </c>
      <c r="J1031" s="8" t="s">
        <v>2270</v>
      </c>
      <c r="K1031" s="8" t="s">
        <v>37</v>
      </c>
      <c r="L1031" s="8" t="s">
        <v>29</v>
      </c>
      <c r="M1031" s="8" t="s">
        <v>45</v>
      </c>
      <c r="N1031" s="11">
        <v>148559</v>
      </c>
      <c r="O1031" s="11">
        <v>8976</v>
      </c>
      <c r="P1031" s="12">
        <v>99.1</v>
      </c>
      <c r="Q1031" s="9">
        <v>10</v>
      </c>
      <c r="R1031" s="13">
        <v>2</v>
      </c>
      <c r="S1031" s="13">
        <v>5</v>
      </c>
      <c r="T1031" s="9">
        <v>1</v>
      </c>
      <c r="U1031" s="13">
        <v>100</v>
      </c>
      <c r="V1031" s="8" t="s">
        <v>31</v>
      </c>
      <c r="W1031" s="8"/>
      <c r="X1031" s="22">
        <f>IF(V1031="Yes",1,0)</f>
        <v>0</v>
      </c>
      <c r="Y1031" s="22">
        <f>IF(H1031="Active",0,1)</f>
        <v>0</v>
      </c>
    </row>
    <row r="1032" spans="1:25" ht="18" customHeight="1" x14ac:dyDescent="0.35">
      <c r="A1032" s="8" t="s">
        <v>1158</v>
      </c>
      <c r="B1032" s="8" t="s">
        <v>140</v>
      </c>
      <c r="C1032" s="8" t="s">
        <v>25</v>
      </c>
      <c r="D1032" s="9">
        <v>28</v>
      </c>
      <c r="E1032" s="8" t="s">
        <v>93</v>
      </c>
      <c r="F1032" s="8" t="s">
        <v>53</v>
      </c>
      <c r="G1032" s="10">
        <v>45640</v>
      </c>
      <c r="H1032" s="8" t="s">
        <v>26</v>
      </c>
      <c r="I1032" s="8" t="s">
        <v>27</v>
      </c>
      <c r="J1032" s="8" t="s">
        <v>2270</v>
      </c>
      <c r="K1032" s="8" t="s">
        <v>2271</v>
      </c>
      <c r="L1032" s="8" t="s">
        <v>29</v>
      </c>
      <c r="M1032" s="8" t="s">
        <v>64</v>
      </c>
      <c r="N1032" s="11">
        <v>65901</v>
      </c>
      <c r="O1032" s="11">
        <v>42899</v>
      </c>
      <c r="P1032" s="12">
        <v>95.9</v>
      </c>
      <c r="Q1032" s="9">
        <v>0</v>
      </c>
      <c r="R1032" s="13">
        <v>20</v>
      </c>
      <c r="S1032" s="13">
        <v>4</v>
      </c>
      <c r="T1032" s="9">
        <v>28</v>
      </c>
      <c r="U1032" s="13">
        <v>97</v>
      </c>
      <c r="V1032" s="8" t="s">
        <v>31</v>
      </c>
      <c r="W1032" s="8"/>
      <c r="X1032" s="22">
        <f>IF(V1032="Yes",1,0)</f>
        <v>0</v>
      </c>
      <c r="Y1032" s="22">
        <f>IF(H1032="Active",0,1)</f>
        <v>0</v>
      </c>
    </row>
    <row r="1033" spans="1:25" ht="18" customHeight="1" x14ac:dyDescent="0.35">
      <c r="A1033" s="14" t="s">
        <v>1412</v>
      </c>
      <c r="B1033" s="14" t="s">
        <v>581</v>
      </c>
      <c r="C1033" s="14" t="s">
        <v>34</v>
      </c>
      <c r="D1033" s="15">
        <v>50</v>
      </c>
      <c r="E1033" s="14" t="s">
        <v>42</v>
      </c>
      <c r="F1033" s="14" t="s">
        <v>53</v>
      </c>
      <c r="G1033" s="16">
        <v>45640</v>
      </c>
      <c r="H1033" s="14" t="s">
        <v>26</v>
      </c>
      <c r="I1033" s="14" t="s">
        <v>2267</v>
      </c>
      <c r="J1033" s="14" t="s">
        <v>2270</v>
      </c>
      <c r="K1033" s="14" t="s">
        <v>55</v>
      </c>
      <c r="L1033" s="14" t="s">
        <v>56</v>
      </c>
      <c r="M1033" s="14" t="s">
        <v>45</v>
      </c>
      <c r="N1033" s="17">
        <v>116375</v>
      </c>
      <c r="O1033" s="17">
        <v>14945</v>
      </c>
      <c r="P1033" s="18">
        <v>98.4</v>
      </c>
      <c r="Q1033" s="15">
        <v>5</v>
      </c>
      <c r="R1033" s="19">
        <v>25</v>
      </c>
      <c r="S1033" s="19">
        <v>4</v>
      </c>
      <c r="T1033" s="15">
        <v>8</v>
      </c>
      <c r="U1033" s="19">
        <v>90</v>
      </c>
      <c r="V1033" s="14" t="s">
        <v>31</v>
      </c>
      <c r="W1033" s="14"/>
      <c r="X1033" s="14">
        <f>IF(V1033="Yes",1,0)</f>
        <v>0</v>
      </c>
      <c r="Y1033" s="14">
        <f>IF(H1033="Active",0,1)</f>
        <v>0</v>
      </c>
    </row>
    <row r="1034" spans="1:25" ht="18" customHeight="1" x14ac:dyDescent="0.35">
      <c r="A1034" s="8" t="s">
        <v>2219</v>
      </c>
      <c r="B1034" s="8" t="s">
        <v>285</v>
      </c>
      <c r="C1034" s="8" t="s">
        <v>34</v>
      </c>
      <c r="D1034" s="9">
        <v>45</v>
      </c>
      <c r="E1034" s="8" t="s">
        <v>67</v>
      </c>
      <c r="F1034" s="8" t="s">
        <v>72</v>
      </c>
      <c r="G1034" s="10">
        <v>45640</v>
      </c>
      <c r="H1034" s="8" t="s">
        <v>26</v>
      </c>
      <c r="I1034" s="8" t="s">
        <v>2267</v>
      </c>
      <c r="J1034" s="8" t="s">
        <v>2269</v>
      </c>
      <c r="K1034" s="8" t="s">
        <v>2271</v>
      </c>
      <c r="L1034" s="8" t="s">
        <v>49</v>
      </c>
      <c r="M1034" s="8" t="s">
        <v>60</v>
      </c>
      <c r="N1034" s="11">
        <v>113178</v>
      </c>
      <c r="O1034" s="11">
        <v>22100</v>
      </c>
      <c r="P1034" s="12">
        <v>91.2</v>
      </c>
      <c r="Q1034" s="9">
        <v>4</v>
      </c>
      <c r="R1034" s="13">
        <v>9</v>
      </c>
      <c r="S1034" s="13">
        <v>3</v>
      </c>
      <c r="T1034" s="9">
        <v>21</v>
      </c>
      <c r="U1034" s="13">
        <v>95</v>
      </c>
      <c r="V1034" s="8" t="s">
        <v>31</v>
      </c>
      <c r="W1034" s="8"/>
      <c r="X1034" s="22">
        <f>IF(V1034="Yes",1,0)</f>
        <v>0</v>
      </c>
      <c r="Y1034" s="22">
        <f>IF(H1034="Active",0,1)</f>
        <v>0</v>
      </c>
    </row>
    <row r="1035" spans="1:25" ht="18" customHeight="1" x14ac:dyDescent="0.35">
      <c r="A1035" s="8" t="s">
        <v>886</v>
      </c>
      <c r="B1035" s="8" t="s">
        <v>265</v>
      </c>
      <c r="C1035" s="8" t="s">
        <v>34</v>
      </c>
      <c r="D1035" s="9">
        <v>44</v>
      </c>
      <c r="E1035" s="8" t="s">
        <v>86</v>
      </c>
      <c r="F1035" s="8" t="s">
        <v>12</v>
      </c>
      <c r="G1035" s="10">
        <v>45639</v>
      </c>
      <c r="H1035" s="8" t="s">
        <v>26</v>
      </c>
      <c r="I1035" s="8" t="s">
        <v>27</v>
      </c>
      <c r="J1035" s="8" t="s">
        <v>2270</v>
      </c>
      <c r="K1035" s="8" t="s">
        <v>2271</v>
      </c>
      <c r="L1035" s="8" t="s">
        <v>56</v>
      </c>
      <c r="M1035" s="8" t="s">
        <v>64</v>
      </c>
      <c r="N1035" s="11">
        <v>62271</v>
      </c>
      <c r="O1035" s="11">
        <v>34158</v>
      </c>
      <c r="P1035" s="12">
        <v>93.7</v>
      </c>
      <c r="Q1035" s="9">
        <v>3</v>
      </c>
      <c r="R1035" s="13">
        <v>15</v>
      </c>
      <c r="S1035" s="13">
        <v>2</v>
      </c>
      <c r="T1035" s="9">
        <v>31</v>
      </c>
      <c r="U1035" s="13">
        <v>62</v>
      </c>
      <c r="V1035" s="8" t="s">
        <v>31</v>
      </c>
      <c r="W1035" s="8"/>
      <c r="X1035" s="22">
        <f>IF(V1035="Yes",1,0)</f>
        <v>0</v>
      </c>
      <c r="Y1035" s="22">
        <f>IF(H1035="Active",0,1)</f>
        <v>0</v>
      </c>
    </row>
    <row r="1036" spans="1:25" ht="18" customHeight="1" x14ac:dyDescent="0.35">
      <c r="A1036" s="8" t="s">
        <v>1777</v>
      </c>
      <c r="B1036" s="8" t="s">
        <v>587</v>
      </c>
      <c r="C1036" s="8" t="s">
        <v>34</v>
      </c>
      <c r="D1036" s="9">
        <v>58</v>
      </c>
      <c r="E1036" s="8" t="s">
        <v>109</v>
      </c>
      <c r="F1036" s="8" t="s">
        <v>43</v>
      </c>
      <c r="G1036" s="10">
        <v>45639</v>
      </c>
      <c r="H1036" s="8" t="s">
        <v>26</v>
      </c>
      <c r="I1036" s="8" t="s">
        <v>2267</v>
      </c>
      <c r="J1036" s="8" t="s">
        <v>80</v>
      </c>
      <c r="K1036" s="8" t="s">
        <v>2271</v>
      </c>
      <c r="L1036" s="8" t="s">
        <v>38</v>
      </c>
      <c r="M1036" s="8" t="s">
        <v>64</v>
      </c>
      <c r="N1036" s="11">
        <v>164556</v>
      </c>
      <c r="O1036" s="11">
        <v>8306</v>
      </c>
      <c r="P1036" s="12">
        <v>98.1</v>
      </c>
      <c r="Q1036" s="9">
        <v>6</v>
      </c>
      <c r="R1036" s="13">
        <v>3</v>
      </c>
      <c r="S1036" s="13">
        <v>2</v>
      </c>
      <c r="T1036" s="9">
        <v>10</v>
      </c>
      <c r="U1036" s="13">
        <v>76</v>
      </c>
      <c r="V1036" s="8" t="s">
        <v>31</v>
      </c>
      <c r="W1036" s="8"/>
      <c r="X1036" s="22">
        <f>IF(V1036="Yes",1,0)</f>
        <v>0</v>
      </c>
      <c r="Y1036" s="22">
        <f>IF(H1036="Active",0,1)</f>
        <v>0</v>
      </c>
    </row>
    <row r="1037" spans="1:25" ht="18" customHeight="1" x14ac:dyDescent="0.35">
      <c r="A1037" s="14" t="s">
        <v>1972</v>
      </c>
      <c r="B1037" s="14" t="s">
        <v>62</v>
      </c>
      <c r="C1037" s="14" t="s">
        <v>34</v>
      </c>
      <c r="D1037" s="15">
        <v>57</v>
      </c>
      <c r="E1037" s="14" t="s">
        <v>2304</v>
      </c>
      <c r="F1037" s="14" t="s">
        <v>43</v>
      </c>
      <c r="G1037" s="16">
        <v>45639</v>
      </c>
      <c r="H1037" s="14" t="s">
        <v>26</v>
      </c>
      <c r="I1037" s="14" t="s">
        <v>36</v>
      </c>
      <c r="J1037" s="14" t="s">
        <v>48</v>
      </c>
      <c r="K1037" s="14" t="s">
        <v>2271</v>
      </c>
      <c r="L1037" s="14" t="s">
        <v>49</v>
      </c>
      <c r="M1037" s="14" t="s">
        <v>30</v>
      </c>
      <c r="N1037" s="17">
        <v>87031</v>
      </c>
      <c r="O1037" s="17">
        <v>46639</v>
      </c>
      <c r="P1037" s="18">
        <v>88</v>
      </c>
      <c r="Q1037" s="15">
        <v>2</v>
      </c>
      <c r="R1037" s="19">
        <v>17</v>
      </c>
      <c r="S1037" s="19">
        <v>4</v>
      </c>
      <c r="T1037" s="15">
        <v>2</v>
      </c>
      <c r="U1037" s="19">
        <v>75</v>
      </c>
      <c r="V1037" s="14" t="s">
        <v>31</v>
      </c>
      <c r="W1037" s="14"/>
      <c r="X1037" s="14">
        <f>IF(V1037="Yes",1,0)</f>
        <v>0</v>
      </c>
      <c r="Y1037" s="14">
        <f>IF(H1037="Active",0,1)</f>
        <v>0</v>
      </c>
    </row>
    <row r="1038" spans="1:25" ht="18" customHeight="1" x14ac:dyDescent="0.35">
      <c r="A1038" s="8" t="s">
        <v>1087</v>
      </c>
      <c r="B1038" s="8" t="s">
        <v>142</v>
      </c>
      <c r="C1038" s="8" t="s">
        <v>25</v>
      </c>
      <c r="D1038" s="9">
        <v>34</v>
      </c>
      <c r="E1038" s="8" t="s">
        <v>52</v>
      </c>
      <c r="F1038" s="8" t="s">
        <v>90</v>
      </c>
      <c r="G1038" s="10">
        <v>45638</v>
      </c>
      <c r="H1038" s="8" t="s">
        <v>26</v>
      </c>
      <c r="I1038" s="8" t="s">
        <v>2267</v>
      </c>
      <c r="J1038" s="8" t="s">
        <v>80</v>
      </c>
      <c r="K1038" s="8" t="s">
        <v>2271</v>
      </c>
      <c r="L1038" s="8" t="s">
        <v>68</v>
      </c>
      <c r="M1038" s="8" t="s">
        <v>64</v>
      </c>
      <c r="N1038" s="11">
        <v>63031</v>
      </c>
      <c r="O1038" s="11">
        <v>15891</v>
      </c>
      <c r="P1038" s="12">
        <v>93.7</v>
      </c>
      <c r="Q1038" s="9">
        <v>8</v>
      </c>
      <c r="R1038" s="13">
        <v>10</v>
      </c>
      <c r="S1038" s="13">
        <v>5</v>
      </c>
      <c r="T1038" s="9">
        <v>0</v>
      </c>
      <c r="U1038" s="13">
        <v>90</v>
      </c>
      <c r="V1038" s="8" t="s">
        <v>31</v>
      </c>
      <c r="W1038" s="8"/>
      <c r="X1038" s="22">
        <f>IF(V1038="Yes",1,0)</f>
        <v>0</v>
      </c>
      <c r="Y1038" s="22">
        <f>IF(H1038="Active",0,1)</f>
        <v>0</v>
      </c>
    </row>
    <row r="1039" spans="1:25" ht="18" customHeight="1" x14ac:dyDescent="0.35">
      <c r="A1039" s="8" t="s">
        <v>1355</v>
      </c>
      <c r="B1039" s="8" t="s">
        <v>485</v>
      </c>
      <c r="C1039" s="8" t="s">
        <v>25</v>
      </c>
      <c r="D1039" s="9">
        <v>56</v>
      </c>
      <c r="E1039" s="8" t="s">
        <v>2303</v>
      </c>
      <c r="F1039" s="8" t="s">
        <v>90</v>
      </c>
      <c r="G1039" s="10">
        <v>45637</v>
      </c>
      <c r="H1039" s="8" t="s">
        <v>26</v>
      </c>
      <c r="I1039" s="8" t="s">
        <v>27</v>
      </c>
      <c r="J1039" s="8" t="s">
        <v>48</v>
      </c>
      <c r="K1039" s="8" t="s">
        <v>55</v>
      </c>
      <c r="L1039" s="8" t="s">
        <v>29</v>
      </c>
      <c r="M1039" s="8" t="s">
        <v>39</v>
      </c>
      <c r="N1039" s="11">
        <v>235249</v>
      </c>
      <c r="O1039" s="11">
        <v>21161</v>
      </c>
      <c r="P1039" s="12">
        <v>92.4</v>
      </c>
      <c r="Q1039" s="9">
        <v>3</v>
      </c>
      <c r="R1039" s="13">
        <v>1</v>
      </c>
      <c r="S1039" s="13">
        <v>5</v>
      </c>
      <c r="T1039" s="9">
        <v>25</v>
      </c>
      <c r="U1039" s="13">
        <v>91</v>
      </c>
      <c r="V1039" s="8" t="s">
        <v>31</v>
      </c>
      <c r="W1039" s="8"/>
      <c r="X1039" s="22">
        <f>IF(V1039="Yes",1,0)</f>
        <v>0</v>
      </c>
      <c r="Y1039" s="22">
        <f>IF(H1039="Active",0,1)</f>
        <v>0</v>
      </c>
    </row>
    <row r="1040" spans="1:25" ht="18" customHeight="1" x14ac:dyDescent="0.35">
      <c r="A1040" s="8" t="s">
        <v>1811</v>
      </c>
      <c r="B1040" s="8" t="s">
        <v>974</v>
      </c>
      <c r="C1040" s="8" t="s">
        <v>25</v>
      </c>
      <c r="D1040" s="9">
        <v>22</v>
      </c>
      <c r="E1040" s="8" t="s">
        <v>93</v>
      </c>
      <c r="F1040" s="8" t="s">
        <v>35</v>
      </c>
      <c r="G1040" s="10">
        <v>45637</v>
      </c>
      <c r="H1040" s="8" t="s">
        <v>26</v>
      </c>
      <c r="I1040" s="8" t="s">
        <v>36</v>
      </c>
      <c r="J1040" s="8" t="s">
        <v>80</v>
      </c>
      <c r="K1040" s="8" t="s">
        <v>2271</v>
      </c>
      <c r="L1040" s="8" t="s">
        <v>44</v>
      </c>
      <c r="M1040" s="8" t="s">
        <v>39</v>
      </c>
      <c r="N1040" s="11">
        <v>51234</v>
      </c>
      <c r="O1040" s="11">
        <v>47028</v>
      </c>
      <c r="P1040" s="12">
        <v>88.4</v>
      </c>
      <c r="Q1040" s="9">
        <v>5</v>
      </c>
      <c r="R1040" s="13">
        <v>0</v>
      </c>
      <c r="S1040" s="13">
        <v>1</v>
      </c>
      <c r="T1040" s="9">
        <v>28</v>
      </c>
      <c r="U1040" s="13">
        <v>100</v>
      </c>
      <c r="V1040" s="8" t="s">
        <v>69</v>
      </c>
      <c r="W1040" s="8"/>
      <c r="X1040" s="22">
        <f>IF(V1040="Yes",1,0)</f>
        <v>1</v>
      </c>
      <c r="Y1040" s="22">
        <f>IF(H1040="Active",0,1)</f>
        <v>0</v>
      </c>
    </row>
    <row r="1041" spans="1:25" ht="18" customHeight="1" x14ac:dyDescent="0.35">
      <c r="A1041" s="8" t="s">
        <v>1881</v>
      </c>
      <c r="B1041" s="8" t="s">
        <v>318</v>
      </c>
      <c r="C1041" s="8" t="s">
        <v>34</v>
      </c>
      <c r="D1041" s="9">
        <v>41</v>
      </c>
      <c r="E1041" s="8" t="s">
        <v>67</v>
      </c>
      <c r="F1041" s="8" t="s">
        <v>35</v>
      </c>
      <c r="G1041" s="10">
        <v>45637</v>
      </c>
      <c r="H1041" s="8" t="s">
        <v>26</v>
      </c>
      <c r="I1041" s="8" t="s">
        <v>2267</v>
      </c>
      <c r="J1041" s="8" t="s">
        <v>80</v>
      </c>
      <c r="K1041" s="8" t="s">
        <v>28</v>
      </c>
      <c r="L1041" s="8" t="s">
        <v>56</v>
      </c>
      <c r="M1041" s="8" t="s">
        <v>45</v>
      </c>
      <c r="N1041" s="11">
        <v>193501</v>
      </c>
      <c r="O1041" s="11">
        <v>31336</v>
      </c>
      <c r="P1041" s="12">
        <v>93</v>
      </c>
      <c r="Q1041" s="9">
        <v>5</v>
      </c>
      <c r="R1041" s="13">
        <v>11</v>
      </c>
      <c r="S1041" s="13">
        <v>5</v>
      </c>
      <c r="T1041" s="9">
        <v>8</v>
      </c>
      <c r="U1041" s="13">
        <v>95</v>
      </c>
      <c r="V1041" s="8" t="s">
        <v>31</v>
      </c>
      <c r="W1041" s="8"/>
      <c r="X1041" s="22">
        <f>IF(V1041="Yes",1,0)</f>
        <v>0</v>
      </c>
      <c r="Y1041" s="22">
        <f>IF(H1041="Active",0,1)</f>
        <v>0</v>
      </c>
    </row>
    <row r="1042" spans="1:25" ht="18" customHeight="1" x14ac:dyDescent="0.35">
      <c r="A1042" s="14" t="s">
        <v>731</v>
      </c>
      <c r="B1042" s="14" t="s">
        <v>78</v>
      </c>
      <c r="C1042" s="14" t="s">
        <v>25</v>
      </c>
      <c r="D1042" s="15">
        <v>57</v>
      </c>
      <c r="E1042" s="14" t="s">
        <v>93</v>
      </c>
      <c r="F1042" s="14" t="s">
        <v>76</v>
      </c>
      <c r="G1042" s="16">
        <v>45635</v>
      </c>
      <c r="H1042" s="14" t="s">
        <v>26</v>
      </c>
      <c r="I1042" s="14" t="s">
        <v>2267</v>
      </c>
      <c r="J1042" s="14" t="s">
        <v>80</v>
      </c>
      <c r="K1042" s="14" t="s">
        <v>2271</v>
      </c>
      <c r="L1042" s="14" t="s">
        <v>44</v>
      </c>
      <c r="M1042" s="14" t="s">
        <v>60</v>
      </c>
      <c r="N1042" s="17">
        <v>165467</v>
      </c>
      <c r="O1042" s="17">
        <v>44050</v>
      </c>
      <c r="P1042" s="18">
        <v>86.7</v>
      </c>
      <c r="Q1042" s="15">
        <v>3</v>
      </c>
      <c r="R1042" s="19">
        <v>4</v>
      </c>
      <c r="S1042" s="19">
        <v>2</v>
      </c>
      <c r="T1042" s="15">
        <v>19</v>
      </c>
      <c r="U1042" s="19">
        <v>64</v>
      </c>
      <c r="V1042" s="14" t="s">
        <v>31</v>
      </c>
      <c r="W1042" s="14"/>
      <c r="X1042" s="14">
        <f>IF(V1042="Yes",1,0)</f>
        <v>0</v>
      </c>
      <c r="Y1042" s="14">
        <f>IF(H1042="Active",0,1)</f>
        <v>0</v>
      </c>
    </row>
    <row r="1043" spans="1:25" ht="18" customHeight="1" x14ac:dyDescent="0.35">
      <c r="A1043" s="8" t="s">
        <v>1212</v>
      </c>
      <c r="B1043" s="8" t="s">
        <v>113</v>
      </c>
      <c r="C1043" s="8" t="s">
        <v>25</v>
      </c>
      <c r="D1043" s="9">
        <v>37</v>
      </c>
      <c r="E1043" s="8" t="s">
        <v>42</v>
      </c>
      <c r="F1043" s="8" t="s">
        <v>79</v>
      </c>
      <c r="G1043" s="10">
        <v>45635</v>
      </c>
      <c r="H1043" s="8" t="s">
        <v>26</v>
      </c>
      <c r="I1043" s="8" t="s">
        <v>36</v>
      </c>
      <c r="J1043" s="8" t="s">
        <v>2269</v>
      </c>
      <c r="K1043" s="8" t="s">
        <v>55</v>
      </c>
      <c r="L1043" s="8" t="s">
        <v>49</v>
      </c>
      <c r="M1043" s="8" t="s">
        <v>45</v>
      </c>
      <c r="N1043" s="11">
        <v>75001</v>
      </c>
      <c r="O1043" s="11">
        <v>6297</v>
      </c>
      <c r="P1043" s="12">
        <v>98.9</v>
      </c>
      <c r="Q1043" s="9">
        <v>8</v>
      </c>
      <c r="R1043" s="13">
        <v>8</v>
      </c>
      <c r="S1043" s="13">
        <v>4</v>
      </c>
      <c r="T1043" s="9">
        <v>16</v>
      </c>
      <c r="U1043" s="13">
        <v>86</v>
      </c>
      <c r="V1043" s="8" t="s">
        <v>31</v>
      </c>
      <c r="W1043" s="8"/>
      <c r="X1043" s="22">
        <f>IF(V1043="Yes",1,0)</f>
        <v>0</v>
      </c>
      <c r="Y1043" s="22">
        <f>IF(H1043="Active",0,1)</f>
        <v>0</v>
      </c>
    </row>
    <row r="1044" spans="1:25" ht="18" customHeight="1" x14ac:dyDescent="0.35">
      <c r="A1044" s="8" t="s">
        <v>1319</v>
      </c>
      <c r="B1044" s="8" t="s">
        <v>85</v>
      </c>
      <c r="C1044" s="8" t="s">
        <v>34</v>
      </c>
      <c r="D1044" s="9">
        <v>55</v>
      </c>
      <c r="E1044" s="8" t="s">
        <v>2303</v>
      </c>
      <c r="F1044" s="8" t="s">
        <v>53</v>
      </c>
      <c r="G1044" s="10">
        <v>45635</v>
      </c>
      <c r="H1044" s="8" t="s">
        <v>26</v>
      </c>
      <c r="I1044" s="8" t="s">
        <v>36</v>
      </c>
      <c r="J1044" s="8" t="s">
        <v>2269</v>
      </c>
      <c r="K1044" s="8" t="s">
        <v>55</v>
      </c>
      <c r="L1044" s="8" t="s">
        <v>49</v>
      </c>
      <c r="M1044" s="8" t="s">
        <v>30</v>
      </c>
      <c r="N1044" s="11">
        <v>61903</v>
      </c>
      <c r="O1044" s="11">
        <v>31356</v>
      </c>
      <c r="P1044" s="12">
        <v>95.1</v>
      </c>
      <c r="Q1044" s="9">
        <v>6</v>
      </c>
      <c r="R1044" s="13">
        <v>17</v>
      </c>
      <c r="S1044" s="13">
        <v>2</v>
      </c>
      <c r="T1044" s="9">
        <v>33</v>
      </c>
      <c r="U1044" s="13">
        <v>94</v>
      </c>
      <c r="V1044" s="8" t="s">
        <v>31</v>
      </c>
      <c r="W1044" s="8"/>
      <c r="X1044" s="22">
        <f>IF(V1044="Yes",1,0)</f>
        <v>0</v>
      </c>
      <c r="Y1044" s="22">
        <f>IF(H1044="Active",0,1)</f>
        <v>0</v>
      </c>
    </row>
    <row r="1045" spans="1:25" ht="18" customHeight="1" x14ac:dyDescent="0.35">
      <c r="A1045" s="8" t="s">
        <v>1299</v>
      </c>
      <c r="B1045" s="8" t="s">
        <v>709</v>
      </c>
      <c r="C1045" s="8" t="s">
        <v>25</v>
      </c>
      <c r="D1045" s="9">
        <v>46</v>
      </c>
      <c r="E1045" s="8" t="s">
        <v>109</v>
      </c>
      <c r="F1045" s="8" t="s">
        <v>53</v>
      </c>
      <c r="G1045" s="10">
        <v>45634</v>
      </c>
      <c r="H1045" s="8" t="s">
        <v>26</v>
      </c>
      <c r="I1045" s="8" t="s">
        <v>27</v>
      </c>
      <c r="J1045" s="8" t="s">
        <v>80</v>
      </c>
      <c r="K1045" s="8" t="s">
        <v>73</v>
      </c>
      <c r="L1045" s="8" t="s">
        <v>87</v>
      </c>
      <c r="M1045" s="8" t="s">
        <v>30</v>
      </c>
      <c r="N1045" s="11">
        <v>97798</v>
      </c>
      <c r="O1045" s="11">
        <v>27852</v>
      </c>
      <c r="P1045" s="12">
        <v>95.6</v>
      </c>
      <c r="Q1045" s="9">
        <v>10</v>
      </c>
      <c r="R1045" s="13">
        <v>24</v>
      </c>
      <c r="S1045" s="13">
        <v>3</v>
      </c>
      <c r="T1045" s="9">
        <v>34</v>
      </c>
      <c r="U1045" s="13">
        <v>95</v>
      </c>
      <c r="V1045" s="8" t="s">
        <v>31</v>
      </c>
      <c r="W1045" s="8"/>
      <c r="X1045" s="22">
        <f>IF(V1045="Yes",1,0)</f>
        <v>0</v>
      </c>
      <c r="Y1045" s="22">
        <f>IF(H1045="Active",0,1)</f>
        <v>0</v>
      </c>
    </row>
    <row r="1046" spans="1:25" ht="18" customHeight="1" x14ac:dyDescent="0.35">
      <c r="A1046" s="14" t="s">
        <v>1692</v>
      </c>
      <c r="B1046" s="14" t="s">
        <v>553</v>
      </c>
      <c r="C1046" s="14" t="s">
        <v>25</v>
      </c>
      <c r="D1046" s="15">
        <v>49</v>
      </c>
      <c r="E1046" s="14" t="s">
        <v>42</v>
      </c>
      <c r="F1046" s="14" t="s">
        <v>79</v>
      </c>
      <c r="G1046" s="16">
        <v>45634</v>
      </c>
      <c r="H1046" s="14" t="s">
        <v>26</v>
      </c>
      <c r="I1046" s="14" t="s">
        <v>27</v>
      </c>
      <c r="J1046" s="14" t="s">
        <v>2269</v>
      </c>
      <c r="K1046" s="14" t="s">
        <v>73</v>
      </c>
      <c r="L1046" s="14" t="s">
        <v>87</v>
      </c>
      <c r="M1046" s="14" t="s">
        <v>39</v>
      </c>
      <c r="N1046" s="17">
        <v>242159</v>
      </c>
      <c r="O1046" s="17">
        <v>44318</v>
      </c>
      <c r="P1046" s="18">
        <v>97.9</v>
      </c>
      <c r="Q1046" s="15">
        <v>3</v>
      </c>
      <c r="R1046" s="19">
        <v>0</v>
      </c>
      <c r="S1046" s="19">
        <v>3</v>
      </c>
      <c r="T1046" s="15">
        <v>38</v>
      </c>
      <c r="U1046" s="19">
        <v>92</v>
      </c>
      <c r="V1046" s="14" t="s">
        <v>31</v>
      </c>
      <c r="W1046" s="14"/>
      <c r="X1046" s="14">
        <f>IF(V1046="Yes",1,0)</f>
        <v>0</v>
      </c>
      <c r="Y1046" s="14">
        <f>IF(H1046="Active",0,1)</f>
        <v>0</v>
      </c>
    </row>
    <row r="1047" spans="1:25" ht="18" customHeight="1" x14ac:dyDescent="0.35">
      <c r="A1047" s="8" t="s">
        <v>1601</v>
      </c>
      <c r="B1047" s="8" t="s">
        <v>226</v>
      </c>
      <c r="C1047" s="8" t="s">
        <v>25</v>
      </c>
      <c r="D1047" s="9">
        <v>58</v>
      </c>
      <c r="E1047" s="8" t="s">
        <v>42</v>
      </c>
      <c r="F1047" s="8" t="s">
        <v>76</v>
      </c>
      <c r="G1047" s="10">
        <v>45633</v>
      </c>
      <c r="H1047" s="8" t="s">
        <v>26</v>
      </c>
      <c r="I1047" s="8" t="s">
        <v>2267</v>
      </c>
      <c r="J1047" s="8" t="s">
        <v>48</v>
      </c>
      <c r="K1047" s="8" t="s">
        <v>28</v>
      </c>
      <c r="L1047" s="8" t="s">
        <v>116</v>
      </c>
      <c r="M1047" s="8" t="s">
        <v>45</v>
      </c>
      <c r="N1047" s="11">
        <v>179977</v>
      </c>
      <c r="O1047" s="11">
        <v>27410</v>
      </c>
      <c r="P1047" s="12">
        <v>89.9</v>
      </c>
      <c r="Q1047" s="9">
        <v>5</v>
      </c>
      <c r="R1047" s="13">
        <v>3</v>
      </c>
      <c r="S1047" s="13">
        <v>5</v>
      </c>
      <c r="T1047" s="9">
        <v>38</v>
      </c>
      <c r="U1047" s="13">
        <v>67</v>
      </c>
      <c r="V1047" s="8" t="s">
        <v>69</v>
      </c>
      <c r="W1047" s="8"/>
      <c r="X1047" s="22">
        <f>IF(V1047="Yes",1,0)</f>
        <v>1</v>
      </c>
      <c r="Y1047" s="22">
        <f>IF(H1047="Active",0,1)</f>
        <v>0</v>
      </c>
    </row>
    <row r="1048" spans="1:25" ht="18" customHeight="1" x14ac:dyDescent="0.35">
      <c r="A1048" s="8" t="s">
        <v>2187</v>
      </c>
      <c r="B1048" s="8" t="s">
        <v>167</v>
      </c>
      <c r="C1048" s="8" t="s">
        <v>34</v>
      </c>
      <c r="D1048" s="9">
        <v>60</v>
      </c>
      <c r="E1048" s="8" t="s">
        <v>2304</v>
      </c>
      <c r="F1048" s="8" t="s">
        <v>12</v>
      </c>
      <c r="G1048" s="10">
        <v>45633</v>
      </c>
      <c r="H1048" s="8" t="s">
        <v>26</v>
      </c>
      <c r="I1048" s="8" t="s">
        <v>2267</v>
      </c>
      <c r="J1048" s="8" t="s">
        <v>2269</v>
      </c>
      <c r="K1048" s="8" t="s">
        <v>73</v>
      </c>
      <c r="L1048" s="8" t="s">
        <v>116</v>
      </c>
      <c r="M1048" s="8" t="s">
        <v>30</v>
      </c>
      <c r="N1048" s="11">
        <v>124937</v>
      </c>
      <c r="O1048" s="11">
        <v>48509</v>
      </c>
      <c r="P1048" s="12">
        <v>90.9</v>
      </c>
      <c r="Q1048" s="9">
        <v>5</v>
      </c>
      <c r="R1048" s="13">
        <v>5</v>
      </c>
      <c r="S1048" s="13">
        <v>3</v>
      </c>
      <c r="T1048" s="9">
        <v>20</v>
      </c>
      <c r="U1048" s="13">
        <v>95</v>
      </c>
      <c r="V1048" s="8" t="s">
        <v>69</v>
      </c>
      <c r="W1048" s="8"/>
      <c r="X1048" s="22">
        <f>IF(V1048="Yes",1,0)</f>
        <v>1</v>
      </c>
      <c r="Y1048" s="22">
        <f>IF(H1048="Active",0,1)</f>
        <v>0</v>
      </c>
    </row>
    <row r="1049" spans="1:25" ht="18" customHeight="1" x14ac:dyDescent="0.35">
      <c r="A1049" s="14" t="s">
        <v>470</v>
      </c>
      <c r="B1049" s="14" t="s">
        <v>471</v>
      </c>
      <c r="C1049" s="14" t="s">
        <v>25</v>
      </c>
      <c r="D1049" s="15">
        <v>34</v>
      </c>
      <c r="E1049" s="14" t="s">
        <v>67</v>
      </c>
      <c r="F1049" s="14" t="s">
        <v>35</v>
      </c>
      <c r="G1049" s="16">
        <v>45632</v>
      </c>
      <c r="H1049" s="14" t="s">
        <v>26</v>
      </c>
      <c r="I1049" s="14" t="s">
        <v>2267</v>
      </c>
      <c r="J1049" s="14" t="s">
        <v>80</v>
      </c>
      <c r="K1049" s="14" t="s">
        <v>55</v>
      </c>
      <c r="L1049" s="14" t="s">
        <v>56</v>
      </c>
      <c r="M1049" s="14" t="s">
        <v>60</v>
      </c>
      <c r="N1049" s="17">
        <v>239427</v>
      </c>
      <c r="O1049" s="17">
        <v>21033</v>
      </c>
      <c r="P1049" s="18">
        <v>83.8</v>
      </c>
      <c r="Q1049" s="15">
        <v>0</v>
      </c>
      <c r="R1049" s="19">
        <v>14</v>
      </c>
      <c r="S1049" s="19">
        <v>2</v>
      </c>
      <c r="T1049" s="15">
        <v>20</v>
      </c>
      <c r="U1049" s="19">
        <v>91</v>
      </c>
      <c r="V1049" s="14" t="s">
        <v>69</v>
      </c>
      <c r="W1049" s="14"/>
      <c r="X1049" s="14">
        <f>IF(V1049="Yes",1,0)</f>
        <v>1</v>
      </c>
      <c r="Y1049" s="14">
        <f>IF(H1049="Active",0,1)</f>
        <v>0</v>
      </c>
    </row>
    <row r="1050" spans="1:25" ht="18" customHeight="1" x14ac:dyDescent="0.35">
      <c r="A1050" s="8" t="s">
        <v>647</v>
      </c>
      <c r="B1050" s="8" t="s">
        <v>134</v>
      </c>
      <c r="C1050" s="8" t="s">
        <v>34</v>
      </c>
      <c r="D1050" s="9">
        <v>59</v>
      </c>
      <c r="E1050" s="8" t="s">
        <v>86</v>
      </c>
      <c r="F1050" s="8" t="s">
        <v>43</v>
      </c>
      <c r="G1050" s="10">
        <v>45632</v>
      </c>
      <c r="H1050" s="8" t="s">
        <v>26</v>
      </c>
      <c r="I1050" s="8" t="s">
        <v>2267</v>
      </c>
      <c r="J1050" s="8" t="s">
        <v>2270</v>
      </c>
      <c r="K1050" s="8" t="s">
        <v>37</v>
      </c>
      <c r="L1050" s="8" t="s">
        <v>49</v>
      </c>
      <c r="M1050" s="8" t="s">
        <v>30</v>
      </c>
      <c r="N1050" s="11">
        <v>186254</v>
      </c>
      <c r="O1050" s="11">
        <v>40220</v>
      </c>
      <c r="P1050" s="12">
        <v>88.1</v>
      </c>
      <c r="Q1050" s="9">
        <v>7</v>
      </c>
      <c r="R1050" s="13">
        <v>17</v>
      </c>
      <c r="S1050" s="13">
        <v>2</v>
      </c>
      <c r="T1050" s="9">
        <v>37</v>
      </c>
      <c r="U1050" s="13">
        <v>63</v>
      </c>
      <c r="V1050" s="8" t="s">
        <v>69</v>
      </c>
      <c r="W1050" s="8"/>
      <c r="X1050" s="22">
        <f>IF(V1050="Yes",1,0)</f>
        <v>1</v>
      </c>
      <c r="Y1050" s="22">
        <f>IF(H1050="Active",0,1)</f>
        <v>0</v>
      </c>
    </row>
    <row r="1051" spans="1:25" ht="18" customHeight="1" x14ac:dyDescent="0.35">
      <c r="A1051" s="14" t="s">
        <v>669</v>
      </c>
      <c r="B1051" s="14" t="s">
        <v>138</v>
      </c>
      <c r="C1051" s="14" t="s">
        <v>34</v>
      </c>
      <c r="D1051" s="15">
        <v>36</v>
      </c>
      <c r="E1051" s="14" t="s">
        <v>63</v>
      </c>
      <c r="F1051" s="14" t="s">
        <v>72</v>
      </c>
      <c r="G1051" s="16">
        <v>45632</v>
      </c>
      <c r="H1051" s="14" t="s">
        <v>26</v>
      </c>
      <c r="I1051" s="14" t="s">
        <v>27</v>
      </c>
      <c r="J1051" s="14" t="s">
        <v>2268</v>
      </c>
      <c r="K1051" s="14" t="s">
        <v>28</v>
      </c>
      <c r="L1051" s="14" t="s">
        <v>87</v>
      </c>
      <c r="M1051" s="14" t="s">
        <v>60</v>
      </c>
      <c r="N1051" s="17">
        <v>198372</v>
      </c>
      <c r="O1051" s="17">
        <v>24503</v>
      </c>
      <c r="P1051" s="18">
        <v>93</v>
      </c>
      <c r="Q1051" s="15">
        <v>5</v>
      </c>
      <c r="R1051" s="19">
        <v>25</v>
      </c>
      <c r="S1051" s="19">
        <v>3</v>
      </c>
      <c r="T1051" s="15">
        <v>12</v>
      </c>
      <c r="U1051" s="19">
        <v>72</v>
      </c>
      <c r="V1051" s="14" t="s">
        <v>31</v>
      </c>
      <c r="W1051" s="14"/>
      <c r="X1051" s="14">
        <f>IF(V1051="Yes",1,0)</f>
        <v>0</v>
      </c>
      <c r="Y1051" s="14">
        <f>IF(H1051="Active",0,1)</f>
        <v>0</v>
      </c>
    </row>
    <row r="1052" spans="1:25" ht="18" customHeight="1" x14ac:dyDescent="0.35">
      <c r="A1052" s="8" t="s">
        <v>685</v>
      </c>
      <c r="B1052" s="8" t="s">
        <v>51</v>
      </c>
      <c r="C1052" s="8" t="s">
        <v>25</v>
      </c>
      <c r="D1052" s="9">
        <v>43</v>
      </c>
      <c r="E1052" s="8" t="s">
        <v>63</v>
      </c>
      <c r="F1052" s="8" t="s">
        <v>76</v>
      </c>
      <c r="G1052" s="10">
        <v>45632</v>
      </c>
      <c r="H1052" s="8" t="s">
        <v>26</v>
      </c>
      <c r="I1052" s="8" t="s">
        <v>36</v>
      </c>
      <c r="J1052" s="8" t="s">
        <v>80</v>
      </c>
      <c r="K1052" s="8" t="s">
        <v>2271</v>
      </c>
      <c r="L1052" s="8" t="s">
        <v>49</v>
      </c>
      <c r="M1052" s="8" t="s">
        <v>60</v>
      </c>
      <c r="N1052" s="11">
        <v>110613</v>
      </c>
      <c r="O1052" s="11">
        <v>37229</v>
      </c>
      <c r="P1052" s="12">
        <v>93.9</v>
      </c>
      <c r="Q1052" s="9">
        <v>8</v>
      </c>
      <c r="R1052" s="13">
        <v>12</v>
      </c>
      <c r="S1052" s="13">
        <v>3</v>
      </c>
      <c r="T1052" s="9">
        <v>32</v>
      </c>
      <c r="U1052" s="13">
        <v>84</v>
      </c>
      <c r="V1052" s="8" t="s">
        <v>31</v>
      </c>
      <c r="W1052" s="8"/>
      <c r="X1052" s="22">
        <f>IF(V1052="Yes",1,0)</f>
        <v>0</v>
      </c>
      <c r="Y1052" s="22">
        <f>IF(H1052="Active",0,1)</f>
        <v>0</v>
      </c>
    </row>
    <row r="1053" spans="1:25" ht="18" customHeight="1" x14ac:dyDescent="0.35">
      <c r="A1053" s="8" t="s">
        <v>1101</v>
      </c>
      <c r="B1053" s="8" t="s">
        <v>175</v>
      </c>
      <c r="C1053" s="8" t="s">
        <v>34</v>
      </c>
      <c r="D1053" s="9">
        <v>45</v>
      </c>
      <c r="E1053" s="8" t="s">
        <v>42</v>
      </c>
      <c r="F1053" s="8" t="s">
        <v>35</v>
      </c>
      <c r="G1053" s="10">
        <v>45632</v>
      </c>
      <c r="H1053" s="8" t="s">
        <v>26</v>
      </c>
      <c r="I1053" s="8" t="s">
        <v>2267</v>
      </c>
      <c r="J1053" s="8" t="s">
        <v>48</v>
      </c>
      <c r="K1053" s="8" t="s">
        <v>73</v>
      </c>
      <c r="L1053" s="8" t="s">
        <v>38</v>
      </c>
      <c r="M1053" s="8" t="s">
        <v>30</v>
      </c>
      <c r="N1053" s="11">
        <v>44449</v>
      </c>
      <c r="O1053" s="11">
        <v>12783</v>
      </c>
      <c r="P1053" s="12">
        <v>90.2</v>
      </c>
      <c r="Q1053" s="9">
        <v>0</v>
      </c>
      <c r="R1053" s="13">
        <v>11</v>
      </c>
      <c r="S1053" s="13">
        <v>4</v>
      </c>
      <c r="T1053" s="9">
        <v>30</v>
      </c>
      <c r="U1053" s="13">
        <v>83</v>
      </c>
      <c r="V1053" s="8" t="s">
        <v>69</v>
      </c>
      <c r="W1053" s="8"/>
      <c r="X1053" s="22">
        <f>IF(V1053="Yes",1,0)</f>
        <v>1</v>
      </c>
      <c r="Y1053" s="22">
        <f>IF(H1053="Active",0,1)</f>
        <v>0</v>
      </c>
    </row>
    <row r="1054" spans="1:25" ht="18" customHeight="1" x14ac:dyDescent="0.35">
      <c r="A1054" s="8" t="s">
        <v>1147</v>
      </c>
      <c r="B1054" s="8" t="s">
        <v>485</v>
      </c>
      <c r="C1054" s="8" t="s">
        <v>25</v>
      </c>
      <c r="D1054" s="9">
        <v>35</v>
      </c>
      <c r="E1054" s="8" t="s">
        <v>67</v>
      </c>
      <c r="F1054" s="8" t="s">
        <v>72</v>
      </c>
      <c r="G1054" s="10">
        <v>45632</v>
      </c>
      <c r="H1054" s="8" t="s">
        <v>26</v>
      </c>
      <c r="I1054" s="8" t="s">
        <v>2267</v>
      </c>
      <c r="J1054" s="8" t="s">
        <v>2268</v>
      </c>
      <c r="K1054" s="8" t="s">
        <v>28</v>
      </c>
      <c r="L1054" s="8" t="s">
        <v>87</v>
      </c>
      <c r="M1054" s="8" t="s">
        <v>39</v>
      </c>
      <c r="N1054" s="11">
        <v>73499</v>
      </c>
      <c r="O1054" s="11">
        <v>19519</v>
      </c>
      <c r="P1054" s="12">
        <v>93.9</v>
      </c>
      <c r="Q1054" s="9">
        <v>1</v>
      </c>
      <c r="R1054" s="13">
        <v>28</v>
      </c>
      <c r="S1054" s="13">
        <v>5</v>
      </c>
      <c r="T1054" s="9">
        <v>18</v>
      </c>
      <c r="U1054" s="13">
        <v>75</v>
      </c>
      <c r="V1054" s="8" t="s">
        <v>69</v>
      </c>
      <c r="W1054" s="8"/>
      <c r="X1054" s="22">
        <f>IF(V1054="Yes",1,0)</f>
        <v>1</v>
      </c>
      <c r="Y1054" s="22">
        <f>IF(H1054="Active",0,1)</f>
        <v>0</v>
      </c>
    </row>
    <row r="1055" spans="1:25" ht="18" customHeight="1" x14ac:dyDescent="0.35">
      <c r="A1055" s="14" t="s">
        <v>426</v>
      </c>
      <c r="B1055" s="14" t="s">
        <v>189</v>
      </c>
      <c r="C1055" s="14" t="s">
        <v>34</v>
      </c>
      <c r="D1055" s="15">
        <v>25</v>
      </c>
      <c r="E1055" s="14" t="s">
        <v>2303</v>
      </c>
      <c r="F1055" s="14" t="s">
        <v>43</v>
      </c>
      <c r="G1055" s="16">
        <v>45631</v>
      </c>
      <c r="H1055" s="14" t="s">
        <v>26</v>
      </c>
      <c r="I1055" s="14" t="s">
        <v>27</v>
      </c>
      <c r="J1055" s="14" t="s">
        <v>80</v>
      </c>
      <c r="K1055" s="14" t="s">
        <v>37</v>
      </c>
      <c r="L1055" s="14" t="s">
        <v>29</v>
      </c>
      <c r="M1055" s="14" t="s">
        <v>39</v>
      </c>
      <c r="N1055" s="17">
        <v>53233</v>
      </c>
      <c r="O1055" s="17">
        <v>46540</v>
      </c>
      <c r="P1055" s="18">
        <v>98</v>
      </c>
      <c r="Q1055" s="15">
        <v>0</v>
      </c>
      <c r="R1055" s="19">
        <v>27</v>
      </c>
      <c r="S1055" s="19">
        <v>3</v>
      </c>
      <c r="T1055" s="15">
        <v>0</v>
      </c>
      <c r="U1055" s="19">
        <v>76</v>
      </c>
      <c r="V1055" s="14" t="s">
        <v>69</v>
      </c>
      <c r="W1055" s="14"/>
      <c r="X1055" s="14">
        <f>IF(V1055="Yes",1,0)</f>
        <v>1</v>
      </c>
      <c r="Y1055" s="14">
        <f>IF(H1055="Active",0,1)</f>
        <v>0</v>
      </c>
    </row>
    <row r="1056" spans="1:25" ht="18" customHeight="1" x14ac:dyDescent="0.35">
      <c r="A1056" s="14" t="s">
        <v>684</v>
      </c>
      <c r="B1056" s="14" t="s">
        <v>51</v>
      </c>
      <c r="C1056" s="14" t="s">
        <v>25</v>
      </c>
      <c r="D1056" s="15">
        <v>21</v>
      </c>
      <c r="E1056" s="14" t="s">
        <v>67</v>
      </c>
      <c r="F1056" s="14" t="s">
        <v>12</v>
      </c>
      <c r="G1056" s="16">
        <v>45631</v>
      </c>
      <c r="H1056" s="14" t="s">
        <v>26</v>
      </c>
      <c r="I1056" s="14" t="s">
        <v>2267</v>
      </c>
      <c r="J1056" s="14" t="s">
        <v>48</v>
      </c>
      <c r="K1056" s="14" t="s">
        <v>2271</v>
      </c>
      <c r="L1056" s="14" t="s">
        <v>49</v>
      </c>
      <c r="M1056" s="14" t="s">
        <v>64</v>
      </c>
      <c r="N1056" s="17">
        <v>73958</v>
      </c>
      <c r="O1056" s="17">
        <v>25974</v>
      </c>
      <c r="P1056" s="18">
        <v>97.2</v>
      </c>
      <c r="Q1056" s="15">
        <v>10</v>
      </c>
      <c r="R1056" s="19">
        <v>8</v>
      </c>
      <c r="S1056" s="19">
        <v>4</v>
      </c>
      <c r="T1056" s="15">
        <v>31</v>
      </c>
      <c r="U1056" s="19">
        <v>94</v>
      </c>
      <c r="V1056" s="14" t="s">
        <v>31</v>
      </c>
      <c r="W1056" s="14"/>
      <c r="X1056" s="14">
        <f>IF(V1056="Yes",1,0)</f>
        <v>0</v>
      </c>
      <c r="Y1056" s="14">
        <f>IF(H1056="Active",0,1)</f>
        <v>0</v>
      </c>
    </row>
    <row r="1057" spans="1:25" ht="18" customHeight="1" x14ac:dyDescent="0.35">
      <c r="A1057" s="14" t="s">
        <v>927</v>
      </c>
      <c r="B1057" s="14" t="s">
        <v>388</v>
      </c>
      <c r="C1057" s="14" t="s">
        <v>34</v>
      </c>
      <c r="D1057" s="15">
        <v>23</v>
      </c>
      <c r="E1057" s="14" t="s">
        <v>42</v>
      </c>
      <c r="F1057" s="14" t="s">
        <v>79</v>
      </c>
      <c r="G1057" s="16">
        <v>45631</v>
      </c>
      <c r="H1057" s="14" t="s">
        <v>26</v>
      </c>
      <c r="I1057" s="14" t="s">
        <v>2267</v>
      </c>
      <c r="J1057" s="14" t="s">
        <v>48</v>
      </c>
      <c r="K1057" s="14" t="s">
        <v>2271</v>
      </c>
      <c r="L1057" s="14" t="s">
        <v>87</v>
      </c>
      <c r="M1057" s="14" t="s">
        <v>60</v>
      </c>
      <c r="N1057" s="17">
        <v>144129</v>
      </c>
      <c r="O1057" s="17">
        <v>7377</v>
      </c>
      <c r="P1057" s="18">
        <v>99.4</v>
      </c>
      <c r="Q1057" s="15">
        <v>5</v>
      </c>
      <c r="R1057" s="19">
        <v>27</v>
      </c>
      <c r="S1057" s="19">
        <v>1</v>
      </c>
      <c r="T1057" s="15">
        <v>7</v>
      </c>
      <c r="U1057" s="19">
        <v>80</v>
      </c>
      <c r="V1057" s="14" t="s">
        <v>31</v>
      </c>
      <c r="W1057" s="14"/>
      <c r="X1057" s="14">
        <f>IF(V1057="Yes",1,0)</f>
        <v>0</v>
      </c>
      <c r="Y1057" s="14">
        <f>IF(H1057="Active",0,1)</f>
        <v>0</v>
      </c>
    </row>
    <row r="1058" spans="1:25" ht="18" customHeight="1" x14ac:dyDescent="0.35">
      <c r="A1058" s="8" t="s">
        <v>1083</v>
      </c>
      <c r="B1058" s="8" t="s">
        <v>344</v>
      </c>
      <c r="C1058" s="8" t="s">
        <v>25</v>
      </c>
      <c r="D1058" s="9">
        <v>31</v>
      </c>
      <c r="E1058" s="8" t="s">
        <v>2304</v>
      </c>
      <c r="F1058" s="8" t="s">
        <v>43</v>
      </c>
      <c r="G1058" s="10">
        <v>45631</v>
      </c>
      <c r="H1058" s="8" t="s">
        <v>26</v>
      </c>
      <c r="I1058" s="8" t="s">
        <v>2267</v>
      </c>
      <c r="J1058" s="8" t="s">
        <v>2268</v>
      </c>
      <c r="K1058" s="8" t="s">
        <v>2271</v>
      </c>
      <c r="L1058" s="8" t="s">
        <v>29</v>
      </c>
      <c r="M1058" s="8" t="s">
        <v>45</v>
      </c>
      <c r="N1058" s="11">
        <v>38160</v>
      </c>
      <c r="O1058" s="11">
        <v>25875</v>
      </c>
      <c r="P1058" s="12">
        <v>89.8</v>
      </c>
      <c r="Q1058" s="9">
        <v>0</v>
      </c>
      <c r="R1058" s="13">
        <v>21</v>
      </c>
      <c r="S1058" s="13">
        <v>1</v>
      </c>
      <c r="T1058" s="9">
        <v>10</v>
      </c>
      <c r="U1058" s="13">
        <v>100</v>
      </c>
      <c r="V1058" s="8" t="s">
        <v>31</v>
      </c>
      <c r="W1058" s="8"/>
      <c r="X1058" s="22">
        <f>IF(V1058="Yes",1,0)</f>
        <v>0</v>
      </c>
      <c r="Y1058" s="22">
        <f>IF(H1058="Active",0,1)</f>
        <v>0</v>
      </c>
    </row>
    <row r="1059" spans="1:25" ht="18" customHeight="1" x14ac:dyDescent="0.35">
      <c r="A1059" s="14" t="s">
        <v>1090</v>
      </c>
      <c r="B1059" s="14" t="s">
        <v>314</v>
      </c>
      <c r="C1059" s="14" t="s">
        <v>34</v>
      </c>
      <c r="D1059" s="15">
        <v>33</v>
      </c>
      <c r="E1059" s="14" t="s">
        <v>2303</v>
      </c>
      <c r="F1059" s="14" t="s">
        <v>79</v>
      </c>
      <c r="G1059" s="16">
        <v>45631</v>
      </c>
      <c r="H1059" s="14" t="s">
        <v>26</v>
      </c>
      <c r="I1059" s="14" t="s">
        <v>36</v>
      </c>
      <c r="J1059" s="14" t="s">
        <v>2270</v>
      </c>
      <c r="K1059" s="14" t="s">
        <v>28</v>
      </c>
      <c r="L1059" s="14" t="s">
        <v>38</v>
      </c>
      <c r="M1059" s="14" t="s">
        <v>64</v>
      </c>
      <c r="N1059" s="17">
        <v>240922</v>
      </c>
      <c r="O1059" s="17">
        <v>10207</v>
      </c>
      <c r="P1059" s="18">
        <v>83.6</v>
      </c>
      <c r="Q1059" s="15">
        <v>5</v>
      </c>
      <c r="R1059" s="19">
        <v>5</v>
      </c>
      <c r="S1059" s="19">
        <v>2</v>
      </c>
      <c r="T1059" s="15">
        <v>27</v>
      </c>
      <c r="U1059" s="19">
        <v>81</v>
      </c>
      <c r="V1059" s="14" t="s">
        <v>31</v>
      </c>
      <c r="W1059" s="14"/>
      <c r="X1059" s="14">
        <f>IF(V1059="Yes",1,0)</f>
        <v>0</v>
      </c>
      <c r="Y1059" s="14">
        <f>IF(H1059="Active",0,1)</f>
        <v>0</v>
      </c>
    </row>
    <row r="1060" spans="1:25" ht="18" customHeight="1" x14ac:dyDescent="0.35">
      <c r="A1060" s="8" t="s">
        <v>769</v>
      </c>
      <c r="B1060" s="8" t="s">
        <v>171</v>
      </c>
      <c r="C1060" s="8" t="s">
        <v>34</v>
      </c>
      <c r="D1060" s="9">
        <v>29</v>
      </c>
      <c r="E1060" s="8" t="s">
        <v>2303</v>
      </c>
      <c r="F1060" s="8" t="s">
        <v>79</v>
      </c>
      <c r="G1060" s="10">
        <v>45630</v>
      </c>
      <c r="H1060" s="8" t="s">
        <v>54</v>
      </c>
      <c r="I1060" s="8" t="s">
        <v>2267</v>
      </c>
      <c r="J1060" s="8" t="s">
        <v>48</v>
      </c>
      <c r="K1060" s="8" t="s">
        <v>73</v>
      </c>
      <c r="L1060" s="8" t="s">
        <v>116</v>
      </c>
      <c r="M1060" s="8" t="s">
        <v>30</v>
      </c>
      <c r="N1060" s="11">
        <v>37898</v>
      </c>
      <c r="O1060" s="11">
        <v>37340</v>
      </c>
      <c r="P1060" s="12">
        <v>94</v>
      </c>
      <c r="Q1060" s="9">
        <v>1</v>
      </c>
      <c r="R1060" s="13">
        <v>26</v>
      </c>
      <c r="S1060" s="13">
        <v>3</v>
      </c>
      <c r="T1060" s="9">
        <v>23</v>
      </c>
      <c r="U1060" s="13">
        <v>75</v>
      </c>
      <c r="V1060" s="8" t="s">
        <v>31</v>
      </c>
      <c r="W1060" s="8" t="s">
        <v>83</v>
      </c>
      <c r="X1060" s="22">
        <f>IF(V1060="Yes",1,0)</f>
        <v>0</v>
      </c>
      <c r="Y1060" s="22">
        <f>IF(H1060="Active",0,1)</f>
        <v>1</v>
      </c>
    </row>
    <row r="1061" spans="1:25" ht="18" customHeight="1" x14ac:dyDescent="0.35">
      <c r="A1061" s="14" t="s">
        <v>951</v>
      </c>
      <c r="B1061" s="14" t="s">
        <v>583</v>
      </c>
      <c r="C1061" s="14" t="s">
        <v>25</v>
      </c>
      <c r="D1061" s="15">
        <v>52</v>
      </c>
      <c r="E1061" s="14" t="s">
        <v>2303</v>
      </c>
      <c r="F1061" s="14" t="s">
        <v>72</v>
      </c>
      <c r="G1061" s="16">
        <v>45630</v>
      </c>
      <c r="H1061" s="14" t="s">
        <v>26</v>
      </c>
      <c r="I1061" s="14" t="s">
        <v>27</v>
      </c>
      <c r="J1061" s="14" t="s">
        <v>48</v>
      </c>
      <c r="K1061" s="14" t="s">
        <v>55</v>
      </c>
      <c r="L1061" s="14" t="s">
        <v>29</v>
      </c>
      <c r="M1061" s="14" t="s">
        <v>60</v>
      </c>
      <c r="N1061" s="17">
        <v>216524</v>
      </c>
      <c r="O1061" s="17">
        <v>40555</v>
      </c>
      <c r="P1061" s="18">
        <v>83.5</v>
      </c>
      <c r="Q1061" s="15">
        <v>2</v>
      </c>
      <c r="R1061" s="19">
        <v>9</v>
      </c>
      <c r="S1061" s="19">
        <v>1</v>
      </c>
      <c r="T1061" s="15">
        <v>6</v>
      </c>
      <c r="U1061" s="19">
        <v>71</v>
      </c>
      <c r="V1061" s="14" t="s">
        <v>31</v>
      </c>
      <c r="W1061" s="14"/>
      <c r="X1061" s="14">
        <f>IF(V1061="Yes",1,0)</f>
        <v>0</v>
      </c>
      <c r="Y1061" s="14">
        <f>IF(H1061="Active",0,1)</f>
        <v>0</v>
      </c>
    </row>
    <row r="1062" spans="1:25" ht="18" customHeight="1" x14ac:dyDescent="0.35">
      <c r="A1062" s="14" t="s">
        <v>957</v>
      </c>
      <c r="B1062" s="14" t="s">
        <v>439</v>
      </c>
      <c r="C1062" s="14" t="s">
        <v>34</v>
      </c>
      <c r="D1062" s="15">
        <v>57</v>
      </c>
      <c r="E1062" s="14" t="s">
        <v>2304</v>
      </c>
      <c r="F1062" s="14" t="s">
        <v>72</v>
      </c>
      <c r="G1062" s="16">
        <v>45630</v>
      </c>
      <c r="H1062" s="14" t="s">
        <v>26</v>
      </c>
      <c r="I1062" s="14" t="s">
        <v>36</v>
      </c>
      <c r="J1062" s="14" t="s">
        <v>2269</v>
      </c>
      <c r="K1062" s="14" t="s">
        <v>37</v>
      </c>
      <c r="L1062" s="14" t="s">
        <v>38</v>
      </c>
      <c r="M1062" s="14" t="s">
        <v>64</v>
      </c>
      <c r="N1062" s="17">
        <v>208137</v>
      </c>
      <c r="O1062" s="17">
        <v>14009</v>
      </c>
      <c r="P1062" s="18">
        <v>98.4</v>
      </c>
      <c r="Q1062" s="15">
        <v>9</v>
      </c>
      <c r="R1062" s="19">
        <v>28</v>
      </c>
      <c r="S1062" s="19">
        <v>5</v>
      </c>
      <c r="T1062" s="15">
        <v>1</v>
      </c>
      <c r="U1062" s="19">
        <v>98</v>
      </c>
      <c r="V1062" s="14" t="s">
        <v>31</v>
      </c>
      <c r="W1062" s="14"/>
      <c r="X1062" s="14">
        <f>IF(V1062="Yes",1,0)</f>
        <v>0</v>
      </c>
      <c r="Y1062" s="14">
        <f>IF(H1062="Active",0,1)</f>
        <v>0</v>
      </c>
    </row>
    <row r="1063" spans="1:25" ht="18" customHeight="1" x14ac:dyDescent="0.35">
      <c r="A1063" s="14" t="s">
        <v>1336</v>
      </c>
      <c r="B1063" s="14" t="s">
        <v>295</v>
      </c>
      <c r="C1063" s="14" t="s">
        <v>34</v>
      </c>
      <c r="D1063" s="15">
        <v>38</v>
      </c>
      <c r="E1063" s="14" t="s">
        <v>52</v>
      </c>
      <c r="F1063" s="14" t="s">
        <v>12</v>
      </c>
      <c r="G1063" s="16">
        <v>45629</v>
      </c>
      <c r="H1063" s="14" t="s">
        <v>26</v>
      </c>
      <c r="I1063" s="14" t="s">
        <v>36</v>
      </c>
      <c r="J1063" s="14" t="s">
        <v>2268</v>
      </c>
      <c r="K1063" s="14" t="s">
        <v>28</v>
      </c>
      <c r="L1063" s="14" t="s">
        <v>49</v>
      </c>
      <c r="M1063" s="14" t="s">
        <v>39</v>
      </c>
      <c r="N1063" s="17">
        <v>50101</v>
      </c>
      <c r="O1063" s="17">
        <v>31887</v>
      </c>
      <c r="P1063" s="18">
        <v>84.3</v>
      </c>
      <c r="Q1063" s="15">
        <v>1</v>
      </c>
      <c r="R1063" s="19">
        <v>23</v>
      </c>
      <c r="S1063" s="19">
        <v>1</v>
      </c>
      <c r="T1063" s="15">
        <v>32</v>
      </c>
      <c r="U1063" s="19">
        <v>98</v>
      </c>
      <c r="V1063" s="14" t="s">
        <v>31</v>
      </c>
      <c r="W1063" s="14"/>
      <c r="X1063" s="14">
        <f>IF(V1063="Yes",1,0)</f>
        <v>0</v>
      </c>
      <c r="Y1063" s="14">
        <f>IF(H1063="Active",0,1)</f>
        <v>0</v>
      </c>
    </row>
    <row r="1064" spans="1:25" ht="18" customHeight="1" x14ac:dyDescent="0.35">
      <c r="A1064" s="8" t="s">
        <v>1883</v>
      </c>
      <c r="B1064" s="8" t="s">
        <v>155</v>
      </c>
      <c r="C1064" s="8" t="s">
        <v>34</v>
      </c>
      <c r="D1064" s="9">
        <v>29</v>
      </c>
      <c r="E1064" s="8" t="s">
        <v>2303</v>
      </c>
      <c r="F1064" s="8" t="s">
        <v>72</v>
      </c>
      <c r="G1064" s="10">
        <v>45629</v>
      </c>
      <c r="H1064" s="8" t="s">
        <v>26</v>
      </c>
      <c r="I1064" s="8" t="s">
        <v>36</v>
      </c>
      <c r="J1064" s="8" t="s">
        <v>2270</v>
      </c>
      <c r="K1064" s="8" t="s">
        <v>2271</v>
      </c>
      <c r="L1064" s="8" t="s">
        <v>56</v>
      </c>
      <c r="M1064" s="8" t="s">
        <v>64</v>
      </c>
      <c r="N1064" s="11">
        <v>205284</v>
      </c>
      <c r="O1064" s="11">
        <v>48835</v>
      </c>
      <c r="P1064" s="12">
        <v>88</v>
      </c>
      <c r="Q1064" s="9">
        <v>0</v>
      </c>
      <c r="R1064" s="13">
        <v>16</v>
      </c>
      <c r="S1064" s="13">
        <v>3</v>
      </c>
      <c r="T1064" s="9">
        <v>20</v>
      </c>
      <c r="U1064" s="13">
        <v>95</v>
      </c>
      <c r="V1064" s="8" t="s">
        <v>31</v>
      </c>
      <c r="W1064" s="8"/>
      <c r="X1064" s="22">
        <f>IF(V1064="Yes",1,0)</f>
        <v>0</v>
      </c>
      <c r="Y1064" s="22">
        <f>IF(H1064="Active",0,1)</f>
        <v>0</v>
      </c>
    </row>
    <row r="1065" spans="1:25" ht="18" customHeight="1" x14ac:dyDescent="0.35">
      <c r="A1065" s="14" t="s">
        <v>2152</v>
      </c>
      <c r="B1065" s="14" t="s">
        <v>256</v>
      </c>
      <c r="C1065" s="14" t="s">
        <v>34</v>
      </c>
      <c r="D1065" s="15">
        <v>59</v>
      </c>
      <c r="E1065" s="14" t="s">
        <v>2303</v>
      </c>
      <c r="F1065" s="14" t="s">
        <v>72</v>
      </c>
      <c r="G1065" s="16">
        <v>45628</v>
      </c>
      <c r="H1065" s="14" t="s">
        <v>26</v>
      </c>
      <c r="I1065" s="14" t="s">
        <v>2267</v>
      </c>
      <c r="J1065" s="14" t="s">
        <v>2270</v>
      </c>
      <c r="K1065" s="14" t="s">
        <v>37</v>
      </c>
      <c r="L1065" s="14" t="s">
        <v>44</v>
      </c>
      <c r="M1065" s="14" t="s">
        <v>45</v>
      </c>
      <c r="N1065" s="17">
        <v>166636</v>
      </c>
      <c r="O1065" s="17">
        <v>39103</v>
      </c>
      <c r="P1065" s="18">
        <v>80.400000000000006</v>
      </c>
      <c r="Q1065" s="15">
        <v>8</v>
      </c>
      <c r="R1065" s="19">
        <v>14</v>
      </c>
      <c r="S1065" s="19">
        <v>5</v>
      </c>
      <c r="T1065" s="15">
        <v>19</v>
      </c>
      <c r="U1065" s="19">
        <v>77</v>
      </c>
      <c r="V1065" s="14" t="s">
        <v>31</v>
      </c>
      <c r="W1065" s="14"/>
      <c r="X1065" s="14">
        <f>IF(V1065="Yes",1,0)</f>
        <v>0</v>
      </c>
      <c r="Y1065" s="14">
        <f>IF(H1065="Active",0,1)</f>
        <v>0</v>
      </c>
    </row>
    <row r="1066" spans="1:25" ht="18" customHeight="1" x14ac:dyDescent="0.35">
      <c r="A1066" s="14" t="s">
        <v>103</v>
      </c>
      <c r="B1066" s="14" t="s">
        <v>104</v>
      </c>
      <c r="C1066" s="14" t="s">
        <v>25</v>
      </c>
      <c r="D1066" s="15">
        <v>24</v>
      </c>
      <c r="E1066" s="14" t="s">
        <v>42</v>
      </c>
      <c r="F1066" s="14" t="s">
        <v>72</v>
      </c>
      <c r="G1066" s="16">
        <v>45627</v>
      </c>
      <c r="H1066" s="14" t="s">
        <v>26</v>
      </c>
      <c r="I1066" s="14" t="s">
        <v>2267</v>
      </c>
      <c r="J1066" s="14" t="s">
        <v>80</v>
      </c>
      <c r="K1066" s="14" t="s">
        <v>37</v>
      </c>
      <c r="L1066" s="14" t="s">
        <v>38</v>
      </c>
      <c r="M1066" s="14" t="s">
        <v>30</v>
      </c>
      <c r="N1066" s="17">
        <v>180764</v>
      </c>
      <c r="O1066" s="17">
        <v>35446</v>
      </c>
      <c r="P1066" s="18">
        <v>96.7</v>
      </c>
      <c r="Q1066" s="15">
        <v>2</v>
      </c>
      <c r="R1066" s="19">
        <v>2</v>
      </c>
      <c r="S1066" s="19">
        <v>2</v>
      </c>
      <c r="T1066" s="15">
        <v>39</v>
      </c>
      <c r="U1066" s="19">
        <v>78</v>
      </c>
      <c r="V1066" s="14" t="s">
        <v>31</v>
      </c>
      <c r="W1066" s="14"/>
      <c r="X1066" s="14">
        <f>IF(V1066="Yes",1,0)</f>
        <v>0</v>
      </c>
      <c r="Y1066" s="14">
        <f>IF(H1066="Active",0,1)</f>
        <v>0</v>
      </c>
    </row>
    <row r="1067" spans="1:25" ht="18" customHeight="1" x14ac:dyDescent="0.35">
      <c r="A1067" s="8" t="s">
        <v>914</v>
      </c>
      <c r="B1067" s="8" t="s">
        <v>300</v>
      </c>
      <c r="C1067" s="8" t="s">
        <v>34</v>
      </c>
      <c r="D1067" s="9">
        <v>55</v>
      </c>
      <c r="E1067" s="8" t="s">
        <v>2304</v>
      </c>
      <c r="F1067" s="8" t="s">
        <v>53</v>
      </c>
      <c r="G1067" s="10">
        <v>45627</v>
      </c>
      <c r="H1067" s="8" t="s">
        <v>26</v>
      </c>
      <c r="I1067" s="8" t="s">
        <v>2267</v>
      </c>
      <c r="J1067" s="8" t="s">
        <v>80</v>
      </c>
      <c r="K1067" s="8" t="s">
        <v>73</v>
      </c>
      <c r="L1067" s="8" t="s">
        <v>49</v>
      </c>
      <c r="M1067" s="8" t="s">
        <v>64</v>
      </c>
      <c r="N1067" s="11">
        <v>163994</v>
      </c>
      <c r="O1067" s="11">
        <v>23442</v>
      </c>
      <c r="P1067" s="12">
        <v>98.6</v>
      </c>
      <c r="Q1067" s="9">
        <v>0</v>
      </c>
      <c r="R1067" s="13">
        <v>3</v>
      </c>
      <c r="S1067" s="13">
        <v>4</v>
      </c>
      <c r="T1067" s="9">
        <v>21</v>
      </c>
      <c r="U1067" s="13">
        <v>68</v>
      </c>
      <c r="V1067" s="8" t="s">
        <v>69</v>
      </c>
      <c r="W1067" s="8"/>
      <c r="X1067" s="22">
        <f>IF(V1067="Yes",1,0)</f>
        <v>1</v>
      </c>
      <c r="Y1067" s="22">
        <f>IF(H1067="Active",0,1)</f>
        <v>0</v>
      </c>
    </row>
    <row r="1068" spans="1:25" ht="18" customHeight="1" x14ac:dyDescent="0.35">
      <c r="A1068" s="8" t="s">
        <v>1643</v>
      </c>
      <c r="B1068" s="8" t="s">
        <v>100</v>
      </c>
      <c r="C1068" s="8" t="s">
        <v>34</v>
      </c>
      <c r="D1068" s="9">
        <v>55</v>
      </c>
      <c r="E1068" s="8" t="s">
        <v>42</v>
      </c>
      <c r="F1068" s="8" t="s">
        <v>43</v>
      </c>
      <c r="G1068" s="10">
        <v>45627</v>
      </c>
      <c r="H1068" s="8" t="s">
        <v>26</v>
      </c>
      <c r="I1068" s="8" t="s">
        <v>27</v>
      </c>
      <c r="J1068" s="8" t="s">
        <v>2269</v>
      </c>
      <c r="K1068" s="8" t="s">
        <v>55</v>
      </c>
      <c r="L1068" s="8" t="s">
        <v>44</v>
      </c>
      <c r="M1068" s="8" t="s">
        <v>45</v>
      </c>
      <c r="N1068" s="11">
        <v>181593</v>
      </c>
      <c r="O1068" s="11">
        <v>31491</v>
      </c>
      <c r="P1068" s="12">
        <v>93.8</v>
      </c>
      <c r="Q1068" s="9">
        <v>2</v>
      </c>
      <c r="R1068" s="13">
        <v>22</v>
      </c>
      <c r="S1068" s="13">
        <v>3</v>
      </c>
      <c r="T1068" s="9">
        <v>14</v>
      </c>
      <c r="U1068" s="13">
        <v>99</v>
      </c>
      <c r="V1068" s="8" t="s">
        <v>31</v>
      </c>
      <c r="W1068" s="8"/>
      <c r="X1068" s="22">
        <f>IF(V1068="Yes",1,0)</f>
        <v>0</v>
      </c>
      <c r="Y1068" s="22">
        <f>IF(H1068="Active",0,1)</f>
        <v>0</v>
      </c>
    </row>
    <row r="1069" spans="1:25" ht="18" customHeight="1" x14ac:dyDescent="0.35">
      <c r="A1069" s="14" t="s">
        <v>468</v>
      </c>
      <c r="B1069" s="14" t="s">
        <v>263</v>
      </c>
      <c r="C1069" s="14" t="s">
        <v>34</v>
      </c>
      <c r="D1069" s="15">
        <v>52</v>
      </c>
      <c r="E1069" s="14" t="s">
        <v>63</v>
      </c>
      <c r="F1069" s="14" t="s">
        <v>90</v>
      </c>
      <c r="G1069" s="16">
        <v>45625</v>
      </c>
      <c r="H1069" s="14" t="s">
        <v>26</v>
      </c>
      <c r="I1069" s="14" t="s">
        <v>36</v>
      </c>
      <c r="J1069" s="14" t="s">
        <v>2268</v>
      </c>
      <c r="K1069" s="14" t="s">
        <v>73</v>
      </c>
      <c r="L1069" s="14" t="s">
        <v>29</v>
      </c>
      <c r="M1069" s="14" t="s">
        <v>39</v>
      </c>
      <c r="N1069" s="17">
        <v>195160</v>
      </c>
      <c r="O1069" s="17">
        <v>29711</v>
      </c>
      <c r="P1069" s="18">
        <v>89.3</v>
      </c>
      <c r="Q1069" s="15">
        <v>10</v>
      </c>
      <c r="R1069" s="19">
        <v>16</v>
      </c>
      <c r="S1069" s="19">
        <v>3</v>
      </c>
      <c r="T1069" s="15">
        <v>28</v>
      </c>
      <c r="U1069" s="19">
        <v>73</v>
      </c>
      <c r="V1069" s="14" t="s">
        <v>31</v>
      </c>
      <c r="W1069" s="14"/>
      <c r="X1069" s="14">
        <f>IF(V1069="Yes",1,0)</f>
        <v>0</v>
      </c>
      <c r="Y1069" s="14">
        <f>IF(H1069="Active",0,1)</f>
        <v>0</v>
      </c>
    </row>
    <row r="1070" spans="1:25" ht="18" customHeight="1" x14ac:dyDescent="0.35">
      <c r="A1070" s="8" t="s">
        <v>987</v>
      </c>
      <c r="B1070" s="8" t="s">
        <v>118</v>
      </c>
      <c r="C1070" s="8" t="s">
        <v>25</v>
      </c>
      <c r="D1070" s="9">
        <v>37</v>
      </c>
      <c r="E1070" s="8" t="s">
        <v>86</v>
      </c>
      <c r="F1070" s="8" t="s">
        <v>43</v>
      </c>
      <c r="G1070" s="10">
        <v>45625</v>
      </c>
      <c r="H1070" s="8" t="s">
        <v>26</v>
      </c>
      <c r="I1070" s="8" t="s">
        <v>27</v>
      </c>
      <c r="J1070" s="8" t="s">
        <v>2268</v>
      </c>
      <c r="K1070" s="8" t="s">
        <v>37</v>
      </c>
      <c r="L1070" s="8" t="s">
        <v>56</v>
      </c>
      <c r="M1070" s="8" t="s">
        <v>45</v>
      </c>
      <c r="N1070" s="11">
        <v>119259</v>
      </c>
      <c r="O1070" s="11">
        <v>30702</v>
      </c>
      <c r="P1070" s="12">
        <v>81.8</v>
      </c>
      <c r="Q1070" s="9">
        <v>1</v>
      </c>
      <c r="R1070" s="13">
        <v>13</v>
      </c>
      <c r="S1070" s="13">
        <v>4</v>
      </c>
      <c r="T1070" s="9">
        <v>17</v>
      </c>
      <c r="U1070" s="13">
        <v>88</v>
      </c>
      <c r="V1070" s="8" t="s">
        <v>31</v>
      </c>
      <c r="W1070" s="8"/>
      <c r="X1070" s="22">
        <f>IF(V1070="Yes",1,0)</f>
        <v>0</v>
      </c>
      <c r="Y1070" s="22">
        <f>IF(H1070="Active",0,1)</f>
        <v>0</v>
      </c>
    </row>
    <row r="1071" spans="1:25" ht="18" customHeight="1" x14ac:dyDescent="0.35">
      <c r="A1071" s="14" t="s">
        <v>1169</v>
      </c>
      <c r="B1071" s="14" t="s">
        <v>837</v>
      </c>
      <c r="C1071" s="14" t="s">
        <v>25</v>
      </c>
      <c r="D1071" s="15">
        <v>24</v>
      </c>
      <c r="E1071" s="14" t="s">
        <v>52</v>
      </c>
      <c r="F1071" s="14" t="s">
        <v>53</v>
      </c>
      <c r="G1071" s="16">
        <v>45625</v>
      </c>
      <c r="H1071" s="14" t="s">
        <v>26</v>
      </c>
      <c r="I1071" s="14" t="s">
        <v>36</v>
      </c>
      <c r="J1071" s="14" t="s">
        <v>2269</v>
      </c>
      <c r="K1071" s="14" t="s">
        <v>55</v>
      </c>
      <c r="L1071" s="14" t="s">
        <v>56</v>
      </c>
      <c r="M1071" s="14" t="s">
        <v>45</v>
      </c>
      <c r="N1071" s="17">
        <v>43808</v>
      </c>
      <c r="O1071" s="17">
        <v>43047</v>
      </c>
      <c r="P1071" s="18">
        <v>92.7</v>
      </c>
      <c r="Q1071" s="15">
        <v>3</v>
      </c>
      <c r="R1071" s="19">
        <v>15</v>
      </c>
      <c r="S1071" s="19">
        <v>2</v>
      </c>
      <c r="T1071" s="15">
        <v>23</v>
      </c>
      <c r="U1071" s="19">
        <v>100</v>
      </c>
      <c r="V1071" s="14" t="s">
        <v>69</v>
      </c>
      <c r="W1071" s="14"/>
      <c r="X1071" s="14">
        <f>IF(V1071="Yes",1,0)</f>
        <v>1</v>
      </c>
      <c r="Y1071" s="14">
        <f>IF(H1071="Active",0,1)</f>
        <v>0</v>
      </c>
    </row>
    <row r="1072" spans="1:25" ht="18" customHeight="1" x14ac:dyDescent="0.35">
      <c r="A1072" s="8" t="s">
        <v>1261</v>
      </c>
      <c r="B1072" s="8" t="s">
        <v>82</v>
      </c>
      <c r="C1072" s="8" t="s">
        <v>25</v>
      </c>
      <c r="D1072" s="9">
        <v>52</v>
      </c>
      <c r="E1072" s="8" t="s">
        <v>93</v>
      </c>
      <c r="F1072" s="8" t="s">
        <v>79</v>
      </c>
      <c r="G1072" s="10">
        <v>45625</v>
      </c>
      <c r="H1072" s="8" t="s">
        <v>26</v>
      </c>
      <c r="I1072" s="8" t="s">
        <v>27</v>
      </c>
      <c r="J1072" s="8" t="s">
        <v>80</v>
      </c>
      <c r="K1072" s="8" t="s">
        <v>2271</v>
      </c>
      <c r="L1072" s="8" t="s">
        <v>49</v>
      </c>
      <c r="M1072" s="8" t="s">
        <v>45</v>
      </c>
      <c r="N1072" s="11">
        <v>126196</v>
      </c>
      <c r="O1072" s="11">
        <v>21685</v>
      </c>
      <c r="P1072" s="12">
        <v>88.9</v>
      </c>
      <c r="Q1072" s="9">
        <v>1</v>
      </c>
      <c r="R1072" s="13">
        <v>22</v>
      </c>
      <c r="S1072" s="13">
        <v>5</v>
      </c>
      <c r="T1072" s="9">
        <v>9</v>
      </c>
      <c r="U1072" s="13">
        <v>82</v>
      </c>
      <c r="V1072" s="8" t="s">
        <v>31</v>
      </c>
      <c r="W1072" s="8"/>
      <c r="X1072" s="22">
        <f>IF(V1072="Yes",1,0)</f>
        <v>0</v>
      </c>
      <c r="Y1072" s="22">
        <f>IF(H1072="Active",0,1)</f>
        <v>0</v>
      </c>
    </row>
    <row r="1073" spans="1:25" ht="18" customHeight="1" x14ac:dyDescent="0.35">
      <c r="A1073" s="8" t="s">
        <v>1551</v>
      </c>
      <c r="B1073" s="8" t="s">
        <v>181</v>
      </c>
      <c r="C1073" s="8" t="s">
        <v>25</v>
      </c>
      <c r="D1073" s="9">
        <v>43</v>
      </c>
      <c r="E1073" s="8" t="s">
        <v>109</v>
      </c>
      <c r="F1073" s="8" t="s">
        <v>90</v>
      </c>
      <c r="G1073" s="10">
        <v>45625</v>
      </c>
      <c r="H1073" s="8" t="s">
        <v>26</v>
      </c>
      <c r="I1073" s="8" t="s">
        <v>27</v>
      </c>
      <c r="J1073" s="8" t="s">
        <v>2268</v>
      </c>
      <c r="K1073" s="8" t="s">
        <v>73</v>
      </c>
      <c r="L1073" s="8" t="s">
        <v>29</v>
      </c>
      <c r="M1073" s="8" t="s">
        <v>60</v>
      </c>
      <c r="N1073" s="11">
        <v>114944</v>
      </c>
      <c r="O1073" s="11">
        <v>45949</v>
      </c>
      <c r="P1073" s="12">
        <v>93.9</v>
      </c>
      <c r="Q1073" s="9">
        <v>8</v>
      </c>
      <c r="R1073" s="13">
        <v>20</v>
      </c>
      <c r="S1073" s="13">
        <v>1</v>
      </c>
      <c r="T1073" s="9">
        <v>35</v>
      </c>
      <c r="U1073" s="13">
        <v>76</v>
      </c>
      <c r="V1073" s="8" t="s">
        <v>31</v>
      </c>
      <c r="W1073" s="8"/>
      <c r="X1073" s="22">
        <f>IF(V1073="Yes",1,0)</f>
        <v>0</v>
      </c>
      <c r="Y1073" s="22">
        <f>IF(H1073="Active",0,1)</f>
        <v>0</v>
      </c>
    </row>
    <row r="1074" spans="1:25" ht="18" customHeight="1" x14ac:dyDescent="0.35">
      <c r="A1074" s="14" t="s">
        <v>1712</v>
      </c>
      <c r="B1074" s="14" t="s">
        <v>333</v>
      </c>
      <c r="C1074" s="14" t="s">
        <v>25</v>
      </c>
      <c r="D1074" s="15">
        <v>48</v>
      </c>
      <c r="E1074" s="14" t="s">
        <v>93</v>
      </c>
      <c r="F1074" s="14" t="s">
        <v>35</v>
      </c>
      <c r="G1074" s="16">
        <v>45625</v>
      </c>
      <c r="H1074" s="14" t="s">
        <v>26</v>
      </c>
      <c r="I1074" s="14" t="s">
        <v>2267</v>
      </c>
      <c r="J1074" s="14" t="s">
        <v>80</v>
      </c>
      <c r="K1074" s="14" t="s">
        <v>28</v>
      </c>
      <c r="L1074" s="14" t="s">
        <v>68</v>
      </c>
      <c r="M1074" s="14" t="s">
        <v>60</v>
      </c>
      <c r="N1074" s="17">
        <v>96584</v>
      </c>
      <c r="O1074" s="17">
        <v>39560</v>
      </c>
      <c r="P1074" s="18">
        <v>99.7</v>
      </c>
      <c r="Q1074" s="15">
        <v>3</v>
      </c>
      <c r="R1074" s="19">
        <v>2</v>
      </c>
      <c r="S1074" s="19">
        <v>1</v>
      </c>
      <c r="T1074" s="15">
        <v>36</v>
      </c>
      <c r="U1074" s="19">
        <v>74</v>
      </c>
      <c r="V1074" s="14" t="s">
        <v>69</v>
      </c>
      <c r="W1074" s="14"/>
      <c r="X1074" s="14">
        <f>IF(V1074="Yes",1,0)</f>
        <v>1</v>
      </c>
      <c r="Y1074" s="14">
        <f>IF(H1074="Active",0,1)</f>
        <v>0</v>
      </c>
    </row>
    <row r="1075" spans="1:25" ht="18" customHeight="1" x14ac:dyDescent="0.35">
      <c r="A1075" s="8" t="s">
        <v>1232</v>
      </c>
      <c r="B1075" s="8" t="s">
        <v>461</v>
      </c>
      <c r="C1075" s="8" t="s">
        <v>25</v>
      </c>
      <c r="D1075" s="9">
        <v>41</v>
      </c>
      <c r="E1075" s="8" t="s">
        <v>2303</v>
      </c>
      <c r="F1075" s="8" t="s">
        <v>72</v>
      </c>
      <c r="G1075" s="10">
        <v>45624</v>
      </c>
      <c r="H1075" s="8" t="s">
        <v>26</v>
      </c>
      <c r="I1075" s="8" t="s">
        <v>36</v>
      </c>
      <c r="J1075" s="8" t="s">
        <v>2270</v>
      </c>
      <c r="K1075" s="8" t="s">
        <v>55</v>
      </c>
      <c r="L1075" s="8" t="s">
        <v>38</v>
      </c>
      <c r="M1075" s="8" t="s">
        <v>30</v>
      </c>
      <c r="N1075" s="11">
        <v>125564</v>
      </c>
      <c r="O1075" s="11">
        <v>19958</v>
      </c>
      <c r="P1075" s="12">
        <v>90.5</v>
      </c>
      <c r="Q1075" s="9">
        <v>3</v>
      </c>
      <c r="R1075" s="13">
        <v>23</v>
      </c>
      <c r="S1075" s="13">
        <v>5</v>
      </c>
      <c r="T1075" s="9">
        <v>35</v>
      </c>
      <c r="U1075" s="13">
        <v>86</v>
      </c>
      <c r="V1075" s="8" t="s">
        <v>69</v>
      </c>
      <c r="W1075" s="8"/>
      <c r="X1075" s="22">
        <f>IF(V1075="Yes",1,0)</f>
        <v>1</v>
      </c>
      <c r="Y1075" s="22">
        <f>IF(H1075="Active",0,1)</f>
        <v>0</v>
      </c>
    </row>
    <row r="1076" spans="1:25" ht="18" customHeight="1" x14ac:dyDescent="0.35">
      <c r="A1076" s="14" t="s">
        <v>1464</v>
      </c>
      <c r="B1076" s="14" t="s">
        <v>210</v>
      </c>
      <c r="C1076" s="14" t="s">
        <v>25</v>
      </c>
      <c r="D1076" s="15">
        <v>37</v>
      </c>
      <c r="E1076" s="14" t="s">
        <v>42</v>
      </c>
      <c r="F1076" s="14" t="s">
        <v>35</v>
      </c>
      <c r="G1076" s="16">
        <v>45624</v>
      </c>
      <c r="H1076" s="14" t="s">
        <v>26</v>
      </c>
      <c r="I1076" s="14" t="s">
        <v>27</v>
      </c>
      <c r="J1076" s="14" t="s">
        <v>48</v>
      </c>
      <c r="K1076" s="14" t="s">
        <v>73</v>
      </c>
      <c r="L1076" s="14" t="s">
        <v>29</v>
      </c>
      <c r="M1076" s="14" t="s">
        <v>39</v>
      </c>
      <c r="N1076" s="17">
        <v>159693</v>
      </c>
      <c r="O1076" s="17">
        <v>19447</v>
      </c>
      <c r="P1076" s="18">
        <v>93.1</v>
      </c>
      <c r="Q1076" s="15">
        <v>0</v>
      </c>
      <c r="R1076" s="19">
        <v>0</v>
      </c>
      <c r="S1076" s="19">
        <v>4</v>
      </c>
      <c r="T1076" s="15">
        <v>26</v>
      </c>
      <c r="U1076" s="19">
        <v>93</v>
      </c>
      <c r="V1076" s="14" t="s">
        <v>31</v>
      </c>
      <c r="W1076" s="14"/>
      <c r="X1076" s="14">
        <f>IF(V1076="Yes",1,0)</f>
        <v>0</v>
      </c>
      <c r="Y1076" s="14">
        <f>IF(H1076="Active",0,1)</f>
        <v>0</v>
      </c>
    </row>
    <row r="1077" spans="1:25" ht="18" customHeight="1" x14ac:dyDescent="0.35">
      <c r="A1077" s="14" t="s">
        <v>1392</v>
      </c>
      <c r="B1077" s="14" t="s">
        <v>329</v>
      </c>
      <c r="C1077" s="14" t="s">
        <v>34</v>
      </c>
      <c r="D1077" s="15">
        <v>24</v>
      </c>
      <c r="E1077" s="14" t="s">
        <v>2303</v>
      </c>
      <c r="F1077" s="14" t="s">
        <v>76</v>
      </c>
      <c r="G1077" s="16">
        <v>45623</v>
      </c>
      <c r="H1077" s="14" t="s">
        <v>26</v>
      </c>
      <c r="I1077" s="14" t="s">
        <v>2267</v>
      </c>
      <c r="J1077" s="14" t="s">
        <v>48</v>
      </c>
      <c r="K1077" s="14" t="s">
        <v>2271</v>
      </c>
      <c r="L1077" s="14" t="s">
        <v>29</v>
      </c>
      <c r="M1077" s="14" t="s">
        <v>30</v>
      </c>
      <c r="N1077" s="17">
        <v>108075</v>
      </c>
      <c r="O1077" s="17">
        <v>32896</v>
      </c>
      <c r="P1077" s="18">
        <v>99.7</v>
      </c>
      <c r="Q1077" s="15">
        <v>4</v>
      </c>
      <c r="R1077" s="19">
        <v>4</v>
      </c>
      <c r="S1077" s="19">
        <v>5</v>
      </c>
      <c r="T1077" s="15">
        <v>20</v>
      </c>
      <c r="U1077" s="19">
        <v>73</v>
      </c>
      <c r="V1077" s="14" t="s">
        <v>69</v>
      </c>
      <c r="W1077" s="14"/>
      <c r="X1077" s="14">
        <f>IF(V1077="Yes",1,0)</f>
        <v>1</v>
      </c>
      <c r="Y1077" s="14">
        <f>IF(H1077="Active",0,1)</f>
        <v>0</v>
      </c>
    </row>
    <row r="1078" spans="1:25" ht="18" customHeight="1" x14ac:dyDescent="0.35">
      <c r="A1078" s="8" t="s">
        <v>1423</v>
      </c>
      <c r="B1078" s="8" t="s">
        <v>149</v>
      </c>
      <c r="C1078" s="8" t="s">
        <v>34</v>
      </c>
      <c r="D1078" s="9">
        <v>55</v>
      </c>
      <c r="E1078" s="8" t="s">
        <v>109</v>
      </c>
      <c r="F1078" s="8" t="s">
        <v>12</v>
      </c>
      <c r="G1078" s="10">
        <v>45623</v>
      </c>
      <c r="H1078" s="8" t="s">
        <v>26</v>
      </c>
      <c r="I1078" s="8" t="s">
        <v>27</v>
      </c>
      <c r="J1078" s="8" t="s">
        <v>2268</v>
      </c>
      <c r="K1078" s="8" t="s">
        <v>73</v>
      </c>
      <c r="L1078" s="8" t="s">
        <v>29</v>
      </c>
      <c r="M1078" s="8" t="s">
        <v>30</v>
      </c>
      <c r="N1078" s="11">
        <v>143517</v>
      </c>
      <c r="O1078" s="11">
        <v>49070</v>
      </c>
      <c r="P1078" s="12">
        <v>94.8</v>
      </c>
      <c r="Q1078" s="9">
        <v>9</v>
      </c>
      <c r="R1078" s="13">
        <v>5</v>
      </c>
      <c r="S1078" s="13">
        <v>4</v>
      </c>
      <c r="T1078" s="9">
        <v>13</v>
      </c>
      <c r="U1078" s="13">
        <v>63</v>
      </c>
      <c r="V1078" s="8" t="s">
        <v>31</v>
      </c>
      <c r="W1078" s="8"/>
      <c r="X1078" s="22">
        <f>IF(V1078="Yes",1,0)</f>
        <v>0</v>
      </c>
      <c r="Y1078" s="22">
        <f>IF(H1078="Active",0,1)</f>
        <v>0</v>
      </c>
    </row>
    <row r="1079" spans="1:25" ht="18" customHeight="1" x14ac:dyDescent="0.35">
      <c r="A1079" s="14" t="s">
        <v>1544</v>
      </c>
      <c r="B1079" s="14" t="s">
        <v>742</v>
      </c>
      <c r="C1079" s="14" t="s">
        <v>25</v>
      </c>
      <c r="D1079" s="15">
        <v>21</v>
      </c>
      <c r="E1079" s="14" t="s">
        <v>52</v>
      </c>
      <c r="F1079" s="14" t="s">
        <v>76</v>
      </c>
      <c r="G1079" s="16">
        <v>45623</v>
      </c>
      <c r="H1079" s="14" t="s">
        <v>26</v>
      </c>
      <c r="I1079" s="14" t="s">
        <v>27</v>
      </c>
      <c r="J1079" s="14" t="s">
        <v>2268</v>
      </c>
      <c r="K1079" s="14" t="s">
        <v>37</v>
      </c>
      <c r="L1079" s="14" t="s">
        <v>56</v>
      </c>
      <c r="M1079" s="14" t="s">
        <v>45</v>
      </c>
      <c r="N1079" s="17">
        <v>46172</v>
      </c>
      <c r="O1079" s="17">
        <v>10421</v>
      </c>
      <c r="P1079" s="18">
        <v>92</v>
      </c>
      <c r="Q1079" s="15">
        <v>6</v>
      </c>
      <c r="R1079" s="19">
        <v>18</v>
      </c>
      <c r="S1079" s="19">
        <v>1</v>
      </c>
      <c r="T1079" s="15">
        <v>22</v>
      </c>
      <c r="U1079" s="19">
        <v>88</v>
      </c>
      <c r="V1079" s="14" t="s">
        <v>31</v>
      </c>
      <c r="W1079" s="14"/>
      <c r="X1079" s="14">
        <f>IF(V1079="Yes",1,0)</f>
        <v>0</v>
      </c>
      <c r="Y1079" s="14">
        <f>IF(H1079="Active",0,1)</f>
        <v>0</v>
      </c>
    </row>
    <row r="1080" spans="1:25" ht="18" customHeight="1" x14ac:dyDescent="0.35">
      <c r="A1080" s="14" t="s">
        <v>319</v>
      </c>
      <c r="B1080" s="14" t="s">
        <v>144</v>
      </c>
      <c r="C1080" s="14" t="s">
        <v>34</v>
      </c>
      <c r="D1080" s="15">
        <v>60</v>
      </c>
      <c r="E1080" s="14" t="s">
        <v>109</v>
      </c>
      <c r="F1080" s="14" t="s">
        <v>35</v>
      </c>
      <c r="G1080" s="16">
        <v>45622</v>
      </c>
      <c r="H1080" s="14" t="s">
        <v>26</v>
      </c>
      <c r="I1080" s="14" t="s">
        <v>36</v>
      </c>
      <c r="J1080" s="14" t="s">
        <v>2270</v>
      </c>
      <c r="K1080" s="14" t="s">
        <v>37</v>
      </c>
      <c r="L1080" s="14" t="s">
        <v>44</v>
      </c>
      <c r="M1080" s="14" t="s">
        <v>60</v>
      </c>
      <c r="N1080" s="17">
        <v>189350</v>
      </c>
      <c r="O1080" s="17">
        <v>32883</v>
      </c>
      <c r="P1080" s="18">
        <v>91.2</v>
      </c>
      <c r="Q1080" s="15">
        <v>1</v>
      </c>
      <c r="R1080" s="19">
        <v>20</v>
      </c>
      <c r="S1080" s="19">
        <v>5</v>
      </c>
      <c r="T1080" s="15">
        <v>12</v>
      </c>
      <c r="U1080" s="19">
        <v>66</v>
      </c>
      <c r="V1080" s="14" t="s">
        <v>69</v>
      </c>
      <c r="W1080" s="14"/>
      <c r="X1080" s="14">
        <f>IF(V1080="Yes",1,0)</f>
        <v>1</v>
      </c>
      <c r="Y1080" s="14">
        <f>IF(H1080="Active",0,1)</f>
        <v>0</v>
      </c>
    </row>
    <row r="1081" spans="1:25" ht="18" customHeight="1" x14ac:dyDescent="0.35">
      <c r="A1081" s="14" t="s">
        <v>650</v>
      </c>
      <c r="B1081" s="14" t="s">
        <v>71</v>
      </c>
      <c r="C1081" s="14" t="s">
        <v>25</v>
      </c>
      <c r="D1081" s="15">
        <v>38</v>
      </c>
      <c r="E1081" s="14" t="s">
        <v>63</v>
      </c>
      <c r="F1081" s="14" t="s">
        <v>43</v>
      </c>
      <c r="G1081" s="16">
        <v>45622</v>
      </c>
      <c r="H1081" s="14" t="s">
        <v>26</v>
      </c>
      <c r="I1081" s="14" t="s">
        <v>2267</v>
      </c>
      <c r="J1081" s="14" t="s">
        <v>2269</v>
      </c>
      <c r="K1081" s="14" t="s">
        <v>2271</v>
      </c>
      <c r="L1081" s="14" t="s">
        <v>87</v>
      </c>
      <c r="M1081" s="14" t="s">
        <v>30</v>
      </c>
      <c r="N1081" s="17">
        <v>120481</v>
      </c>
      <c r="O1081" s="17">
        <v>6145</v>
      </c>
      <c r="P1081" s="18">
        <v>95.8</v>
      </c>
      <c r="Q1081" s="15">
        <v>7</v>
      </c>
      <c r="R1081" s="19">
        <v>29</v>
      </c>
      <c r="S1081" s="19">
        <v>2</v>
      </c>
      <c r="T1081" s="15">
        <v>30</v>
      </c>
      <c r="U1081" s="19">
        <v>95</v>
      </c>
      <c r="V1081" s="14" t="s">
        <v>31</v>
      </c>
      <c r="W1081" s="14"/>
      <c r="X1081" s="14">
        <f>IF(V1081="Yes",1,0)</f>
        <v>0</v>
      </c>
      <c r="Y1081" s="14">
        <f>IF(H1081="Active",0,1)</f>
        <v>0</v>
      </c>
    </row>
    <row r="1082" spans="1:25" ht="18" customHeight="1" x14ac:dyDescent="0.35">
      <c r="A1082" s="14" t="s">
        <v>1102</v>
      </c>
      <c r="B1082" s="14" t="s">
        <v>85</v>
      </c>
      <c r="C1082" s="14" t="s">
        <v>34</v>
      </c>
      <c r="D1082" s="15">
        <v>55</v>
      </c>
      <c r="E1082" s="14" t="s">
        <v>93</v>
      </c>
      <c r="F1082" s="14" t="s">
        <v>90</v>
      </c>
      <c r="G1082" s="16">
        <v>45622</v>
      </c>
      <c r="H1082" s="14" t="s">
        <v>26</v>
      </c>
      <c r="I1082" s="14" t="s">
        <v>27</v>
      </c>
      <c r="J1082" s="14" t="s">
        <v>2268</v>
      </c>
      <c r="K1082" s="14" t="s">
        <v>55</v>
      </c>
      <c r="L1082" s="14" t="s">
        <v>38</v>
      </c>
      <c r="M1082" s="14" t="s">
        <v>39</v>
      </c>
      <c r="N1082" s="17">
        <v>154273</v>
      </c>
      <c r="O1082" s="17">
        <v>42365</v>
      </c>
      <c r="P1082" s="18">
        <v>83.4</v>
      </c>
      <c r="Q1082" s="15">
        <v>4</v>
      </c>
      <c r="R1082" s="19">
        <v>0</v>
      </c>
      <c r="S1082" s="19">
        <v>2</v>
      </c>
      <c r="T1082" s="15">
        <v>27</v>
      </c>
      <c r="U1082" s="19">
        <v>99</v>
      </c>
      <c r="V1082" s="14" t="s">
        <v>31</v>
      </c>
      <c r="W1082" s="14"/>
      <c r="X1082" s="14">
        <f>IF(V1082="Yes",1,0)</f>
        <v>0</v>
      </c>
      <c r="Y1082" s="14">
        <f>IF(H1082="Active",0,1)</f>
        <v>0</v>
      </c>
    </row>
    <row r="1083" spans="1:25" ht="18" customHeight="1" x14ac:dyDescent="0.35">
      <c r="A1083" s="14" t="s">
        <v>1912</v>
      </c>
      <c r="B1083" s="14" t="s">
        <v>974</v>
      </c>
      <c r="C1083" s="14" t="s">
        <v>34</v>
      </c>
      <c r="D1083" s="15">
        <v>25</v>
      </c>
      <c r="E1083" s="14" t="s">
        <v>2304</v>
      </c>
      <c r="F1083" s="14" t="s">
        <v>76</v>
      </c>
      <c r="G1083" s="16">
        <v>45622</v>
      </c>
      <c r="H1083" s="14" t="s">
        <v>26</v>
      </c>
      <c r="I1083" s="14" t="s">
        <v>27</v>
      </c>
      <c r="J1083" s="14" t="s">
        <v>2270</v>
      </c>
      <c r="K1083" s="14" t="s">
        <v>73</v>
      </c>
      <c r="L1083" s="14" t="s">
        <v>68</v>
      </c>
      <c r="M1083" s="14" t="s">
        <v>60</v>
      </c>
      <c r="N1083" s="17">
        <v>175847</v>
      </c>
      <c r="O1083" s="17">
        <v>16334</v>
      </c>
      <c r="P1083" s="18">
        <v>93.8</v>
      </c>
      <c r="Q1083" s="15">
        <v>9</v>
      </c>
      <c r="R1083" s="19">
        <v>13</v>
      </c>
      <c r="S1083" s="19">
        <v>2</v>
      </c>
      <c r="T1083" s="15">
        <v>27</v>
      </c>
      <c r="U1083" s="19">
        <v>85</v>
      </c>
      <c r="V1083" s="14" t="s">
        <v>69</v>
      </c>
      <c r="W1083" s="14"/>
      <c r="X1083" s="14">
        <f>IF(V1083="Yes",1,0)</f>
        <v>1</v>
      </c>
      <c r="Y1083" s="14">
        <f>IF(H1083="Active",0,1)</f>
        <v>0</v>
      </c>
    </row>
    <row r="1084" spans="1:25" ht="18" customHeight="1" x14ac:dyDescent="0.35">
      <c r="A1084" s="14" t="s">
        <v>2028</v>
      </c>
      <c r="B1084" s="14" t="s">
        <v>140</v>
      </c>
      <c r="C1084" s="14" t="s">
        <v>34</v>
      </c>
      <c r="D1084" s="15">
        <v>22</v>
      </c>
      <c r="E1084" s="14" t="s">
        <v>86</v>
      </c>
      <c r="F1084" s="14" t="s">
        <v>35</v>
      </c>
      <c r="G1084" s="16">
        <v>45622</v>
      </c>
      <c r="H1084" s="14" t="s">
        <v>26</v>
      </c>
      <c r="I1084" s="14" t="s">
        <v>27</v>
      </c>
      <c r="J1084" s="14" t="s">
        <v>2269</v>
      </c>
      <c r="K1084" s="14" t="s">
        <v>73</v>
      </c>
      <c r="L1084" s="14" t="s">
        <v>38</v>
      </c>
      <c r="M1084" s="14" t="s">
        <v>60</v>
      </c>
      <c r="N1084" s="17">
        <v>70029</v>
      </c>
      <c r="O1084" s="17">
        <v>12229</v>
      </c>
      <c r="P1084" s="18">
        <v>98.5</v>
      </c>
      <c r="Q1084" s="15">
        <v>2</v>
      </c>
      <c r="R1084" s="19">
        <v>16</v>
      </c>
      <c r="S1084" s="19">
        <v>2</v>
      </c>
      <c r="T1084" s="15">
        <v>31</v>
      </c>
      <c r="U1084" s="19">
        <v>99</v>
      </c>
      <c r="V1084" s="14" t="s">
        <v>31</v>
      </c>
      <c r="W1084" s="14"/>
      <c r="X1084" s="14">
        <f>IF(V1084="Yes",1,0)</f>
        <v>0</v>
      </c>
      <c r="Y1084" s="14">
        <f>IF(H1084="Active",0,1)</f>
        <v>0</v>
      </c>
    </row>
    <row r="1085" spans="1:25" ht="18" customHeight="1" x14ac:dyDescent="0.35">
      <c r="A1085" s="14" t="s">
        <v>1992</v>
      </c>
      <c r="B1085" s="14" t="s">
        <v>300</v>
      </c>
      <c r="C1085" s="14" t="s">
        <v>25</v>
      </c>
      <c r="D1085" s="15">
        <v>23</v>
      </c>
      <c r="E1085" s="14" t="s">
        <v>52</v>
      </c>
      <c r="F1085" s="14" t="s">
        <v>72</v>
      </c>
      <c r="G1085" s="16">
        <v>45621</v>
      </c>
      <c r="H1085" s="14" t="s">
        <v>54</v>
      </c>
      <c r="I1085" s="14" t="s">
        <v>2267</v>
      </c>
      <c r="J1085" s="14" t="s">
        <v>2269</v>
      </c>
      <c r="K1085" s="14" t="s">
        <v>73</v>
      </c>
      <c r="L1085" s="14" t="s">
        <v>29</v>
      </c>
      <c r="M1085" s="14" t="s">
        <v>39</v>
      </c>
      <c r="N1085" s="17">
        <v>114971</v>
      </c>
      <c r="O1085" s="17">
        <v>10912</v>
      </c>
      <c r="P1085" s="18">
        <v>97.2</v>
      </c>
      <c r="Q1085" s="15">
        <v>9</v>
      </c>
      <c r="R1085" s="19">
        <v>25</v>
      </c>
      <c r="S1085" s="19">
        <v>4</v>
      </c>
      <c r="T1085" s="15">
        <v>13</v>
      </c>
      <c r="U1085" s="19">
        <v>81</v>
      </c>
      <c r="V1085" s="14" t="s">
        <v>69</v>
      </c>
      <c r="W1085" s="14" t="s">
        <v>96</v>
      </c>
      <c r="X1085" s="14">
        <f>IF(V1085="Yes",1,0)</f>
        <v>1</v>
      </c>
      <c r="Y1085" s="14">
        <f>IF(H1085="Active",0,1)</f>
        <v>1</v>
      </c>
    </row>
    <row r="1086" spans="1:25" ht="18" customHeight="1" x14ac:dyDescent="0.35">
      <c r="A1086" s="8" t="s">
        <v>2101</v>
      </c>
      <c r="B1086" s="8" t="s">
        <v>263</v>
      </c>
      <c r="C1086" s="8" t="s">
        <v>34</v>
      </c>
      <c r="D1086" s="9">
        <v>34</v>
      </c>
      <c r="E1086" s="8" t="s">
        <v>86</v>
      </c>
      <c r="F1086" s="8" t="s">
        <v>35</v>
      </c>
      <c r="G1086" s="10">
        <v>45621</v>
      </c>
      <c r="H1086" s="8" t="s">
        <v>26</v>
      </c>
      <c r="I1086" s="8" t="s">
        <v>36</v>
      </c>
      <c r="J1086" s="8" t="s">
        <v>80</v>
      </c>
      <c r="K1086" s="8" t="s">
        <v>55</v>
      </c>
      <c r="L1086" s="8" t="s">
        <v>49</v>
      </c>
      <c r="M1086" s="8" t="s">
        <v>30</v>
      </c>
      <c r="N1086" s="11">
        <v>225178</v>
      </c>
      <c r="O1086" s="11">
        <v>12345</v>
      </c>
      <c r="P1086" s="12">
        <v>98.5</v>
      </c>
      <c r="Q1086" s="9">
        <v>10</v>
      </c>
      <c r="R1086" s="13">
        <v>25</v>
      </c>
      <c r="S1086" s="13">
        <v>1</v>
      </c>
      <c r="T1086" s="9">
        <v>13</v>
      </c>
      <c r="U1086" s="13">
        <v>92</v>
      </c>
      <c r="V1086" s="8" t="s">
        <v>69</v>
      </c>
      <c r="W1086" s="8"/>
      <c r="X1086" s="22">
        <f>IF(V1086="Yes",1,0)</f>
        <v>1</v>
      </c>
      <c r="Y1086" s="22">
        <f>IF(H1086="Active",0,1)</f>
        <v>0</v>
      </c>
    </row>
    <row r="1087" spans="1:25" ht="18" customHeight="1" x14ac:dyDescent="0.35">
      <c r="A1087" s="14" t="s">
        <v>2174</v>
      </c>
      <c r="B1087" s="14" t="s">
        <v>388</v>
      </c>
      <c r="C1087" s="14" t="s">
        <v>25</v>
      </c>
      <c r="D1087" s="15">
        <v>24</v>
      </c>
      <c r="E1087" s="14" t="s">
        <v>42</v>
      </c>
      <c r="F1087" s="14" t="s">
        <v>12</v>
      </c>
      <c r="G1087" s="16">
        <v>45621</v>
      </c>
      <c r="H1087" s="14" t="s">
        <v>26</v>
      </c>
      <c r="I1087" s="14" t="s">
        <v>2267</v>
      </c>
      <c r="J1087" s="14" t="s">
        <v>2268</v>
      </c>
      <c r="K1087" s="14" t="s">
        <v>73</v>
      </c>
      <c r="L1087" s="14" t="s">
        <v>49</v>
      </c>
      <c r="M1087" s="14" t="s">
        <v>45</v>
      </c>
      <c r="N1087" s="17">
        <v>154632</v>
      </c>
      <c r="O1087" s="17">
        <v>35144</v>
      </c>
      <c r="P1087" s="18">
        <v>91.4</v>
      </c>
      <c r="Q1087" s="15">
        <v>6</v>
      </c>
      <c r="R1087" s="19">
        <v>1</v>
      </c>
      <c r="S1087" s="19">
        <v>5</v>
      </c>
      <c r="T1087" s="15">
        <v>20</v>
      </c>
      <c r="U1087" s="19">
        <v>78</v>
      </c>
      <c r="V1087" s="14" t="s">
        <v>31</v>
      </c>
      <c r="W1087" s="14"/>
      <c r="X1087" s="14">
        <f>IF(V1087="Yes",1,0)</f>
        <v>0</v>
      </c>
      <c r="Y1087" s="14">
        <f>IF(H1087="Active",0,1)</f>
        <v>0</v>
      </c>
    </row>
    <row r="1088" spans="1:25" ht="18" customHeight="1" x14ac:dyDescent="0.35">
      <c r="A1088" s="14" t="s">
        <v>434</v>
      </c>
      <c r="B1088" s="14" t="s">
        <v>435</v>
      </c>
      <c r="C1088" s="14" t="s">
        <v>34</v>
      </c>
      <c r="D1088" s="15">
        <v>39</v>
      </c>
      <c r="E1088" s="14" t="s">
        <v>2303</v>
      </c>
      <c r="F1088" s="14" t="s">
        <v>53</v>
      </c>
      <c r="G1088" s="16">
        <v>45620</v>
      </c>
      <c r="H1088" s="14" t="s">
        <v>54</v>
      </c>
      <c r="I1088" s="14" t="s">
        <v>2267</v>
      </c>
      <c r="J1088" s="14" t="s">
        <v>2270</v>
      </c>
      <c r="K1088" s="14" t="s">
        <v>2271</v>
      </c>
      <c r="L1088" s="14" t="s">
        <v>49</v>
      </c>
      <c r="M1088" s="14" t="s">
        <v>30</v>
      </c>
      <c r="N1088" s="17">
        <v>212781</v>
      </c>
      <c r="O1088" s="17">
        <v>29136</v>
      </c>
      <c r="P1088" s="18">
        <v>97</v>
      </c>
      <c r="Q1088" s="15">
        <v>6</v>
      </c>
      <c r="R1088" s="19">
        <v>28</v>
      </c>
      <c r="S1088" s="19">
        <v>3</v>
      </c>
      <c r="T1088" s="15">
        <v>40</v>
      </c>
      <c r="U1088" s="19">
        <v>85</v>
      </c>
      <c r="V1088" s="14" t="s">
        <v>31</v>
      </c>
      <c r="W1088" s="14" t="s">
        <v>57</v>
      </c>
      <c r="X1088" s="14">
        <f>IF(V1088="Yes",1,0)</f>
        <v>0</v>
      </c>
      <c r="Y1088" s="14">
        <f>IF(H1088="Active",0,1)</f>
        <v>1</v>
      </c>
    </row>
    <row r="1089" spans="1:25" ht="18" customHeight="1" x14ac:dyDescent="0.35">
      <c r="A1089" s="8" t="s">
        <v>1441</v>
      </c>
      <c r="B1089" s="8" t="s">
        <v>591</v>
      </c>
      <c r="C1089" s="8" t="s">
        <v>25</v>
      </c>
      <c r="D1089" s="9">
        <v>39</v>
      </c>
      <c r="E1089" s="8" t="s">
        <v>42</v>
      </c>
      <c r="F1089" s="8" t="s">
        <v>35</v>
      </c>
      <c r="G1089" s="10">
        <v>45620</v>
      </c>
      <c r="H1089" s="8" t="s">
        <v>26</v>
      </c>
      <c r="I1089" s="8" t="s">
        <v>2267</v>
      </c>
      <c r="J1089" s="8" t="s">
        <v>2268</v>
      </c>
      <c r="K1089" s="8" t="s">
        <v>28</v>
      </c>
      <c r="L1089" s="8" t="s">
        <v>56</v>
      </c>
      <c r="M1089" s="8" t="s">
        <v>60</v>
      </c>
      <c r="N1089" s="11">
        <v>193322</v>
      </c>
      <c r="O1089" s="11">
        <v>47661</v>
      </c>
      <c r="P1089" s="12">
        <v>97.5</v>
      </c>
      <c r="Q1089" s="9">
        <v>0</v>
      </c>
      <c r="R1089" s="13">
        <v>23</v>
      </c>
      <c r="S1089" s="13">
        <v>4</v>
      </c>
      <c r="T1089" s="9">
        <v>24</v>
      </c>
      <c r="U1089" s="13">
        <v>89</v>
      </c>
      <c r="V1089" s="8" t="s">
        <v>31</v>
      </c>
      <c r="W1089" s="8"/>
      <c r="X1089" s="22">
        <f>IF(V1089="Yes",1,0)</f>
        <v>0</v>
      </c>
      <c r="Y1089" s="22">
        <f>IF(H1089="Active",0,1)</f>
        <v>0</v>
      </c>
    </row>
    <row r="1090" spans="1:25" ht="18" customHeight="1" x14ac:dyDescent="0.35">
      <c r="A1090" s="8" t="s">
        <v>1781</v>
      </c>
      <c r="B1090" s="8" t="s">
        <v>548</v>
      </c>
      <c r="C1090" s="8" t="s">
        <v>25</v>
      </c>
      <c r="D1090" s="9">
        <v>54</v>
      </c>
      <c r="E1090" s="8" t="s">
        <v>42</v>
      </c>
      <c r="F1090" s="8" t="s">
        <v>79</v>
      </c>
      <c r="G1090" s="10">
        <v>45620</v>
      </c>
      <c r="H1090" s="8" t="s">
        <v>54</v>
      </c>
      <c r="I1090" s="8" t="s">
        <v>27</v>
      </c>
      <c r="J1090" s="8" t="s">
        <v>2270</v>
      </c>
      <c r="K1090" s="8" t="s">
        <v>2271</v>
      </c>
      <c r="L1090" s="8" t="s">
        <v>44</v>
      </c>
      <c r="M1090" s="8" t="s">
        <v>45</v>
      </c>
      <c r="N1090" s="11">
        <v>112958</v>
      </c>
      <c r="O1090" s="11">
        <v>28143</v>
      </c>
      <c r="P1090" s="12">
        <v>91.9</v>
      </c>
      <c r="Q1090" s="9">
        <v>0</v>
      </c>
      <c r="R1090" s="13">
        <v>17</v>
      </c>
      <c r="S1090" s="13">
        <v>5</v>
      </c>
      <c r="T1090" s="9">
        <v>2</v>
      </c>
      <c r="U1090" s="13">
        <v>93</v>
      </c>
      <c r="V1090" s="8" t="s">
        <v>31</v>
      </c>
      <c r="W1090" s="8" t="s">
        <v>57</v>
      </c>
      <c r="X1090" s="22">
        <f>IF(V1090="Yes",1,0)</f>
        <v>0</v>
      </c>
      <c r="Y1090" s="22">
        <f>IF(H1090="Active",0,1)</f>
        <v>1</v>
      </c>
    </row>
    <row r="1091" spans="1:25" ht="18" customHeight="1" x14ac:dyDescent="0.35">
      <c r="A1091" s="8" t="s">
        <v>673</v>
      </c>
      <c r="B1091" s="8" t="s">
        <v>293</v>
      </c>
      <c r="C1091" s="8" t="s">
        <v>25</v>
      </c>
      <c r="D1091" s="9">
        <v>44</v>
      </c>
      <c r="E1091" s="8" t="s">
        <v>52</v>
      </c>
      <c r="F1091" s="8" t="s">
        <v>35</v>
      </c>
      <c r="G1091" s="10">
        <v>45619</v>
      </c>
      <c r="H1091" s="8" t="s">
        <v>26</v>
      </c>
      <c r="I1091" s="8" t="s">
        <v>36</v>
      </c>
      <c r="J1091" s="8" t="s">
        <v>48</v>
      </c>
      <c r="K1091" s="8" t="s">
        <v>73</v>
      </c>
      <c r="L1091" s="8" t="s">
        <v>29</v>
      </c>
      <c r="M1091" s="8" t="s">
        <v>30</v>
      </c>
      <c r="N1091" s="11">
        <v>190282</v>
      </c>
      <c r="O1091" s="11">
        <v>43686</v>
      </c>
      <c r="P1091" s="12">
        <v>98.2</v>
      </c>
      <c r="Q1091" s="9">
        <v>3</v>
      </c>
      <c r="R1091" s="13">
        <v>12</v>
      </c>
      <c r="S1091" s="13">
        <v>3</v>
      </c>
      <c r="T1091" s="9">
        <v>36</v>
      </c>
      <c r="U1091" s="13">
        <v>98</v>
      </c>
      <c r="V1091" s="8" t="s">
        <v>31</v>
      </c>
      <c r="W1091" s="8"/>
      <c r="X1091" s="22">
        <f>IF(V1091="Yes",1,0)</f>
        <v>0</v>
      </c>
      <c r="Y1091" s="22">
        <f>IF(H1091="Active",0,1)</f>
        <v>0</v>
      </c>
    </row>
    <row r="1092" spans="1:25" ht="18" customHeight="1" x14ac:dyDescent="0.35">
      <c r="A1092" s="14" t="s">
        <v>737</v>
      </c>
      <c r="B1092" s="14" t="s">
        <v>293</v>
      </c>
      <c r="C1092" s="14" t="s">
        <v>25</v>
      </c>
      <c r="D1092" s="15">
        <v>44</v>
      </c>
      <c r="E1092" s="14" t="s">
        <v>52</v>
      </c>
      <c r="F1092" s="14" t="s">
        <v>90</v>
      </c>
      <c r="G1092" s="16">
        <v>45619</v>
      </c>
      <c r="H1092" s="14" t="s">
        <v>26</v>
      </c>
      <c r="I1092" s="14" t="s">
        <v>36</v>
      </c>
      <c r="J1092" s="14" t="s">
        <v>2270</v>
      </c>
      <c r="K1092" s="14" t="s">
        <v>55</v>
      </c>
      <c r="L1092" s="14" t="s">
        <v>38</v>
      </c>
      <c r="M1092" s="14" t="s">
        <v>60</v>
      </c>
      <c r="N1092" s="17">
        <v>208998</v>
      </c>
      <c r="O1092" s="17">
        <v>36072</v>
      </c>
      <c r="P1092" s="18">
        <v>91.1</v>
      </c>
      <c r="Q1092" s="15">
        <v>0</v>
      </c>
      <c r="R1092" s="19">
        <v>4</v>
      </c>
      <c r="S1092" s="19">
        <v>3</v>
      </c>
      <c r="T1092" s="15">
        <v>11</v>
      </c>
      <c r="U1092" s="19">
        <v>95</v>
      </c>
      <c r="V1092" s="14" t="s">
        <v>69</v>
      </c>
      <c r="W1092" s="14"/>
      <c r="X1092" s="14">
        <f>IF(V1092="Yes",1,0)</f>
        <v>1</v>
      </c>
      <c r="Y1092" s="14">
        <f>IF(H1092="Active",0,1)</f>
        <v>0</v>
      </c>
    </row>
    <row r="1093" spans="1:25" ht="18" customHeight="1" x14ac:dyDescent="0.35">
      <c r="A1093" s="14" t="s">
        <v>1284</v>
      </c>
      <c r="B1093" s="14" t="s">
        <v>877</v>
      </c>
      <c r="C1093" s="14" t="s">
        <v>34</v>
      </c>
      <c r="D1093" s="15">
        <v>29</v>
      </c>
      <c r="E1093" s="14" t="s">
        <v>86</v>
      </c>
      <c r="F1093" s="14" t="s">
        <v>90</v>
      </c>
      <c r="G1093" s="16">
        <v>45619</v>
      </c>
      <c r="H1093" s="14" t="s">
        <v>26</v>
      </c>
      <c r="I1093" s="14" t="s">
        <v>27</v>
      </c>
      <c r="J1093" s="14" t="s">
        <v>2270</v>
      </c>
      <c r="K1093" s="14" t="s">
        <v>2271</v>
      </c>
      <c r="L1093" s="14" t="s">
        <v>49</v>
      </c>
      <c r="M1093" s="14" t="s">
        <v>60</v>
      </c>
      <c r="N1093" s="17">
        <v>127464</v>
      </c>
      <c r="O1093" s="17">
        <v>41884</v>
      </c>
      <c r="P1093" s="18">
        <v>84.1</v>
      </c>
      <c r="Q1093" s="15">
        <v>7</v>
      </c>
      <c r="R1093" s="19">
        <v>12</v>
      </c>
      <c r="S1093" s="19">
        <v>3</v>
      </c>
      <c r="T1093" s="15">
        <v>35</v>
      </c>
      <c r="U1093" s="19">
        <v>66</v>
      </c>
      <c r="V1093" s="14" t="s">
        <v>31</v>
      </c>
      <c r="W1093" s="14"/>
      <c r="X1093" s="14">
        <f>IF(V1093="Yes",1,0)</f>
        <v>0</v>
      </c>
      <c r="Y1093" s="14">
        <f>IF(H1093="Active",0,1)</f>
        <v>0</v>
      </c>
    </row>
    <row r="1094" spans="1:25" ht="18" customHeight="1" x14ac:dyDescent="0.35">
      <c r="A1094" s="14" t="s">
        <v>2218</v>
      </c>
      <c r="B1094" s="14" t="s">
        <v>388</v>
      </c>
      <c r="C1094" s="14" t="s">
        <v>34</v>
      </c>
      <c r="D1094" s="15">
        <v>38</v>
      </c>
      <c r="E1094" s="14" t="s">
        <v>2303</v>
      </c>
      <c r="F1094" s="14" t="s">
        <v>72</v>
      </c>
      <c r="G1094" s="16">
        <v>45619</v>
      </c>
      <c r="H1094" s="14" t="s">
        <v>26</v>
      </c>
      <c r="I1094" s="14" t="s">
        <v>36</v>
      </c>
      <c r="J1094" s="14" t="s">
        <v>2269</v>
      </c>
      <c r="K1094" s="14" t="s">
        <v>2271</v>
      </c>
      <c r="L1094" s="14" t="s">
        <v>68</v>
      </c>
      <c r="M1094" s="14" t="s">
        <v>60</v>
      </c>
      <c r="N1094" s="17">
        <v>47246</v>
      </c>
      <c r="O1094" s="17">
        <v>5788</v>
      </c>
      <c r="P1094" s="18">
        <v>94.4</v>
      </c>
      <c r="Q1094" s="15">
        <v>4</v>
      </c>
      <c r="R1094" s="19">
        <v>25</v>
      </c>
      <c r="S1094" s="19">
        <v>4</v>
      </c>
      <c r="T1094" s="15">
        <v>28</v>
      </c>
      <c r="U1094" s="19">
        <v>95</v>
      </c>
      <c r="V1094" s="14" t="s">
        <v>31</v>
      </c>
      <c r="W1094" s="14"/>
      <c r="X1094" s="14">
        <f>IF(V1094="Yes",1,0)</f>
        <v>0</v>
      </c>
      <c r="Y1094" s="14">
        <f>IF(H1094="Active",0,1)</f>
        <v>0</v>
      </c>
    </row>
    <row r="1095" spans="1:25" ht="18" customHeight="1" x14ac:dyDescent="0.35">
      <c r="A1095" s="8" t="s">
        <v>888</v>
      </c>
      <c r="B1095" s="8" t="s">
        <v>95</v>
      </c>
      <c r="C1095" s="8" t="s">
        <v>34</v>
      </c>
      <c r="D1095" s="9">
        <v>43</v>
      </c>
      <c r="E1095" s="8" t="s">
        <v>52</v>
      </c>
      <c r="F1095" s="8" t="s">
        <v>53</v>
      </c>
      <c r="G1095" s="10">
        <v>45618</v>
      </c>
      <c r="H1095" s="8" t="s">
        <v>26</v>
      </c>
      <c r="I1095" s="8" t="s">
        <v>2267</v>
      </c>
      <c r="J1095" s="8" t="s">
        <v>2268</v>
      </c>
      <c r="K1095" s="8" t="s">
        <v>28</v>
      </c>
      <c r="L1095" s="8" t="s">
        <v>38</v>
      </c>
      <c r="M1095" s="8" t="s">
        <v>60</v>
      </c>
      <c r="N1095" s="11">
        <v>48369</v>
      </c>
      <c r="O1095" s="11">
        <v>8351</v>
      </c>
      <c r="P1095" s="12">
        <v>94.2</v>
      </c>
      <c r="Q1095" s="9">
        <v>9</v>
      </c>
      <c r="R1095" s="13">
        <v>20</v>
      </c>
      <c r="S1095" s="13">
        <v>1</v>
      </c>
      <c r="T1095" s="9">
        <v>9</v>
      </c>
      <c r="U1095" s="13">
        <v>79</v>
      </c>
      <c r="V1095" s="8" t="s">
        <v>69</v>
      </c>
      <c r="W1095" s="8"/>
      <c r="X1095" s="22">
        <f>IF(V1095="Yes",1,0)</f>
        <v>1</v>
      </c>
      <c r="Y1095" s="22">
        <f>IF(H1095="Active",0,1)</f>
        <v>0</v>
      </c>
    </row>
    <row r="1096" spans="1:25" ht="18" customHeight="1" x14ac:dyDescent="0.35">
      <c r="A1096" s="8" t="s">
        <v>1139</v>
      </c>
      <c r="B1096" s="8" t="s">
        <v>531</v>
      </c>
      <c r="C1096" s="8" t="s">
        <v>34</v>
      </c>
      <c r="D1096" s="9">
        <v>22</v>
      </c>
      <c r="E1096" s="8" t="s">
        <v>52</v>
      </c>
      <c r="F1096" s="8" t="s">
        <v>35</v>
      </c>
      <c r="G1096" s="10">
        <v>45618</v>
      </c>
      <c r="H1096" s="8" t="s">
        <v>26</v>
      </c>
      <c r="I1096" s="8" t="s">
        <v>27</v>
      </c>
      <c r="J1096" s="8" t="s">
        <v>2268</v>
      </c>
      <c r="K1096" s="8" t="s">
        <v>28</v>
      </c>
      <c r="L1096" s="8" t="s">
        <v>44</v>
      </c>
      <c r="M1096" s="8" t="s">
        <v>45</v>
      </c>
      <c r="N1096" s="11">
        <v>67400</v>
      </c>
      <c r="O1096" s="11">
        <v>23241</v>
      </c>
      <c r="P1096" s="12">
        <v>89.9</v>
      </c>
      <c r="Q1096" s="9">
        <v>5</v>
      </c>
      <c r="R1096" s="13">
        <v>23</v>
      </c>
      <c r="S1096" s="13">
        <v>3</v>
      </c>
      <c r="T1096" s="9">
        <v>3</v>
      </c>
      <c r="U1096" s="13">
        <v>98</v>
      </c>
      <c r="V1096" s="8" t="s">
        <v>31</v>
      </c>
      <c r="W1096" s="8"/>
      <c r="X1096" s="22">
        <f>IF(V1096="Yes",1,0)</f>
        <v>0</v>
      </c>
      <c r="Y1096" s="22">
        <f>IF(H1096="Active",0,1)</f>
        <v>0</v>
      </c>
    </row>
    <row r="1097" spans="1:25" ht="18" customHeight="1" x14ac:dyDescent="0.35">
      <c r="A1097" s="14" t="s">
        <v>1530</v>
      </c>
      <c r="B1097" s="14" t="s">
        <v>244</v>
      </c>
      <c r="C1097" s="14" t="s">
        <v>25</v>
      </c>
      <c r="D1097" s="15">
        <v>26</v>
      </c>
      <c r="E1097" s="14" t="s">
        <v>52</v>
      </c>
      <c r="F1097" s="14" t="s">
        <v>72</v>
      </c>
      <c r="G1097" s="16">
        <v>45618</v>
      </c>
      <c r="H1097" s="14" t="s">
        <v>26</v>
      </c>
      <c r="I1097" s="14" t="s">
        <v>2267</v>
      </c>
      <c r="J1097" s="14" t="s">
        <v>80</v>
      </c>
      <c r="K1097" s="14" t="s">
        <v>73</v>
      </c>
      <c r="L1097" s="14" t="s">
        <v>87</v>
      </c>
      <c r="M1097" s="14" t="s">
        <v>39</v>
      </c>
      <c r="N1097" s="17">
        <v>55065</v>
      </c>
      <c r="O1097" s="17">
        <v>10524</v>
      </c>
      <c r="P1097" s="18">
        <v>95.6</v>
      </c>
      <c r="Q1097" s="15">
        <v>6</v>
      </c>
      <c r="R1097" s="19">
        <v>17</v>
      </c>
      <c r="S1097" s="19">
        <v>2</v>
      </c>
      <c r="T1097" s="15">
        <v>8</v>
      </c>
      <c r="U1097" s="19">
        <v>88</v>
      </c>
      <c r="V1097" s="14" t="s">
        <v>69</v>
      </c>
      <c r="W1097" s="14"/>
      <c r="X1097" s="14">
        <f>IF(V1097="Yes",1,0)</f>
        <v>1</v>
      </c>
      <c r="Y1097" s="14">
        <f>IF(H1097="Active",0,1)</f>
        <v>0</v>
      </c>
    </row>
    <row r="1098" spans="1:25" ht="18" customHeight="1" x14ac:dyDescent="0.35">
      <c r="A1098" s="14" t="s">
        <v>1666</v>
      </c>
      <c r="B1098" s="14" t="s">
        <v>506</v>
      </c>
      <c r="C1098" s="14" t="s">
        <v>25</v>
      </c>
      <c r="D1098" s="15">
        <v>40</v>
      </c>
      <c r="E1098" s="14" t="s">
        <v>109</v>
      </c>
      <c r="F1098" s="14" t="s">
        <v>79</v>
      </c>
      <c r="G1098" s="16">
        <v>45618</v>
      </c>
      <c r="H1098" s="14" t="s">
        <v>26</v>
      </c>
      <c r="I1098" s="14" t="s">
        <v>2267</v>
      </c>
      <c r="J1098" s="14" t="s">
        <v>2269</v>
      </c>
      <c r="K1098" s="14" t="s">
        <v>73</v>
      </c>
      <c r="L1098" s="14" t="s">
        <v>44</v>
      </c>
      <c r="M1098" s="14" t="s">
        <v>30</v>
      </c>
      <c r="N1098" s="17">
        <v>132710</v>
      </c>
      <c r="O1098" s="17">
        <v>18960</v>
      </c>
      <c r="P1098" s="18">
        <v>81</v>
      </c>
      <c r="Q1098" s="15">
        <v>7</v>
      </c>
      <c r="R1098" s="19">
        <v>4</v>
      </c>
      <c r="S1098" s="19">
        <v>5</v>
      </c>
      <c r="T1098" s="15">
        <v>12</v>
      </c>
      <c r="U1098" s="19">
        <v>83</v>
      </c>
      <c r="V1098" s="14" t="s">
        <v>31</v>
      </c>
      <c r="W1098" s="14"/>
      <c r="X1098" s="14">
        <f>IF(V1098="Yes",1,0)</f>
        <v>0</v>
      </c>
      <c r="Y1098" s="14">
        <f>IF(H1098="Active",0,1)</f>
        <v>0</v>
      </c>
    </row>
    <row r="1099" spans="1:25" ht="18" customHeight="1" x14ac:dyDescent="0.35">
      <c r="A1099" s="8" t="s">
        <v>851</v>
      </c>
      <c r="B1099" s="8" t="s">
        <v>191</v>
      </c>
      <c r="C1099" s="8" t="s">
        <v>34</v>
      </c>
      <c r="D1099" s="9">
        <v>57</v>
      </c>
      <c r="E1099" s="8" t="s">
        <v>63</v>
      </c>
      <c r="F1099" s="8" t="s">
        <v>72</v>
      </c>
      <c r="G1099" s="10">
        <v>45617</v>
      </c>
      <c r="H1099" s="8" t="s">
        <v>26</v>
      </c>
      <c r="I1099" s="8" t="s">
        <v>27</v>
      </c>
      <c r="J1099" s="8" t="s">
        <v>2269</v>
      </c>
      <c r="K1099" s="8" t="s">
        <v>2271</v>
      </c>
      <c r="L1099" s="8" t="s">
        <v>44</v>
      </c>
      <c r="M1099" s="8" t="s">
        <v>60</v>
      </c>
      <c r="N1099" s="11">
        <v>108623</v>
      </c>
      <c r="O1099" s="11">
        <v>30234</v>
      </c>
      <c r="P1099" s="12">
        <v>97.7</v>
      </c>
      <c r="Q1099" s="9">
        <v>2</v>
      </c>
      <c r="R1099" s="13">
        <v>9</v>
      </c>
      <c r="S1099" s="13">
        <v>3</v>
      </c>
      <c r="T1099" s="9">
        <v>32</v>
      </c>
      <c r="U1099" s="13">
        <v>67</v>
      </c>
      <c r="V1099" s="8" t="s">
        <v>31</v>
      </c>
      <c r="W1099" s="8"/>
      <c r="X1099" s="22">
        <f>IF(V1099="Yes",1,0)</f>
        <v>0</v>
      </c>
      <c r="Y1099" s="22">
        <f>IF(H1099="Active",0,1)</f>
        <v>0</v>
      </c>
    </row>
    <row r="1100" spans="1:25" ht="18" customHeight="1" x14ac:dyDescent="0.35">
      <c r="A1100" s="8" t="s">
        <v>920</v>
      </c>
      <c r="B1100" s="8" t="s">
        <v>409</v>
      </c>
      <c r="C1100" s="8" t="s">
        <v>34</v>
      </c>
      <c r="D1100" s="9">
        <v>50</v>
      </c>
      <c r="E1100" s="8" t="s">
        <v>42</v>
      </c>
      <c r="F1100" s="8" t="s">
        <v>79</v>
      </c>
      <c r="G1100" s="10">
        <v>45616</v>
      </c>
      <c r="H1100" s="8" t="s">
        <v>26</v>
      </c>
      <c r="I1100" s="8" t="s">
        <v>36</v>
      </c>
      <c r="J1100" s="8" t="s">
        <v>2269</v>
      </c>
      <c r="K1100" s="8" t="s">
        <v>37</v>
      </c>
      <c r="L1100" s="8" t="s">
        <v>68</v>
      </c>
      <c r="M1100" s="8" t="s">
        <v>39</v>
      </c>
      <c r="N1100" s="11">
        <v>221312</v>
      </c>
      <c r="O1100" s="11">
        <v>33795</v>
      </c>
      <c r="P1100" s="12">
        <v>98.9</v>
      </c>
      <c r="Q1100" s="9">
        <v>2</v>
      </c>
      <c r="R1100" s="13">
        <v>6</v>
      </c>
      <c r="S1100" s="13">
        <v>5</v>
      </c>
      <c r="T1100" s="9">
        <v>8</v>
      </c>
      <c r="U1100" s="13">
        <v>60</v>
      </c>
      <c r="V1100" s="8" t="s">
        <v>31</v>
      </c>
      <c r="W1100" s="8"/>
      <c r="X1100" s="22">
        <f>IF(V1100="Yes",1,0)</f>
        <v>0</v>
      </c>
      <c r="Y1100" s="22">
        <f>IF(H1100="Active",0,1)</f>
        <v>0</v>
      </c>
    </row>
    <row r="1101" spans="1:25" ht="18" customHeight="1" x14ac:dyDescent="0.35">
      <c r="A1101" s="14" t="s">
        <v>1720</v>
      </c>
      <c r="B1101" s="14" t="s">
        <v>399</v>
      </c>
      <c r="C1101" s="14" t="s">
        <v>25</v>
      </c>
      <c r="D1101" s="15">
        <v>38</v>
      </c>
      <c r="E1101" s="14" t="s">
        <v>2304</v>
      </c>
      <c r="F1101" s="14" t="s">
        <v>76</v>
      </c>
      <c r="G1101" s="16">
        <v>45616</v>
      </c>
      <c r="H1101" s="14" t="s">
        <v>26</v>
      </c>
      <c r="I1101" s="14" t="s">
        <v>36</v>
      </c>
      <c r="J1101" s="14" t="s">
        <v>2269</v>
      </c>
      <c r="K1101" s="14" t="s">
        <v>28</v>
      </c>
      <c r="L1101" s="14" t="s">
        <v>29</v>
      </c>
      <c r="M1101" s="14" t="s">
        <v>45</v>
      </c>
      <c r="N1101" s="17">
        <v>148164</v>
      </c>
      <c r="O1101" s="17">
        <v>10513</v>
      </c>
      <c r="P1101" s="18">
        <v>81.8</v>
      </c>
      <c r="Q1101" s="15">
        <v>5</v>
      </c>
      <c r="R1101" s="19">
        <v>28</v>
      </c>
      <c r="S1101" s="19">
        <v>3</v>
      </c>
      <c r="T1101" s="15">
        <v>32</v>
      </c>
      <c r="U1101" s="19">
        <v>71</v>
      </c>
      <c r="V1101" s="14" t="s">
        <v>31</v>
      </c>
      <c r="W1101" s="14"/>
      <c r="X1101" s="14">
        <f>IF(V1101="Yes",1,0)</f>
        <v>0</v>
      </c>
      <c r="Y1101" s="14">
        <f>IF(H1101="Active",0,1)</f>
        <v>0</v>
      </c>
    </row>
    <row r="1102" spans="1:25" ht="18" customHeight="1" x14ac:dyDescent="0.35">
      <c r="A1102" s="8" t="s">
        <v>592</v>
      </c>
      <c r="B1102" s="8" t="s">
        <v>263</v>
      </c>
      <c r="C1102" s="8" t="s">
        <v>34</v>
      </c>
      <c r="D1102" s="9">
        <v>53</v>
      </c>
      <c r="E1102" s="8" t="s">
        <v>93</v>
      </c>
      <c r="F1102" s="8" t="s">
        <v>12</v>
      </c>
      <c r="G1102" s="10">
        <v>45615</v>
      </c>
      <c r="H1102" s="8" t="s">
        <v>54</v>
      </c>
      <c r="I1102" s="8" t="s">
        <v>36</v>
      </c>
      <c r="J1102" s="8" t="s">
        <v>80</v>
      </c>
      <c r="K1102" s="8" t="s">
        <v>37</v>
      </c>
      <c r="L1102" s="8" t="s">
        <v>56</v>
      </c>
      <c r="M1102" s="8" t="s">
        <v>60</v>
      </c>
      <c r="N1102" s="11">
        <v>190685</v>
      </c>
      <c r="O1102" s="11">
        <v>21192</v>
      </c>
      <c r="P1102" s="12">
        <v>95.9</v>
      </c>
      <c r="Q1102" s="9">
        <v>5</v>
      </c>
      <c r="R1102" s="13">
        <v>15</v>
      </c>
      <c r="S1102" s="13">
        <v>5</v>
      </c>
      <c r="T1102" s="9">
        <v>37</v>
      </c>
      <c r="U1102" s="13">
        <v>87</v>
      </c>
      <c r="V1102" s="8" t="s">
        <v>69</v>
      </c>
      <c r="W1102" s="8" t="s">
        <v>96</v>
      </c>
      <c r="X1102" s="22">
        <f>IF(V1102="Yes",1,0)</f>
        <v>1</v>
      </c>
      <c r="Y1102" s="22">
        <f>IF(H1102="Active",0,1)</f>
        <v>1</v>
      </c>
    </row>
    <row r="1103" spans="1:25" ht="18" customHeight="1" x14ac:dyDescent="0.35">
      <c r="A1103" s="14" t="s">
        <v>2040</v>
      </c>
      <c r="B1103" s="14" t="s">
        <v>222</v>
      </c>
      <c r="C1103" s="14" t="s">
        <v>34</v>
      </c>
      <c r="D1103" s="15">
        <v>21</v>
      </c>
      <c r="E1103" s="14" t="s">
        <v>42</v>
      </c>
      <c r="F1103" s="14" t="s">
        <v>12</v>
      </c>
      <c r="G1103" s="16">
        <v>45615</v>
      </c>
      <c r="H1103" s="14" t="s">
        <v>26</v>
      </c>
      <c r="I1103" s="14" t="s">
        <v>2267</v>
      </c>
      <c r="J1103" s="14" t="s">
        <v>80</v>
      </c>
      <c r="K1103" s="14" t="s">
        <v>55</v>
      </c>
      <c r="L1103" s="14" t="s">
        <v>38</v>
      </c>
      <c r="M1103" s="14" t="s">
        <v>60</v>
      </c>
      <c r="N1103" s="17">
        <v>136413</v>
      </c>
      <c r="O1103" s="17">
        <v>31000</v>
      </c>
      <c r="P1103" s="18">
        <v>81.599999999999994</v>
      </c>
      <c r="Q1103" s="15">
        <v>4</v>
      </c>
      <c r="R1103" s="19">
        <v>24</v>
      </c>
      <c r="S1103" s="19">
        <v>2</v>
      </c>
      <c r="T1103" s="15">
        <v>10</v>
      </c>
      <c r="U1103" s="19">
        <v>100</v>
      </c>
      <c r="V1103" s="14" t="s">
        <v>31</v>
      </c>
      <c r="W1103" s="14"/>
      <c r="X1103" s="14">
        <f>IF(V1103="Yes",1,0)</f>
        <v>0</v>
      </c>
      <c r="Y1103" s="14">
        <f>IF(H1103="Active",0,1)</f>
        <v>0</v>
      </c>
    </row>
    <row r="1104" spans="1:25" ht="18" customHeight="1" x14ac:dyDescent="0.35">
      <c r="A1104" s="14" t="s">
        <v>821</v>
      </c>
      <c r="B1104" s="14" t="s">
        <v>347</v>
      </c>
      <c r="C1104" s="14" t="s">
        <v>34</v>
      </c>
      <c r="D1104" s="15">
        <v>23</v>
      </c>
      <c r="E1104" s="14" t="s">
        <v>52</v>
      </c>
      <c r="F1104" s="14" t="s">
        <v>76</v>
      </c>
      <c r="G1104" s="16">
        <v>45614</v>
      </c>
      <c r="H1104" s="14" t="s">
        <v>26</v>
      </c>
      <c r="I1104" s="14" t="s">
        <v>2267</v>
      </c>
      <c r="J1104" s="14" t="s">
        <v>48</v>
      </c>
      <c r="K1104" s="14" t="s">
        <v>73</v>
      </c>
      <c r="L1104" s="14" t="s">
        <v>29</v>
      </c>
      <c r="M1104" s="14" t="s">
        <v>30</v>
      </c>
      <c r="N1104" s="17">
        <v>239828</v>
      </c>
      <c r="O1104" s="17">
        <v>21460</v>
      </c>
      <c r="P1104" s="18">
        <v>80.3</v>
      </c>
      <c r="Q1104" s="15">
        <v>5</v>
      </c>
      <c r="R1104" s="19">
        <v>30</v>
      </c>
      <c r="S1104" s="19">
        <v>5</v>
      </c>
      <c r="T1104" s="15">
        <v>24</v>
      </c>
      <c r="U1104" s="19">
        <v>73</v>
      </c>
      <c r="V1104" s="14" t="s">
        <v>31</v>
      </c>
      <c r="W1104" s="14"/>
      <c r="X1104" s="14">
        <f>IF(V1104="Yes",1,0)</f>
        <v>0</v>
      </c>
      <c r="Y1104" s="14">
        <f>IF(H1104="Active",0,1)</f>
        <v>0</v>
      </c>
    </row>
    <row r="1105" spans="1:25" ht="18" customHeight="1" x14ac:dyDescent="0.35">
      <c r="A1105" s="14" t="s">
        <v>982</v>
      </c>
      <c r="B1105" s="14" t="s">
        <v>157</v>
      </c>
      <c r="C1105" s="14" t="s">
        <v>34</v>
      </c>
      <c r="D1105" s="15">
        <v>55</v>
      </c>
      <c r="E1105" s="14" t="s">
        <v>63</v>
      </c>
      <c r="F1105" s="14" t="s">
        <v>90</v>
      </c>
      <c r="G1105" s="16">
        <v>45613</v>
      </c>
      <c r="H1105" s="14" t="s">
        <v>26</v>
      </c>
      <c r="I1105" s="14" t="s">
        <v>36</v>
      </c>
      <c r="J1105" s="14" t="s">
        <v>2269</v>
      </c>
      <c r="K1105" s="14" t="s">
        <v>73</v>
      </c>
      <c r="L1105" s="14" t="s">
        <v>49</v>
      </c>
      <c r="M1105" s="14" t="s">
        <v>64</v>
      </c>
      <c r="N1105" s="17">
        <v>225108</v>
      </c>
      <c r="O1105" s="17">
        <v>48103</v>
      </c>
      <c r="P1105" s="18">
        <v>85.7</v>
      </c>
      <c r="Q1105" s="15">
        <v>1</v>
      </c>
      <c r="R1105" s="19">
        <v>10</v>
      </c>
      <c r="S1105" s="19">
        <v>1</v>
      </c>
      <c r="T1105" s="15">
        <v>10</v>
      </c>
      <c r="U1105" s="19">
        <v>84</v>
      </c>
      <c r="V1105" s="14" t="s">
        <v>31</v>
      </c>
      <c r="W1105" s="14"/>
      <c r="X1105" s="14">
        <f>IF(V1105="Yes",1,0)</f>
        <v>0</v>
      </c>
      <c r="Y1105" s="14">
        <f>IF(H1105="Active",0,1)</f>
        <v>0</v>
      </c>
    </row>
    <row r="1106" spans="1:25" ht="18" customHeight="1" x14ac:dyDescent="0.35">
      <c r="A1106" s="8" t="s">
        <v>1535</v>
      </c>
      <c r="B1106" s="8" t="s">
        <v>429</v>
      </c>
      <c r="C1106" s="8" t="s">
        <v>34</v>
      </c>
      <c r="D1106" s="9">
        <v>35</v>
      </c>
      <c r="E1106" s="8" t="s">
        <v>86</v>
      </c>
      <c r="F1106" s="8" t="s">
        <v>72</v>
      </c>
      <c r="G1106" s="10">
        <v>45613</v>
      </c>
      <c r="H1106" s="8" t="s">
        <v>26</v>
      </c>
      <c r="I1106" s="8" t="s">
        <v>27</v>
      </c>
      <c r="J1106" s="8" t="s">
        <v>48</v>
      </c>
      <c r="K1106" s="8" t="s">
        <v>55</v>
      </c>
      <c r="L1106" s="8" t="s">
        <v>49</v>
      </c>
      <c r="M1106" s="8" t="s">
        <v>64</v>
      </c>
      <c r="N1106" s="11">
        <v>138669</v>
      </c>
      <c r="O1106" s="11">
        <v>26613</v>
      </c>
      <c r="P1106" s="12">
        <v>98.2</v>
      </c>
      <c r="Q1106" s="9">
        <v>3</v>
      </c>
      <c r="R1106" s="13">
        <v>16</v>
      </c>
      <c r="S1106" s="13">
        <v>1</v>
      </c>
      <c r="T1106" s="9">
        <v>27</v>
      </c>
      <c r="U1106" s="13">
        <v>83</v>
      </c>
      <c r="V1106" s="8" t="s">
        <v>31</v>
      </c>
      <c r="W1106" s="8"/>
      <c r="X1106" s="22">
        <f>IF(V1106="Yes",1,0)</f>
        <v>0</v>
      </c>
      <c r="Y1106" s="22">
        <f>IF(H1106="Active",0,1)</f>
        <v>0</v>
      </c>
    </row>
    <row r="1107" spans="1:25" ht="18" customHeight="1" x14ac:dyDescent="0.35">
      <c r="A1107" s="14" t="s">
        <v>1572</v>
      </c>
      <c r="B1107" s="14" t="s">
        <v>356</v>
      </c>
      <c r="C1107" s="14" t="s">
        <v>34</v>
      </c>
      <c r="D1107" s="15">
        <v>56</v>
      </c>
      <c r="E1107" s="14" t="s">
        <v>2303</v>
      </c>
      <c r="F1107" s="14" t="s">
        <v>79</v>
      </c>
      <c r="G1107" s="16">
        <v>45613</v>
      </c>
      <c r="H1107" s="14" t="s">
        <v>54</v>
      </c>
      <c r="I1107" s="14" t="s">
        <v>2267</v>
      </c>
      <c r="J1107" s="14" t="s">
        <v>2270</v>
      </c>
      <c r="K1107" s="14" t="s">
        <v>55</v>
      </c>
      <c r="L1107" s="14" t="s">
        <v>49</v>
      </c>
      <c r="M1107" s="14" t="s">
        <v>39</v>
      </c>
      <c r="N1107" s="17">
        <v>234518</v>
      </c>
      <c r="O1107" s="17">
        <v>20986</v>
      </c>
      <c r="P1107" s="18">
        <v>82.9</v>
      </c>
      <c r="Q1107" s="15">
        <v>8</v>
      </c>
      <c r="R1107" s="19">
        <v>8</v>
      </c>
      <c r="S1107" s="19">
        <v>4</v>
      </c>
      <c r="T1107" s="15">
        <v>20</v>
      </c>
      <c r="U1107" s="19">
        <v>62</v>
      </c>
      <c r="V1107" s="14" t="s">
        <v>31</v>
      </c>
      <c r="W1107" s="14" t="s">
        <v>205</v>
      </c>
      <c r="X1107" s="14">
        <f>IF(V1107="Yes",1,0)</f>
        <v>0</v>
      </c>
      <c r="Y1107" s="14">
        <f>IF(H1107="Active",0,1)</f>
        <v>1</v>
      </c>
    </row>
    <row r="1108" spans="1:25" ht="18" customHeight="1" x14ac:dyDescent="0.35">
      <c r="A1108" s="8" t="s">
        <v>1821</v>
      </c>
      <c r="B1108" s="8" t="s">
        <v>403</v>
      </c>
      <c r="C1108" s="8" t="s">
        <v>25</v>
      </c>
      <c r="D1108" s="9">
        <v>50</v>
      </c>
      <c r="E1108" s="8" t="s">
        <v>2304</v>
      </c>
      <c r="F1108" s="8" t="s">
        <v>90</v>
      </c>
      <c r="G1108" s="10">
        <v>45613</v>
      </c>
      <c r="H1108" s="8" t="s">
        <v>26</v>
      </c>
      <c r="I1108" s="8" t="s">
        <v>2267</v>
      </c>
      <c r="J1108" s="8" t="s">
        <v>48</v>
      </c>
      <c r="K1108" s="8" t="s">
        <v>55</v>
      </c>
      <c r="L1108" s="8" t="s">
        <v>116</v>
      </c>
      <c r="M1108" s="8" t="s">
        <v>30</v>
      </c>
      <c r="N1108" s="11">
        <v>225805</v>
      </c>
      <c r="O1108" s="11">
        <v>43859</v>
      </c>
      <c r="P1108" s="12">
        <v>99.7</v>
      </c>
      <c r="Q1108" s="9">
        <v>6</v>
      </c>
      <c r="R1108" s="13">
        <v>28</v>
      </c>
      <c r="S1108" s="13">
        <v>3</v>
      </c>
      <c r="T1108" s="9">
        <v>39</v>
      </c>
      <c r="U1108" s="13">
        <v>97</v>
      </c>
      <c r="V1108" s="8" t="s">
        <v>31</v>
      </c>
      <c r="W1108" s="8"/>
      <c r="X1108" s="22">
        <f>IF(V1108="Yes",1,0)</f>
        <v>0</v>
      </c>
      <c r="Y1108" s="22">
        <f>IF(H1108="Active",0,1)</f>
        <v>0</v>
      </c>
    </row>
    <row r="1109" spans="1:25" ht="18" customHeight="1" x14ac:dyDescent="0.35">
      <c r="A1109" s="8" t="s">
        <v>2127</v>
      </c>
      <c r="B1109" s="8" t="s">
        <v>95</v>
      </c>
      <c r="C1109" s="8" t="s">
        <v>25</v>
      </c>
      <c r="D1109" s="9">
        <v>48</v>
      </c>
      <c r="E1109" s="8" t="s">
        <v>2303</v>
      </c>
      <c r="F1109" s="8" t="s">
        <v>35</v>
      </c>
      <c r="G1109" s="10">
        <v>45613</v>
      </c>
      <c r="H1109" s="8" t="s">
        <v>26</v>
      </c>
      <c r="I1109" s="8" t="s">
        <v>36</v>
      </c>
      <c r="J1109" s="8" t="s">
        <v>48</v>
      </c>
      <c r="K1109" s="8" t="s">
        <v>73</v>
      </c>
      <c r="L1109" s="8" t="s">
        <v>49</v>
      </c>
      <c r="M1109" s="8" t="s">
        <v>30</v>
      </c>
      <c r="N1109" s="11">
        <v>145507</v>
      </c>
      <c r="O1109" s="11">
        <v>7099</v>
      </c>
      <c r="P1109" s="12">
        <v>91.5</v>
      </c>
      <c r="Q1109" s="9">
        <v>4</v>
      </c>
      <c r="R1109" s="13">
        <v>15</v>
      </c>
      <c r="S1109" s="13">
        <v>4</v>
      </c>
      <c r="T1109" s="9">
        <v>6</v>
      </c>
      <c r="U1109" s="13">
        <v>63</v>
      </c>
      <c r="V1109" s="8" t="s">
        <v>31</v>
      </c>
      <c r="W1109" s="8"/>
      <c r="X1109" s="22">
        <f>IF(V1109="Yes",1,0)</f>
        <v>0</v>
      </c>
      <c r="Y1109" s="22">
        <f>IF(H1109="Active",0,1)</f>
        <v>0</v>
      </c>
    </row>
    <row r="1110" spans="1:25" ht="18" customHeight="1" x14ac:dyDescent="0.35">
      <c r="A1110" s="8" t="s">
        <v>1125</v>
      </c>
      <c r="B1110" s="8" t="s">
        <v>51</v>
      </c>
      <c r="C1110" s="8" t="s">
        <v>34</v>
      </c>
      <c r="D1110" s="9">
        <v>46</v>
      </c>
      <c r="E1110" s="8" t="s">
        <v>93</v>
      </c>
      <c r="F1110" s="8" t="s">
        <v>35</v>
      </c>
      <c r="G1110" s="10">
        <v>45612</v>
      </c>
      <c r="H1110" s="8" t="s">
        <v>26</v>
      </c>
      <c r="I1110" s="8" t="s">
        <v>2267</v>
      </c>
      <c r="J1110" s="8" t="s">
        <v>48</v>
      </c>
      <c r="K1110" s="8" t="s">
        <v>55</v>
      </c>
      <c r="L1110" s="8" t="s">
        <v>29</v>
      </c>
      <c r="M1110" s="8" t="s">
        <v>64</v>
      </c>
      <c r="N1110" s="11">
        <v>72562</v>
      </c>
      <c r="O1110" s="11">
        <v>15671</v>
      </c>
      <c r="P1110" s="12">
        <v>90.9</v>
      </c>
      <c r="Q1110" s="9">
        <v>9</v>
      </c>
      <c r="R1110" s="13">
        <v>8</v>
      </c>
      <c r="S1110" s="13">
        <v>1</v>
      </c>
      <c r="T1110" s="9">
        <v>27</v>
      </c>
      <c r="U1110" s="13">
        <v>78</v>
      </c>
      <c r="V1110" s="8" t="s">
        <v>31</v>
      </c>
      <c r="W1110" s="8"/>
      <c r="X1110" s="22">
        <f>IF(V1110="Yes",1,0)</f>
        <v>0</v>
      </c>
      <c r="Y1110" s="22">
        <f>IF(H1110="Active",0,1)</f>
        <v>0</v>
      </c>
    </row>
    <row r="1111" spans="1:25" ht="18" customHeight="1" x14ac:dyDescent="0.35">
      <c r="A1111" s="14" t="s">
        <v>1138</v>
      </c>
      <c r="B1111" s="14" t="s">
        <v>120</v>
      </c>
      <c r="C1111" s="14" t="s">
        <v>34</v>
      </c>
      <c r="D1111" s="15">
        <v>58</v>
      </c>
      <c r="E1111" s="14" t="s">
        <v>2303</v>
      </c>
      <c r="F1111" s="14" t="s">
        <v>43</v>
      </c>
      <c r="G1111" s="16">
        <v>45612</v>
      </c>
      <c r="H1111" s="14" t="s">
        <v>26</v>
      </c>
      <c r="I1111" s="14" t="s">
        <v>27</v>
      </c>
      <c r="J1111" s="14" t="s">
        <v>2270</v>
      </c>
      <c r="K1111" s="14" t="s">
        <v>37</v>
      </c>
      <c r="L1111" s="14" t="s">
        <v>56</v>
      </c>
      <c r="M1111" s="14" t="s">
        <v>64</v>
      </c>
      <c r="N1111" s="17">
        <v>200240</v>
      </c>
      <c r="O1111" s="17">
        <v>34723</v>
      </c>
      <c r="P1111" s="18">
        <v>94.3</v>
      </c>
      <c r="Q1111" s="15">
        <v>7</v>
      </c>
      <c r="R1111" s="19">
        <v>25</v>
      </c>
      <c r="S1111" s="19">
        <v>5</v>
      </c>
      <c r="T1111" s="15">
        <v>37</v>
      </c>
      <c r="U1111" s="19">
        <v>90</v>
      </c>
      <c r="V1111" s="14" t="s">
        <v>31</v>
      </c>
      <c r="W1111" s="14"/>
      <c r="X1111" s="14">
        <f>IF(V1111="Yes",1,0)</f>
        <v>0</v>
      </c>
      <c r="Y1111" s="14">
        <f>IF(H1111="Active",0,1)</f>
        <v>0</v>
      </c>
    </row>
    <row r="1112" spans="1:25" ht="18" customHeight="1" x14ac:dyDescent="0.35">
      <c r="A1112" s="14" t="s">
        <v>260</v>
      </c>
      <c r="B1112" s="14" t="s">
        <v>261</v>
      </c>
      <c r="C1112" s="14" t="s">
        <v>25</v>
      </c>
      <c r="D1112" s="15">
        <v>44</v>
      </c>
      <c r="E1112" s="14" t="s">
        <v>52</v>
      </c>
      <c r="F1112" s="14" t="s">
        <v>35</v>
      </c>
      <c r="G1112" s="16">
        <v>45611</v>
      </c>
      <c r="H1112" s="14" t="s">
        <v>26</v>
      </c>
      <c r="I1112" s="14" t="s">
        <v>2267</v>
      </c>
      <c r="J1112" s="14" t="s">
        <v>2268</v>
      </c>
      <c r="K1112" s="14" t="s">
        <v>73</v>
      </c>
      <c r="L1112" s="14" t="s">
        <v>87</v>
      </c>
      <c r="M1112" s="14" t="s">
        <v>30</v>
      </c>
      <c r="N1112" s="17">
        <v>160674</v>
      </c>
      <c r="O1112" s="17">
        <v>14583</v>
      </c>
      <c r="P1112" s="18">
        <v>85.6</v>
      </c>
      <c r="Q1112" s="15">
        <v>1</v>
      </c>
      <c r="R1112" s="19">
        <v>30</v>
      </c>
      <c r="S1112" s="19">
        <v>5</v>
      </c>
      <c r="T1112" s="15">
        <v>11</v>
      </c>
      <c r="U1112" s="19">
        <v>77</v>
      </c>
      <c r="V1112" s="14" t="s">
        <v>31</v>
      </c>
      <c r="W1112" s="14"/>
      <c r="X1112" s="14">
        <f>IF(V1112="Yes",1,0)</f>
        <v>0</v>
      </c>
      <c r="Y1112" s="14">
        <f>IF(H1112="Active",0,1)</f>
        <v>0</v>
      </c>
    </row>
    <row r="1113" spans="1:25" ht="18" customHeight="1" x14ac:dyDescent="0.35">
      <c r="A1113" s="14" t="s">
        <v>665</v>
      </c>
      <c r="B1113" s="14" t="s">
        <v>138</v>
      </c>
      <c r="C1113" s="14" t="s">
        <v>25</v>
      </c>
      <c r="D1113" s="15">
        <v>57</v>
      </c>
      <c r="E1113" s="14" t="s">
        <v>109</v>
      </c>
      <c r="F1113" s="14" t="s">
        <v>90</v>
      </c>
      <c r="G1113" s="16">
        <v>45611</v>
      </c>
      <c r="H1113" s="14" t="s">
        <v>26</v>
      </c>
      <c r="I1113" s="14" t="s">
        <v>36</v>
      </c>
      <c r="J1113" s="14" t="s">
        <v>2270</v>
      </c>
      <c r="K1113" s="14" t="s">
        <v>73</v>
      </c>
      <c r="L1113" s="14" t="s">
        <v>56</v>
      </c>
      <c r="M1113" s="14" t="s">
        <v>30</v>
      </c>
      <c r="N1113" s="17">
        <v>135098</v>
      </c>
      <c r="O1113" s="17">
        <v>37632</v>
      </c>
      <c r="P1113" s="18">
        <v>95.9</v>
      </c>
      <c r="Q1113" s="15">
        <v>10</v>
      </c>
      <c r="R1113" s="19">
        <v>29</v>
      </c>
      <c r="S1113" s="19">
        <v>4</v>
      </c>
      <c r="T1113" s="15">
        <v>40</v>
      </c>
      <c r="U1113" s="19">
        <v>80</v>
      </c>
      <c r="V1113" s="14" t="s">
        <v>31</v>
      </c>
      <c r="W1113" s="14"/>
      <c r="X1113" s="14">
        <f>IF(V1113="Yes",1,0)</f>
        <v>0</v>
      </c>
      <c r="Y1113" s="14">
        <f>IF(H1113="Active",0,1)</f>
        <v>0</v>
      </c>
    </row>
    <row r="1114" spans="1:25" ht="18" customHeight="1" x14ac:dyDescent="0.35">
      <c r="A1114" s="14" t="s">
        <v>1262</v>
      </c>
      <c r="B1114" s="14" t="s">
        <v>111</v>
      </c>
      <c r="C1114" s="14" t="s">
        <v>34</v>
      </c>
      <c r="D1114" s="15">
        <v>43</v>
      </c>
      <c r="E1114" s="14" t="s">
        <v>86</v>
      </c>
      <c r="F1114" s="14" t="s">
        <v>53</v>
      </c>
      <c r="G1114" s="16">
        <v>45611</v>
      </c>
      <c r="H1114" s="14" t="s">
        <v>26</v>
      </c>
      <c r="I1114" s="14" t="s">
        <v>36</v>
      </c>
      <c r="J1114" s="14" t="s">
        <v>2269</v>
      </c>
      <c r="K1114" s="14" t="s">
        <v>55</v>
      </c>
      <c r="L1114" s="14" t="s">
        <v>116</v>
      </c>
      <c r="M1114" s="14" t="s">
        <v>45</v>
      </c>
      <c r="N1114" s="17">
        <v>159517</v>
      </c>
      <c r="O1114" s="17">
        <v>14017</v>
      </c>
      <c r="P1114" s="18">
        <v>91.2</v>
      </c>
      <c r="Q1114" s="15">
        <v>10</v>
      </c>
      <c r="R1114" s="19">
        <v>13</v>
      </c>
      <c r="S1114" s="19">
        <v>1</v>
      </c>
      <c r="T1114" s="15">
        <v>32</v>
      </c>
      <c r="U1114" s="19">
        <v>93</v>
      </c>
      <c r="V1114" s="14" t="s">
        <v>31</v>
      </c>
      <c r="W1114" s="14"/>
      <c r="X1114" s="14">
        <f>IF(V1114="Yes",1,0)</f>
        <v>0</v>
      </c>
      <c r="Y1114" s="14">
        <f>IF(H1114="Active",0,1)</f>
        <v>0</v>
      </c>
    </row>
    <row r="1115" spans="1:25" ht="18" customHeight="1" x14ac:dyDescent="0.35">
      <c r="A1115" s="14" t="s">
        <v>1390</v>
      </c>
      <c r="B1115" s="14" t="s">
        <v>293</v>
      </c>
      <c r="C1115" s="14" t="s">
        <v>34</v>
      </c>
      <c r="D1115" s="15">
        <v>54</v>
      </c>
      <c r="E1115" s="14" t="s">
        <v>86</v>
      </c>
      <c r="F1115" s="14" t="s">
        <v>35</v>
      </c>
      <c r="G1115" s="16">
        <v>45611</v>
      </c>
      <c r="H1115" s="14" t="s">
        <v>26</v>
      </c>
      <c r="I1115" s="14" t="s">
        <v>36</v>
      </c>
      <c r="J1115" s="14" t="s">
        <v>80</v>
      </c>
      <c r="K1115" s="14" t="s">
        <v>73</v>
      </c>
      <c r="L1115" s="14" t="s">
        <v>68</v>
      </c>
      <c r="M1115" s="14" t="s">
        <v>39</v>
      </c>
      <c r="N1115" s="17">
        <v>39086</v>
      </c>
      <c r="O1115" s="17">
        <v>36630</v>
      </c>
      <c r="P1115" s="18">
        <v>90.5</v>
      </c>
      <c r="Q1115" s="15">
        <v>1</v>
      </c>
      <c r="R1115" s="19">
        <v>10</v>
      </c>
      <c r="S1115" s="19">
        <v>3</v>
      </c>
      <c r="T1115" s="15">
        <v>18</v>
      </c>
      <c r="U1115" s="19">
        <v>65</v>
      </c>
      <c r="V1115" s="14" t="s">
        <v>31</v>
      </c>
      <c r="W1115" s="14"/>
      <c r="X1115" s="14">
        <f>IF(V1115="Yes",1,0)</f>
        <v>0</v>
      </c>
      <c r="Y1115" s="14">
        <f>IF(H1115="Active",0,1)</f>
        <v>0</v>
      </c>
    </row>
    <row r="1116" spans="1:25" ht="18" customHeight="1" x14ac:dyDescent="0.35">
      <c r="A1116" s="14" t="s">
        <v>1574</v>
      </c>
      <c r="B1116" s="14" t="s">
        <v>630</v>
      </c>
      <c r="C1116" s="14" t="s">
        <v>34</v>
      </c>
      <c r="D1116" s="15">
        <v>49</v>
      </c>
      <c r="E1116" s="14" t="s">
        <v>42</v>
      </c>
      <c r="F1116" s="14" t="s">
        <v>35</v>
      </c>
      <c r="G1116" s="16">
        <v>45611</v>
      </c>
      <c r="H1116" s="14" t="s">
        <v>26</v>
      </c>
      <c r="I1116" s="14" t="s">
        <v>27</v>
      </c>
      <c r="J1116" s="14" t="s">
        <v>2269</v>
      </c>
      <c r="K1116" s="14" t="s">
        <v>73</v>
      </c>
      <c r="L1116" s="14" t="s">
        <v>116</v>
      </c>
      <c r="M1116" s="14" t="s">
        <v>60</v>
      </c>
      <c r="N1116" s="17">
        <v>186610</v>
      </c>
      <c r="O1116" s="17">
        <v>36873</v>
      </c>
      <c r="P1116" s="18">
        <v>98.5</v>
      </c>
      <c r="Q1116" s="15">
        <v>1</v>
      </c>
      <c r="R1116" s="19">
        <v>30</v>
      </c>
      <c r="S1116" s="19">
        <v>2</v>
      </c>
      <c r="T1116" s="15">
        <v>37</v>
      </c>
      <c r="U1116" s="19">
        <v>81</v>
      </c>
      <c r="V1116" s="14" t="s">
        <v>69</v>
      </c>
      <c r="W1116" s="14"/>
      <c r="X1116" s="14">
        <f>IF(V1116="Yes",1,0)</f>
        <v>1</v>
      </c>
      <c r="Y1116" s="14">
        <f>IF(H1116="Active",0,1)</f>
        <v>0</v>
      </c>
    </row>
    <row r="1117" spans="1:25" ht="18" customHeight="1" x14ac:dyDescent="0.35">
      <c r="A1117" s="14" t="s">
        <v>2050</v>
      </c>
      <c r="B1117" s="14" t="s">
        <v>624</v>
      </c>
      <c r="C1117" s="14" t="s">
        <v>25</v>
      </c>
      <c r="D1117" s="15">
        <v>41</v>
      </c>
      <c r="E1117" s="14" t="s">
        <v>2303</v>
      </c>
      <c r="F1117" s="14" t="s">
        <v>12</v>
      </c>
      <c r="G1117" s="16">
        <v>45611</v>
      </c>
      <c r="H1117" s="14" t="s">
        <v>26</v>
      </c>
      <c r="I1117" s="14" t="s">
        <v>27</v>
      </c>
      <c r="J1117" s="14" t="s">
        <v>2268</v>
      </c>
      <c r="K1117" s="14" t="s">
        <v>37</v>
      </c>
      <c r="L1117" s="14" t="s">
        <v>56</v>
      </c>
      <c r="M1117" s="14" t="s">
        <v>60</v>
      </c>
      <c r="N1117" s="17">
        <v>52921</v>
      </c>
      <c r="O1117" s="17">
        <v>28558</v>
      </c>
      <c r="P1117" s="18">
        <v>92.9</v>
      </c>
      <c r="Q1117" s="15">
        <v>7</v>
      </c>
      <c r="R1117" s="19">
        <v>15</v>
      </c>
      <c r="S1117" s="19">
        <v>1</v>
      </c>
      <c r="T1117" s="15">
        <v>14</v>
      </c>
      <c r="U1117" s="19">
        <v>91</v>
      </c>
      <c r="V1117" s="14" t="s">
        <v>69</v>
      </c>
      <c r="W1117" s="14"/>
      <c r="X1117" s="14">
        <f>IF(V1117="Yes",1,0)</f>
        <v>1</v>
      </c>
      <c r="Y1117" s="14">
        <f>IF(H1117="Active",0,1)</f>
        <v>0</v>
      </c>
    </row>
    <row r="1118" spans="1:25" ht="18" customHeight="1" x14ac:dyDescent="0.35">
      <c r="A1118" s="14" t="s">
        <v>1492</v>
      </c>
      <c r="B1118" s="14" t="s">
        <v>305</v>
      </c>
      <c r="C1118" s="14" t="s">
        <v>25</v>
      </c>
      <c r="D1118" s="15">
        <v>60</v>
      </c>
      <c r="E1118" s="14" t="s">
        <v>67</v>
      </c>
      <c r="F1118" s="14" t="s">
        <v>72</v>
      </c>
      <c r="G1118" s="16">
        <v>45610</v>
      </c>
      <c r="H1118" s="14" t="s">
        <v>26</v>
      </c>
      <c r="I1118" s="14" t="s">
        <v>36</v>
      </c>
      <c r="J1118" s="14" t="s">
        <v>48</v>
      </c>
      <c r="K1118" s="14" t="s">
        <v>55</v>
      </c>
      <c r="L1118" s="14" t="s">
        <v>56</v>
      </c>
      <c r="M1118" s="14" t="s">
        <v>45</v>
      </c>
      <c r="N1118" s="17">
        <v>192132</v>
      </c>
      <c r="O1118" s="17">
        <v>35017</v>
      </c>
      <c r="P1118" s="18">
        <v>93.5</v>
      </c>
      <c r="Q1118" s="15">
        <v>7</v>
      </c>
      <c r="R1118" s="19">
        <v>26</v>
      </c>
      <c r="S1118" s="19">
        <v>1</v>
      </c>
      <c r="T1118" s="15">
        <v>26</v>
      </c>
      <c r="U1118" s="19">
        <v>67</v>
      </c>
      <c r="V1118" s="14" t="s">
        <v>31</v>
      </c>
      <c r="W1118" s="14"/>
      <c r="X1118" s="14">
        <f>IF(V1118="Yes",1,0)</f>
        <v>0</v>
      </c>
      <c r="Y1118" s="14">
        <f>IF(H1118="Active",0,1)</f>
        <v>0</v>
      </c>
    </row>
    <row r="1119" spans="1:25" ht="18" customHeight="1" x14ac:dyDescent="0.35">
      <c r="A1119" s="14" t="s">
        <v>2178</v>
      </c>
      <c r="B1119" s="14" t="s">
        <v>701</v>
      </c>
      <c r="C1119" s="14" t="s">
        <v>34</v>
      </c>
      <c r="D1119" s="15">
        <v>60</v>
      </c>
      <c r="E1119" s="14" t="s">
        <v>52</v>
      </c>
      <c r="F1119" s="14" t="s">
        <v>90</v>
      </c>
      <c r="G1119" s="16">
        <v>45610</v>
      </c>
      <c r="H1119" s="14" t="s">
        <v>26</v>
      </c>
      <c r="I1119" s="14" t="s">
        <v>36</v>
      </c>
      <c r="J1119" s="14" t="s">
        <v>48</v>
      </c>
      <c r="K1119" s="14" t="s">
        <v>2271</v>
      </c>
      <c r="L1119" s="14" t="s">
        <v>49</v>
      </c>
      <c r="M1119" s="14" t="s">
        <v>64</v>
      </c>
      <c r="N1119" s="17">
        <v>103611</v>
      </c>
      <c r="O1119" s="17">
        <v>19126</v>
      </c>
      <c r="P1119" s="18">
        <v>86.2</v>
      </c>
      <c r="Q1119" s="15">
        <v>7</v>
      </c>
      <c r="R1119" s="19">
        <v>30</v>
      </c>
      <c r="S1119" s="19">
        <v>2</v>
      </c>
      <c r="T1119" s="15">
        <v>35</v>
      </c>
      <c r="U1119" s="19">
        <v>66</v>
      </c>
      <c r="V1119" s="14" t="s">
        <v>31</v>
      </c>
      <c r="W1119" s="14"/>
      <c r="X1119" s="14">
        <f>IF(V1119="Yes",1,0)</f>
        <v>0</v>
      </c>
      <c r="Y1119" s="14">
        <f>IF(H1119="Active",0,1)</f>
        <v>0</v>
      </c>
    </row>
    <row r="1120" spans="1:25" ht="18" customHeight="1" x14ac:dyDescent="0.35">
      <c r="A1120" s="8" t="s">
        <v>269</v>
      </c>
      <c r="B1120" s="8" t="s">
        <v>270</v>
      </c>
      <c r="C1120" s="8" t="s">
        <v>34</v>
      </c>
      <c r="D1120" s="9">
        <v>27</v>
      </c>
      <c r="E1120" s="8" t="s">
        <v>109</v>
      </c>
      <c r="F1120" s="8" t="s">
        <v>43</v>
      </c>
      <c r="G1120" s="10">
        <v>45609</v>
      </c>
      <c r="H1120" s="8" t="s">
        <v>26</v>
      </c>
      <c r="I1120" s="8" t="s">
        <v>27</v>
      </c>
      <c r="J1120" s="8" t="s">
        <v>2270</v>
      </c>
      <c r="K1120" s="8" t="s">
        <v>2271</v>
      </c>
      <c r="L1120" s="8" t="s">
        <v>68</v>
      </c>
      <c r="M1120" s="8" t="s">
        <v>60</v>
      </c>
      <c r="N1120" s="11">
        <v>241276</v>
      </c>
      <c r="O1120" s="11">
        <v>47345</v>
      </c>
      <c r="P1120" s="12">
        <v>93.6</v>
      </c>
      <c r="Q1120" s="9">
        <v>0</v>
      </c>
      <c r="R1120" s="13">
        <v>10</v>
      </c>
      <c r="S1120" s="13">
        <v>2</v>
      </c>
      <c r="T1120" s="9">
        <v>20</v>
      </c>
      <c r="U1120" s="13">
        <v>75</v>
      </c>
      <c r="V1120" s="8" t="s">
        <v>31</v>
      </c>
      <c r="W1120" s="8"/>
      <c r="X1120" s="22">
        <f>IF(V1120="Yes",1,0)</f>
        <v>0</v>
      </c>
      <c r="Y1120" s="22">
        <f>IF(H1120="Active",0,1)</f>
        <v>0</v>
      </c>
    </row>
    <row r="1121" spans="1:25" ht="18" customHeight="1" x14ac:dyDescent="0.35">
      <c r="A1121" s="8" t="s">
        <v>950</v>
      </c>
      <c r="B1121" s="8" t="s">
        <v>358</v>
      </c>
      <c r="C1121" s="8" t="s">
        <v>25</v>
      </c>
      <c r="D1121" s="9">
        <v>53</v>
      </c>
      <c r="E1121" s="8" t="s">
        <v>67</v>
      </c>
      <c r="F1121" s="8" t="s">
        <v>43</v>
      </c>
      <c r="G1121" s="10">
        <v>45609</v>
      </c>
      <c r="H1121" s="8" t="s">
        <v>26</v>
      </c>
      <c r="I1121" s="8" t="s">
        <v>36</v>
      </c>
      <c r="J1121" s="8" t="s">
        <v>80</v>
      </c>
      <c r="K1121" s="8" t="s">
        <v>28</v>
      </c>
      <c r="L1121" s="8" t="s">
        <v>68</v>
      </c>
      <c r="M1121" s="8" t="s">
        <v>45</v>
      </c>
      <c r="N1121" s="11">
        <v>94773</v>
      </c>
      <c r="O1121" s="11">
        <v>35108</v>
      </c>
      <c r="P1121" s="12">
        <v>83</v>
      </c>
      <c r="Q1121" s="9">
        <v>0</v>
      </c>
      <c r="R1121" s="13">
        <v>28</v>
      </c>
      <c r="S1121" s="13">
        <v>5</v>
      </c>
      <c r="T1121" s="9">
        <v>27</v>
      </c>
      <c r="U1121" s="13">
        <v>88</v>
      </c>
      <c r="V1121" s="8" t="s">
        <v>31</v>
      </c>
      <c r="W1121" s="8"/>
      <c r="X1121" s="22">
        <f>IF(V1121="Yes",1,0)</f>
        <v>0</v>
      </c>
      <c r="Y1121" s="22">
        <f>IF(H1121="Active",0,1)</f>
        <v>0</v>
      </c>
    </row>
    <row r="1122" spans="1:25" ht="18" customHeight="1" x14ac:dyDescent="0.35">
      <c r="A1122" s="8" t="s">
        <v>1049</v>
      </c>
      <c r="B1122" s="8" t="s">
        <v>323</v>
      </c>
      <c r="C1122" s="8" t="s">
        <v>25</v>
      </c>
      <c r="D1122" s="9">
        <v>60</v>
      </c>
      <c r="E1122" s="8" t="s">
        <v>42</v>
      </c>
      <c r="F1122" s="8" t="s">
        <v>76</v>
      </c>
      <c r="G1122" s="10">
        <v>45609</v>
      </c>
      <c r="H1122" s="8" t="s">
        <v>26</v>
      </c>
      <c r="I1122" s="8" t="s">
        <v>36</v>
      </c>
      <c r="J1122" s="8" t="s">
        <v>80</v>
      </c>
      <c r="K1122" s="8" t="s">
        <v>2271</v>
      </c>
      <c r="L1122" s="8" t="s">
        <v>44</v>
      </c>
      <c r="M1122" s="8" t="s">
        <v>45</v>
      </c>
      <c r="N1122" s="11">
        <v>181176</v>
      </c>
      <c r="O1122" s="11">
        <v>17952</v>
      </c>
      <c r="P1122" s="12">
        <v>81.8</v>
      </c>
      <c r="Q1122" s="9">
        <v>2</v>
      </c>
      <c r="R1122" s="13">
        <v>17</v>
      </c>
      <c r="S1122" s="13">
        <v>3</v>
      </c>
      <c r="T1122" s="9">
        <v>32</v>
      </c>
      <c r="U1122" s="13">
        <v>67</v>
      </c>
      <c r="V1122" s="8" t="s">
        <v>31</v>
      </c>
      <c r="W1122" s="8"/>
      <c r="X1122" s="22">
        <f>IF(V1122="Yes",1,0)</f>
        <v>0</v>
      </c>
      <c r="Y1122" s="22">
        <f>IF(H1122="Active",0,1)</f>
        <v>0</v>
      </c>
    </row>
    <row r="1123" spans="1:25" ht="18" customHeight="1" x14ac:dyDescent="0.35">
      <c r="A1123" s="14" t="s">
        <v>1434</v>
      </c>
      <c r="B1123" s="14" t="s">
        <v>314</v>
      </c>
      <c r="C1123" s="14" t="s">
        <v>25</v>
      </c>
      <c r="D1123" s="15">
        <v>21</v>
      </c>
      <c r="E1123" s="14" t="s">
        <v>2303</v>
      </c>
      <c r="F1123" s="14" t="s">
        <v>12</v>
      </c>
      <c r="G1123" s="16">
        <v>45609</v>
      </c>
      <c r="H1123" s="14" t="s">
        <v>26</v>
      </c>
      <c r="I1123" s="14" t="s">
        <v>27</v>
      </c>
      <c r="J1123" s="14" t="s">
        <v>48</v>
      </c>
      <c r="K1123" s="14" t="s">
        <v>73</v>
      </c>
      <c r="L1123" s="14" t="s">
        <v>29</v>
      </c>
      <c r="M1123" s="14" t="s">
        <v>45</v>
      </c>
      <c r="N1123" s="17">
        <v>206396</v>
      </c>
      <c r="O1123" s="17">
        <v>16249</v>
      </c>
      <c r="P1123" s="18">
        <v>82</v>
      </c>
      <c r="Q1123" s="15">
        <v>6</v>
      </c>
      <c r="R1123" s="19">
        <v>5</v>
      </c>
      <c r="S1123" s="19">
        <v>4</v>
      </c>
      <c r="T1123" s="15">
        <v>23</v>
      </c>
      <c r="U1123" s="19">
        <v>95</v>
      </c>
      <c r="V1123" s="14" t="s">
        <v>69</v>
      </c>
      <c r="W1123" s="14"/>
      <c r="X1123" s="14">
        <f>IF(V1123="Yes",1,0)</f>
        <v>1</v>
      </c>
      <c r="Y1123" s="14">
        <f>IF(H1123="Active",0,1)</f>
        <v>0</v>
      </c>
    </row>
    <row r="1124" spans="1:25" ht="18" customHeight="1" x14ac:dyDescent="0.35">
      <c r="A1124" s="14" t="s">
        <v>1672</v>
      </c>
      <c r="B1124" s="14" t="s">
        <v>694</v>
      </c>
      <c r="C1124" s="14" t="s">
        <v>25</v>
      </c>
      <c r="D1124" s="15">
        <v>29</v>
      </c>
      <c r="E1124" s="14" t="s">
        <v>93</v>
      </c>
      <c r="F1124" s="14" t="s">
        <v>76</v>
      </c>
      <c r="G1124" s="16">
        <v>45609</v>
      </c>
      <c r="H1124" s="14" t="s">
        <v>26</v>
      </c>
      <c r="I1124" s="14" t="s">
        <v>27</v>
      </c>
      <c r="J1124" s="14" t="s">
        <v>80</v>
      </c>
      <c r="K1124" s="14" t="s">
        <v>37</v>
      </c>
      <c r="L1124" s="14" t="s">
        <v>116</v>
      </c>
      <c r="M1124" s="14" t="s">
        <v>30</v>
      </c>
      <c r="N1124" s="17">
        <v>162625</v>
      </c>
      <c r="O1124" s="17">
        <v>38751</v>
      </c>
      <c r="P1124" s="18">
        <v>93.4</v>
      </c>
      <c r="Q1124" s="15">
        <v>9</v>
      </c>
      <c r="R1124" s="19">
        <v>30</v>
      </c>
      <c r="S1124" s="19">
        <v>5</v>
      </c>
      <c r="T1124" s="15">
        <v>14</v>
      </c>
      <c r="U1124" s="19">
        <v>63</v>
      </c>
      <c r="V1124" s="14" t="s">
        <v>69</v>
      </c>
      <c r="W1124" s="14"/>
      <c r="X1124" s="14">
        <f>IF(V1124="Yes",1,0)</f>
        <v>1</v>
      </c>
      <c r="Y1124" s="14">
        <f>IF(H1124="Active",0,1)</f>
        <v>0</v>
      </c>
    </row>
    <row r="1125" spans="1:25" ht="18" customHeight="1" x14ac:dyDescent="0.35">
      <c r="A1125" s="8" t="s">
        <v>1735</v>
      </c>
      <c r="B1125" s="8" t="s">
        <v>270</v>
      </c>
      <c r="C1125" s="8" t="s">
        <v>25</v>
      </c>
      <c r="D1125" s="9">
        <v>30</v>
      </c>
      <c r="E1125" s="8" t="s">
        <v>63</v>
      </c>
      <c r="F1125" s="8" t="s">
        <v>76</v>
      </c>
      <c r="G1125" s="10">
        <v>45609</v>
      </c>
      <c r="H1125" s="8" t="s">
        <v>54</v>
      </c>
      <c r="I1125" s="8" t="s">
        <v>2267</v>
      </c>
      <c r="J1125" s="8" t="s">
        <v>2268</v>
      </c>
      <c r="K1125" s="8" t="s">
        <v>55</v>
      </c>
      <c r="L1125" s="8" t="s">
        <v>87</v>
      </c>
      <c r="M1125" s="8" t="s">
        <v>30</v>
      </c>
      <c r="N1125" s="11">
        <v>230263</v>
      </c>
      <c r="O1125" s="11">
        <v>5549</v>
      </c>
      <c r="P1125" s="12">
        <v>91.8</v>
      </c>
      <c r="Q1125" s="9">
        <v>6</v>
      </c>
      <c r="R1125" s="13">
        <v>12</v>
      </c>
      <c r="S1125" s="13">
        <v>3</v>
      </c>
      <c r="T1125" s="9">
        <v>18</v>
      </c>
      <c r="U1125" s="13">
        <v>91</v>
      </c>
      <c r="V1125" s="8" t="s">
        <v>69</v>
      </c>
      <c r="W1125" s="8" t="s">
        <v>83</v>
      </c>
      <c r="X1125" s="22">
        <f>IF(V1125="Yes",1,0)</f>
        <v>1</v>
      </c>
      <c r="Y1125" s="22">
        <f>IF(H1125="Active",0,1)</f>
        <v>1</v>
      </c>
    </row>
    <row r="1126" spans="1:25" ht="18" customHeight="1" x14ac:dyDescent="0.35">
      <c r="A1126" s="8" t="s">
        <v>1839</v>
      </c>
      <c r="B1126" s="8" t="s">
        <v>372</v>
      </c>
      <c r="C1126" s="8" t="s">
        <v>34</v>
      </c>
      <c r="D1126" s="9">
        <v>26</v>
      </c>
      <c r="E1126" s="8" t="s">
        <v>67</v>
      </c>
      <c r="F1126" s="8" t="s">
        <v>90</v>
      </c>
      <c r="G1126" s="10">
        <v>45609</v>
      </c>
      <c r="H1126" s="8" t="s">
        <v>26</v>
      </c>
      <c r="I1126" s="8" t="s">
        <v>27</v>
      </c>
      <c r="J1126" s="8" t="s">
        <v>48</v>
      </c>
      <c r="K1126" s="8" t="s">
        <v>73</v>
      </c>
      <c r="L1126" s="8" t="s">
        <v>49</v>
      </c>
      <c r="M1126" s="8" t="s">
        <v>39</v>
      </c>
      <c r="N1126" s="11">
        <v>77156</v>
      </c>
      <c r="O1126" s="11">
        <v>13021</v>
      </c>
      <c r="P1126" s="12">
        <v>95.4</v>
      </c>
      <c r="Q1126" s="9">
        <v>1</v>
      </c>
      <c r="R1126" s="13">
        <v>19</v>
      </c>
      <c r="S1126" s="13">
        <v>3</v>
      </c>
      <c r="T1126" s="9">
        <v>31</v>
      </c>
      <c r="U1126" s="13">
        <v>84</v>
      </c>
      <c r="V1126" s="8" t="s">
        <v>31</v>
      </c>
      <c r="W1126" s="8"/>
      <c r="X1126" s="22">
        <f>IF(V1126="Yes",1,0)</f>
        <v>0</v>
      </c>
      <c r="Y1126" s="22">
        <f>IF(H1126="Active",0,1)</f>
        <v>0</v>
      </c>
    </row>
    <row r="1127" spans="1:25" ht="18" customHeight="1" x14ac:dyDescent="0.35">
      <c r="A1127" s="14" t="s">
        <v>187</v>
      </c>
      <c r="B1127" s="14" t="s">
        <v>157</v>
      </c>
      <c r="C1127" s="14" t="s">
        <v>25</v>
      </c>
      <c r="D1127" s="15">
        <v>42</v>
      </c>
      <c r="E1127" s="14" t="s">
        <v>52</v>
      </c>
      <c r="F1127" s="14" t="s">
        <v>43</v>
      </c>
      <c r="G1127" s="16">
        <v>45608</v>
      </c>
      <c r="H1127" s="14" t="s">
        <v>26</v>
      </c>
      <c r="I1127" s="14" t="s">
        <v>27</v>
      </c>
      <c r="J1127" s="14" t="s">
        <v>2269</v>
      </c>
      <c r="K1127" s="14" t="s">
        <v>55</v>
      </c>
      <c r="L1127" s="14" t="s">
        <v>38</v>
      </c>
      <c r="M1127" s="14" t="s">
        <v>39</v>
      </c>
      <c r="N1127" s="17">
        <v>140909</v>
      </c>
      <c r="O1127" s="17">
        <v>44714</v>
      </c>
      <c r="P1127" s="18">
        <v>90.6</v>
      </c>
      <c r="Q1127" s="15">
        <v>6</v>
      </c>
      <c r="R1127" s="19">
        <v>24</v>
      </c>
      <c r="S1127" s="19">
        <v>1</v>
      </c>
      <c r="T1127" s="15">
        <v>40</v>
      </c>
      <c r="U1127" s="19">
        <v>60</v>
      </c>
      <c r="V1127" s="14" t="s">
        <v>69</v>
      </c>
      <c r="W1127" s="14"/>
      <c r="X1127" s="14">
        <f>IF(V1127="Yes",1,0)</f>
        <v>1</v>
      </c>
      <c r="Y1127" s="14">
        <f>IF(H1127="Active",0,1)</f>
        <v>0</v>
      </c>
    </row>
    <row r="1128" spans="1:25" ht="18" customHeight="1" x14ac:dyDescent="0.35">
      <c r="A1128" s="14" t="s">
        <v>449</v>
      </c>
      <c r="B1128" s="14" t="s">
        <v>333</v>
      </c>
      <c r="C1128" s="14" t="s">
        <v>25</v>
      </c>
      <c r="D1128" s="15">
        <v>31</v>
      </c>
      <c r="E1128" s="14" t="s">
        <v>52</v>
      </c>
      <c r="F1128" s="14" t="s">
        <v>53</v>
      </c>
      <c r="G1128" s="16">
        <v>45608</v>
      </c>
      <c r="H1128" s="14" t="s">
        <v>26</v>
      </c>
      <c r="I1128" s="14" t="s">
        <v>27</v>
      </c>
      <c r="J1128" s="14" t="s">
        <v>2270</v>
      </c>
      <c r="K1128" s="14" t="s">
        <v>37</v>
      </c>
      <c r="L1128" s="14" t="s">
        <v>38</v>
      </c>
      <c r="M1128" s="14" t="s">
        <v>30</v>
      </c>
      <c r="N1128" s="17">
        <v>139563</v>
      </c>
      <c r="O1128" s="17">
        <v>30188</v>
      </c>
      <c r="P1128" s="18">
        <v>87</v>
      </c>
      <c r="Q1128" s="15">
        <v>4</v>
      </c>
      <c r="R1128" s="19">
        <v>30</v>
      </c>
      <c r="S1128" s="19">
        <v>1</v>
      </c>
      <c r="T1128" s="15">
        <v>12</v>
      </c>
      <c r="U1128" s="19">
        <v>98</v>
      </c>
      <c r="V1128" s="14" t="s">
        <v>31</v>
      </c>
      <c r="W1128" s="14"/>
      <c r="X1128" s="14">
        <f>IF(V1128="Yes",1,0)</f>
        <v>0</v>
      </c>
      <c r="Y1128" s="14">
        <f>IF(H1128="Active",0,1)</f>
        <v>0</v>
      </c>
    </row>
    <row r="1129" spans="1:25" ht="18" customHeight="1" x14ac:dyDescent="0.35">
      <c r="A1129" s="14" t="s">
        <v>831</v>
      </c>
      <c r="B1129" s="14" t="s">
        <v>464</v>
      </c>
      <c r="C1129" s="14" t="s">
        <v>34</v>
      </c>
      <c r="D1129" s="15">
        <v>45</v>
      </c>
      <c r="E1129" s="14" t="s">
        <v>42</v>
      </c>
      <c r="F1129" s="14" t="s">
        <v>12</v>
      </c>
      <c r="G1129" s="16">
        <v>45608</v>
      </c>
      <c r="H1129" s="14" t="s">
        <v>54</v>
      </c>
      <c r="I1129" s="14" t="s">
        <v>27</v>
      </c>
      <c r="J1129" s="14" t="s">
        <v>2268</v>
      </c>
      <c r="K1129" s="14" t="s">
        <v>2271</v>
      </c>
      <c r="L1129" s="14" t="s">
        <v>87</v>
      </c>
      <c r="M1129" s="14" t="s">
        <v>64</v>
      </c>
      <c r="N1129" s="17">
        <v>46027</v>
      </c>
      <c r="O1129" s="17">
        <v>16099</v>
      </c>
      <c r="P1129" s="18">
        <v>93.9</v>
      </c>
      <c r="Q1129" s="15">
        <v>3</v>
      </c>
      <c r="R1129" s="19">
        <v>19</v>
      </c>
      <c r="S1129" s="19">
        <v>3</v>
      </c>
      <c r="T1129" s="15">
        <v>30</v>
      </c>
      <c r="U1129" s="19">
        <v>99</v>
      </c>
      <c r="V1129" s="14" t="s">
        <v>31</v>
      </c>
      <c r="W1129" s="14" t="s">
        <v>83</v>
      </c>
      <c r="X1129" s="14">
        <f>IF(V1129="Yes",1,0)</f>
        <v>0</v>
      </c>
      <c r="Y1129" s="14">
        <f>IF(H1129="Active",0,1)</f>
        <v>1</v>
      </c>
    </row>
    <row r="1130" spans="1:25" ht="18" customHeight="1" x14ac:dyDescent="0.35">
      <c r="A1130" s="14" t="s">
        <v>1610</v>
      </c>
      <c r="B1130" s="14" t="s">
        <v>531</v>
      </c>
      <c r="C1130" s="14" t="s">
        <v>25</v>
      </c>
      <c r="D1130" s="15">
        <v>49</v>
      </c>
      <c r="E1130" s="14" t="s">
        <v>52</v>
      </c>
      <c r="F1130" s="14" t="s">
        <v>72</v>
      </c>
      <c r="G1130" s="16">
        <v>45608</v>
      </c>
      <c r="H1130" s="14" t="s">
        <v>26</v>
      </c>
      <c r="I1130" s="14" t="s">
        <v>2267</v>
      </c>
      <c r="J1130" s="14" t="s">
        <v>2268</v>
      </c>
      <c r="K1130" s="14" t="s">
        <v>28</v>
      </c>
      <c r="L1130" s="14" t="s">
        <v>68</v>
      </c>
      <c r="M1130" s="14" t="s">
        <v>60</v>
      </c>
      <c r="N1130" s="17">
        <v>180459</v>
      </c>
      <c r="O1130" s="17">
        <v>8514</v>
      </c>
      <c r="P1130" s="18">
        <v>84.6</v>
      </c>
      <c r="Q1130" s="15">
        <v>2</v>
      </c>
      <c r="R1130" s="19">
        <v>11</v>
      </c>
      <c r="S1130" s="19">
        <v>2</v>
      </c>
      <c r="T1130" s="15">
        <v>1</v>
      </c>
      <c r="U1130" s="19">
        <v>80</v>
      </c>
      <c r="V1130" s="14" t="s">
        <v>69</v>
      </c>
      <c r="W1130" s="14"/>
      <c r="X1130" s="14">
        <f>IF(V1130="Yes",1,0)</f>
        <v>1</v>
      </c>
      <c r="Y1130" s="14">
        <f>IF(H1130="Active",0,1)</f>
        <v>0</v>
      </c>
    </row>
    <row r="1131" spans="1:25" ht="18" customHeight="1" x14ac:dyDescent="0.35">
      <c r="A1131" s="14" t="s">
        <v>1096</v>
      </c>
      <c r="B1131" s="14" t="s">
        <v>118</v>
      </c>
      <c r="C1131" s="14" t="s">
        <v>25</v>
      </c>
      <c r="D1131" s="15">
        <v>56</v>
      </c>
      <c r="E1131" s="14" t="s">
        <v>2303</v>
      </c>
      <c r="F1131" s="14" t="s">
        <v>79</v>
      </c>
      <c r="G1131" s="16">
        <v>45607</v>
      </c>
      <c r="H1131" s="14" t="s">
        <v>26</v>
      </c>
      <c r="I1131" s="14" t="s">
        <v>36</v>
      </c>
      <c r="J1131" s="14" t="s">
        <v>2269</v>
      </c>
      <c r="K1131" s="14" t="s">
        <v>2271</v>
      </c>
      <c r="L1131" s="14" t="s">
        <v>44</v>
      </c>
      <c r="M1131" s="14" t="s">
        <v>39</v>
      </c>
      <c r="N1131" s="17">
        <v>194838</v>
      </c>
      <c r="O1131" s="17">
        <v>12219</v>
      </c>
      <c r="P1131" s="18">
        <v>82.5</v>
      </c>
      <c r="Q1131" s="15">
        <v>10</v>
      </c>
      <c r="R1131" s="19">
        <v>28</v>
      </c>
      <c r="S1131" s="19">
        <v>4</v>
      </c>
      <c r="T1131" s="15">
        <v>39</v>
      </c>
      <c r="U1131" s="19">
        <v>67</v>
      </c>
      <c r="V1131" s="14" t="s">
        <v>31</v>
      </c>
      <c r="W1131" s="14"/>
      <c r="X1131" s="14">
        <f>IF(V1131="Yes",1,0)</f>
        <v>0</v>
      </c>
      <c r="Y1131" s="14">
        <f>IF(H1131="Active",0,1)</f>
        <v>0</v>
      </c>
    </row>
    <row r="1132" spans="1:25" ht="18" customHeight="1" x14ac:dyDescent="0.35">
      <c r="A1132" s="8" t="s">
        <v>192</v>
      </c>
      <c r="B1132" s="8" t="s">
        <v>193</v>
      </c>
      <c r="C1132" s="8" t="s">
        <v>34</v>
      </c>
      <c r="D1132" s="9">
        <v>43</v>
      </c>
      <c r="E1132" s="8" t="s">
        <v>93</v>
      </c>
      <c r="F1132" s="8" t="s">
        <v>76</v>
      </c>
      <c r="G1132" s="10">
        <v>45606</v>
      </c>
      <c r="H1132" s="8" t="s">
        <v>54</v>
      </c>
      <c r="I1132" s="8" t="s">
        <v>27</v>
      </c>
      <c r="J1132" s="8" t="s">
        <v>48</v>
      </c>
      <c r="K1132" s="8" t="s">
        <v>55</v>
      </c>
      <c r="L1132" s="8" t="s">
        <v>116</v>
      </c>
      <c r="M1132" s="8" t="s">
        <v>45</v>
      </c>
      <c r="N1132" s="11">
        <v>160921</v>
      </c>
      <c r="O1132" s="11">
        <v>13257</v>
      </c>
      <c r="P1132" s="12">
        <v>95.1</v>
      </c>
      <c r="Q1132" s="9">
        <v>3</v>
      </c>
      <c r="R1132" s="13">
        <v>25</v>
      </c>
      <c r="S1132" s="13">
        <v>2</v>
      </c>
      <c r="T1132" s="9">
        <v>13</v>
      </c>
      <c r="U1132" s="13">
        <v>81</v>
      </c>
      <c r="V1132" s="8" t="s">
        <v>31</v>
      </c>
      <c r="W1132" s="8" t="s">
        <v>83</v>
      </c>
      <c r="X1132" s="22">
        <f>IF(V1132="Yes",1,0)</f>
        <v>0</v>
      </c>
      <c r="Y1132" s="22">
        <f>IF(H1132="Active",0,1)</f>
        <v>1</v>
      </c>
    </row>
    <row r="1133" spans="1:25" ht="18" customHeight="1" x14ac:dyDescent="0.35">
      <c r="A1133" s="14" t="s">
        <v>1510</v>
      </c>
      <c r="B1133" s="14" t="s">
        <v>556</v>
      </c>
      <c r="C1133" s="14" t="s">
        <v>34</v>
      </c>
      <c r="D1133" s="15">
        <v>25</v>
      </c>
      <c r="E1133" s="14" t="s">
        <v>52</v>
      </c>
      <c r="F1133" s="14" t="s">
        <v>79</v>
      </c>
      <c r="G1133" s="16">
        <v>45606</v>
      </c>
      <c r="H1133" s="14" t="s">
        <v>26</v>
      </c>
      <c r="I1133" s="14" t="s">
        <v>36</v>
      </c>
      <c r="J1133" s="14" t="s">
        <v>2268</v>
      </c>
      <c r="K1133" s="14" t="s">
        <v>28</v>
      </c>
      <c r="L1133" s="14" t="s">
        <v>68</v>
      </c>
      <c r="M1133" s="14" t="s">
        <v>60</v>
      </c>
      <c r="N1133" s="17">
        <v>45209</v>
      </c>
      <c r="O1133" s="17">
        <v>43643</v>
      </c>
      <c r="P1133" s="18">
        <v>87.3</v>
      </c>
      <c r="Q1133" s="15">
        <v>3</v>
      </c>
      <c r="R1133" s="19">
        <v>18</v>
      </c>
      <c r="S1133" s="19">
        <v>1</v>
      </c>
      <c r="T1133" s="15">
        <v>9</v>
      </c>
      <c r="U1133" s="19">
        <v>81</v>
      </c>
      <c r="V1133" s="14" t="s">
        <v>31</v>
      </c>
      <c r="W1133" s="14"/>
      <c r="X1133" s="14">
        <f>IF(V1133="Yes",1,0)</f>
        <v>0</v>
      </c>
      <c r="Y1133" s="14">
        <f>IF(H1133="Active",0,1)</f>
        <v>0</v>
      </c>
    </row>
    <row r="1134" spans="1:25" ht="18" customHeight="1" x14ac:dyDescent="0.35">
      <c r="A1134" s="8" t="s">
        <v>1771</v>
      </c>
      <c r="B1134" s="8" t="s">
        <v>201</v>
      </c>
      <c r="C1134" s="8" t="s">
        <v>34</v>
      </c>
      <c r="D1134" s="9">
        <v>32</v>
      </c>
      <c r="E1134" s="8" t="s">
        <v>42</v>
      </c>
      <c r="F1134" s="8" t="s">
        <v>76</v>
      </c>
      <c r="G1134" s="10">
        <v>45606</v>
      </c>
      <c r="H1134" s="8" t="s">
        <v>26</v>
      </c>
      <c r="I1134" s="8" t="s">
        <v>27</v>
      </c>
      <c r="J1134" s="8" t="s">
        <v>48</v>
      </c>
      <c r="K1134" s="8" t="s">
        <v>2271</v>
      </c>
      <c r="L1134" s="8" t="s">
        <v>87</v>
      </c>
      <c r="M1134" s="8" t="s">
        <v>30</v>
      </c>
      <c r="N1134" s="11">
        <v>78342</v>
      </c>
      <c r="O1134" s="11">
        <v>25205</v>
      </c>
      <c r="P1134" s="12">
        <v>81.900000000000006</v>
      </c>
      <c r="Q1134" s="9">
        <v>10</v>
      </c>
      <c r="R1134" s="13">
        <v>18</v>
      </c>
      <c r="S1134" s="13">
        <v>5</v>
      </c>
      <c r="T1134" s="9">
        <v>0</v>
      </c>
      <c r="U1134" s="13">
        <v>82</v>
      </c>
      <c r="V1134" s="8" t="s">
        <v>31</v>
      </c>
      <c r="W1134" s="8"/>
      <c r="X1134" s="22">
        <f>IF(V1134="Yes",1,0)</f>
        <v>0</v>
      </c>
      <c r="Y1134" s="22">
        <f>IF(H1134="Active",0,1)</f>
        <v>0</v>
      </c>
    </row>
    <row r="1135" spans="1:25" ht="18" customHeight="1" x14ac:dyDescent="0.35">
      <c r="A1135" s="8" t="s">
        <v>999</v>
      </c>
      <c r="B1135" s="8" t="s">
        <v>540</v>
      </c>
      <c r="C1135" s="8" t="s">
        <v>34</v>
      </c>
      <c r="D1135" s="9">
        <v>50</v>
      </c>
      <c r="E1135" s="8" t="s">
        <v>93</v>
      </c>
      <c r="F1135" s="8" t="s">
        <v>72</v>
      </c>
      <c r="G1135" s="10">
        <v>45604</v>
      </c>
      <c r="H1135" s="8" t="s">
        <v>26</v>
      </c>
      <c r="I1135" s="8" t="s">
        <v>36</v>
      </c>
      <c r="J1135" s="8" t="s">
        <v>80</v>
      </c>
      <c r="K1135" s="8" t="s">
        <v>73</v>
      </c>
      <c r="L1135" s="8" t="s">
        <v>68</v>
      </c>
      <c r="M1135" s="8" t="s">
        <v>60</v>
      </c>
      <c r="N1135" s="11">
        <v>175514</v>
      </c>
      <c r="O1135" s="11">
        <v>19005</v>
      </c>
      <c r="P1135" s="12">
        <v>99.1</v>
      </c>
      <c r="Q1135" s="9">
        <v>9</v>
      </c>
      <c r="R1135" s="13">
        <v>3</v>
      </c>
      <c r="S1135" s="13">
        <v>3</v>
      </c>
      <c r="T1135" s="9">
        <v>2</v>
      </c>
      <c r="U1135" s="13">
        <v>89</v>
      </c>
      <c r="V1135" s="8" t="s">
        <v>31</v>
      </c>
      <c r="W1135" s="8"/>
      <c r="X1135" s="22">
        <f>IF(V1135="Yes",1,0)</f>
        <v>0</v>
      </c>
      <c r="Y1135" s="22">
        <f>IF(H1135="Active",0,1)</f>
        <v>0</v>
      </c>
    </row>
    <row r="1136" spans="1:25" ht="18" customHeight="1" x14ac:dyDescent="0.35">
      <c r="A1136" s="8" t="s">
        <v>970</v>
      </c>
      <c r="B1136" s="8" t="s">
        <v>246</v>
      </c>
      <c r="C1136" s="8" t="s">
        <v>34</v>
      </c>
      <c r="D1136" s="9">
        <v>35</v>
      </c>
      <c r="E1136" s="8" t="s">
        <v>2304</v>
      </c>
      <c r="F1136" s="8" t="s">
        <v>79</v>
      </c>
      <c r="G1136" s="10">
        <v>45603</v>
      </c>
      <c r="H1136" s="8" t="s">
        <v>26</v>
      </c>
      <c r="I1136" s="8" t="s">
        <v>2267</v>
      </c>
      <c r="J1136" s="8" t="s">
        <v>2268</v>
      </c>
      <c r="K1136" s="8" t="s">
        <v>2271</v>
      </c>
      <c r="L1136" s="8" t="s">
        <v>29</v>
      </c>
      <c r="M1136" s="8" t="s">
        <v>64</v>
      </c>
      <c r="N1136" s="11">
        <v>100619</v>
      </c>
      <c r="O1136" s="11">
        <v>16429</v>
      </c>
      <c r="P1136" s="12">
        <v>93.9</v>
      </c>
      <c r="Q1136" s="9">
        <v>10</v>
      </c>
      <c r="R1136" s="13">
        <v>25</v>
      </c>
      <c r="S1136" s="13">
        <v>3</v>
      </c>
      <c r="T1136" s="9">
        <v>7</v>
      </c>
      <c r="U1136" s="13">
        <v>68</v>
      </c>
      <c r="V1136" s="8" t="s">
        <v>31</v>
      </c>
      <c r="W1136" s="8"/>
      <c r="X1136" s="22">
        <f>IF(V1136="Yes",1,0)</f>
        <v>0</v>
      </c>
      <c r="Y1136" s="22">
        <f>IF(H1136="Active",0,1)</f>
        <v>0</v>
      </c>
    </row>
    <row r="1137" spans="1:25" ht="18" customHeight="1" x14ac:dyDescent="0.35">
      <c r="A1137" s="14" t="s">
        <v>1950</v>
      </c>
      <c r="B1137" s="14" t="s">
        <v>718</v>
      </c>
      <c r="C1137" s="14" t="s">
        <v>25</v>
      </c>
      <c r="D1137" s="15">
        <v>46</v>
      </c>
      <c r="E1137" s="14" t="s">
        <v>109</v>
      </c>
      <c r="F1137" s="14" t="s">
        <v>53</v>
      </c>
      <c r="G1137" s="16">
        <v>45603</v>
      </c>
      <c r="H1137" s="14" t="s">
        <v>26</v>
      </c>
      <c r="I1137" s="14" t="s">
        <v>27</v>
      </c>
      <c r="J1137" s="14" t="s">
        <v>48</v>
      </c>
      <c r="K1137" s="14" t="s">
        <v>55</v>
      </c>
      <c r="L1137" s="14" t="s">
        <v>49</v>
      </c>
      <c r="M1137" s="14" t="s">
        <v>45</v>
      </c>
      <c r="N1137" s="17">
        <v>155441</v>
      </c>
      <c r="O1137" s="17">
        <v>27161</v>
      </c>
      <c r="P1137" s="18">
        <v>100</v>
      </c>
      <c r="Q1137" s="15">
        <v>3</v>
      </c>
      <c r="R1137" s="19">
        <v>16</v>
      </c>
      <c r="S1137" s="19">
        <v>3</v>
      </c>
      <c r="T1137" s="15">
        <v>21</v>
      </c>
      <c r="U1137" s="19">
        <v>77</v>
      </c>
      <c r="V1137" s="14" t="s">
        <v>31</v>
      </c>
      <c r="W1137" s="14"/>
      <c r="X1137" s="14">
        <f>IF(V1137="Yes",1,0)</f>
        <v>0</v>
      </c>
      <c r="Y1137" s="14">
        <f>IF(H1137="Active",0,1)</f>
        <v>0</v>
      </c>
    </row>
    <row r="1138" spans="1:25" ht="18" customHeight="1" x14ac:dyDescent="0.35">
      <c r="A1138" s="8" t="s">
        <v>1547</v>
      </c>
      <c r="B1138" s="8" t="s">
        <v>162</v>
      </c>
      <c r="C1138" s="8" t="s">
        <v>34</v>
      </c>
      <c r="D1138" s="9">
        <v>26</v>
      </c>
      <c r="E1138" s="8" t="s">
        <v>2303</v>
      </c>
      <c r="F1138" s="8" t="s">
        <v>76</v>
      </c>
      <c r="G1138" s="10">
        <v>45602</v>
      </c>
      <c r="H1138" s="8" t="s">
        <v>26</v>
      </c>
      <c r="I1138" s="8" t="s">
        <v>27</v>
      </c>
      <c r="J1138" s="8" t="s">
        <v>2270</v>
      </c>
      <c r="K1138" s="8" t="s">
        <v>28</v>
      </c>
      <c r="L1138" s="8" t="s">
        <v>49</v>
      </c>
      <c r="M1138" s="8" t="s">
        <v>60</v>
      </c>
      <c r="N1138" s="11">
        <v>68548</v>
      </c>
      <c r="O1138" s="11">
        <v>14670</v>
      </c>
      <c r="P1138" s="12">
        <v>84.6</v>
      </c>
      <c r="Q1138" s="9">
        <v>8</v>
      </c>
      <c r="R1138" s="13">
        <v>24</v>
      </c>
      <c r="S1138" s="13">
        <v>5</v>
      </c>
      <c r="T1138" s="9">
        <v>32</v>
      </c>
      <c r="U1138" s="13">
        <v>77</v>
      </c>
      <c r="V1138" s="8" t="s">
        <v>31</v>
      </c>
      <c r="W1138" s="8"/>
      <c r="X1138" s="22">
        <f>IF(V1138="Yes",1,0)</f>
        <v>0</v>
      </c>
      <c r="Y1138" s="22">
        <f>IF(H1138="Active",0,1)</f>
        <v>0</v>
      </c>
    </row>
    <row r="1139" spans="1:25" ht="18" customHeight="1" x14ac:dyDescent="0.35">
      <c r="A1139" s="14" t="s">
        <v>603</v>
      </c>
      <c r="B1139" s="14" t="s">
        <v>537</v>
      </c>
      <c r="C1139" s="14" t="s">
        <v>25</v>
      </c>
      <c r="D1139" s="15">
        <v>60</v>
      </c>
      <c r="E1139" s="14" t="s">
        <v>109</v>
      </c>
      <c r="F1139" s="14" t="s">
        <v>79</v>
      </c>
      <c r="G1139" s="16">
        <v>45601</v>
      </c>
      <c r="H1139" s="14" t="s">
        <v>26</v>
      </c>
      <c r="I1139" s="14" t="s">
        <v>27</v>
      </c>
      <c r="J1139" s="14" t="s">
        <v>2270</v>
      </c>
      <c r="K1139" s="14" t="s">
        <v>73</v>
      </c>
      <c r="L1139" s="14" t="s">
        <v>44</v>
      </c>
      <c r="M1139" s="14" t="s">
        <v>45</v>
      </c>
      <c r="N1139" s="17">
        <v>236631</v>
      </c>
      <c r="O1139" s="17">
        <v>9808</v>
      </c>
      <c r="P1139" s="18">
        <v>81</v>
      </c>
      <c r="Q1139" s="15">
        <v>2</v>
      </c>
      <c r="R1139" s="19">
        <v>27</v>
      </c>
      <c r="S1139" s="19">
        <v>5</v>
      </c>
      <c r="T1139" s="15">
        <v>7</v>
      </c>
      <c r="U1139" s="19">
        <v>100</v>
      </c>
      <c r="V1139" s="14" t="s">
        <v>31</v>
      </c>
      <c r="W1139" s="14"/>
      <c r="X1139" s="14">
        <f>IF(V1139="Yes",1,0)</f>
        <v>0</v>
      </c>
      <c r="Y1139" s="14">
        <f>IF(H1139="Active",0,1)</f>
        <v>0</v>
      </c>
    </row>
    <row r="1140" spans="1:25" ht="18" customHeight="1" x14ac:dyDescent="0.35">
      <c r="A1140" s="14" t="s">
        <v>658</v>
      </c>
      <c r="B1140" s="14" t="s">
        <v>339</v>
      </c>
      <c r="C1140" s="14" t="s">
        <v>34</v>
      </c>
      <c r="D1140" s="15">
        <v>49</v>
      </c>
      <c r="E1140" s="14" t="s">
        <v>109</v>
      </c>
      <c r="F1140" s="14" t="s">
        <v>90</v>
      </c>
      <c r="G1140" s="16">
        <v>45601</v>
      </c>
      <c r="H1140" s="14" t="s">
        <v>54</v>
      </c>
      <c r="I1140" s="14" t="s">
        <v>36</v>
      </c>
      <c r="J1140" s="14" t="s">
        <v>80</v>
      </c>
      <c r="K1140" s="14" t="s">
        <v>73</v>
      </c>
      <c r="L1140" s="14" t="s">
        <v>44</v>
      </c>
      <c r="M1140" s="14" t="s">
        <v>45</v>
      </c>
      <c r="N1140" s="17">
        <v>113293</v>
      </c>
      <c r="O1140" s="17">
        <v>45580</v>
      </c>
      <c r="P1140" s="18">
        <v>96.4</v>
      </c>
      <c r="Q1140" s="15">
        <v>1</v>
      </c>
      <c r="R1140" s="19">
        <v>20</v>
      </c>
      <c r="S1140" s="19">
        <v>5</v>
      </c>
      <c r="T1140" s="15">
        <v>22</v>
      </c>
      <c r="U1140" s="19">
        <v>73</v>
      </c>
      <c r="V1140" s="14" t="s">
        <v>31</v>
      </c>
      <c r="W1140" s="14" t="s">
        <v>96</v>
      </c>
      <c r="X1140" s="14">
        <f>IF(V1140="Yes",1,0)</f>
        <v>0</v>
      </c>
      <c r="Y1140" s="14">
        <f>IF(H1140="Active",0,1)</f>
        <v>1</v>
      </c>
    </row>
    <row r="1141" spans="1:25" ht="18" customHeight="1" x14ac:dyDescent="0.35">
      <c r="A1141" s="8" t="s">
        <v>1761</v>
      </c>
      <c r="B1141" s="8" t="s">
        <v>246</v>
      </c>
      <c r="C1141" s="8" t="s">
        <v>25</v>
      </c>
      <c r="D1141" s="9">
        <v>44</v>
      </c>
      <c r="E1141" s="8" t="s">
        <v>67</v>
      </c>
      <c r="F1141" s="8" t="s">
        <v>43</v>
      </c>
      <c r="G1141" s="10">
        <v>45601</v>
      </c>
      <c r="H1141" s="8" t="s">
        <v>26</v>
      </c>
      <c r="I1141" s="8" t="s">
        <v>2267</v>
      </c>
      <c r="J1141" s="8" t="s">
        <v>2268</v>
      </c>
      <c r="K1141" s="8" t="s">
        <v>2271</v>
      </c>
      <c r="L1141" s="8" t="s">
        <v>44</v>
      </c>
      <c r="M1141" s="8" t="s">
        <v>30</v>
      </c>
      <c r="N1141" s="11">
        <v>77913</v>
      </c>
      <c r="O1141" s="11">
        <v>11299</v>
      </c>
      <c r="P1141" s="12">
        <v>81</v>
      </c>
      <c r="Q1141" s="9">
        <v>4</v>
      </c>
      <c r="R1141" s="13">
        <v>0</v>
      </c>
      <c r="S1141" s="13">
        <v>2</v>
      </c>
      <c r="T1141" s="9">
        <v>9</v>
      </c>
      <c r="U1141" s="13">
        <v>65</v>
      </c>
      <c r="V1141" s="8" t="s">
        <v>31</v>
      </c>
      <c r="W1141" s="8"/>
      <c r="X1141" s="22">
        <f>IF(V1141="Yes",1,0)</f>
        <v>0</v>
      </c>
      <c r="Y1141" s="22">
        <f>IF(H1141="Active",0,1)</f>
        <v>0</v>
      </c>
    </row>
    <row r="1142" spans="1:25" ht="18" customHeight="1" x14ac:dyDescent="0.35">
      <c r="A1142" s="14" t="s">
        <v>791</v>
      </c>
      <c r="B1142" s="14" t="s">
        <v>792</v>
      </c>
      <c r="C1142" s="14" t="s">
        <v>34</v>
      </c>
      <c r="D1142" s="15">
        <v>43</v>
      </c>
      <c r="E1142" s="14" t="s">
        <v>2303</v>
      </c>
      <c r="F1142" s="14" t="s">
        <v>43</v>
      </c>
      <c r="G1142" s="16">
        <v>45600</v>
      </c>
      <c r="H1142" s="14" t="s">
        <v>26</v>
      </c>
      <c r="I1142" s="14" t="s">
        <v>2267</v>
      </c>
      <c r="J1142" s="14" t="s">
        <v>2269</v>
      </c>
      <c r="K1142" s="14" t="s">
        <v>37</v>
      </c>
      <c r="L1142" s="14" t="s">
        <v>56</v>
      </c>
      <c r="M1142" s="14" t="s">
        <v>30</v>
      </c>
      <c r="N1142" s="17">
        <v>125618</v>
      </c>
      <c r="O1142" s="17">
        <v>6915</v>
      </c>
      <c r="P1142" s="18">
        <v>80.3</v>
      </c>
      <c r="Q1142" s="15">
        <v>0</v>
      </c>
      <c r="R1142" s="19">
        <v>29</v>
      </c>
      <c r="S1142" s="19">
        <v>5</v>
      </c>
      <c r="T1142" s="15">
        <v>21</v>
      </c>
      <c r="U1142" s="19">
        <v>88</v>
      </c>
      <c r="V1142" s="14" t="s">
        <v>31</v>
      </c>
      <c r="W1142" s="14"/>
      <c r="X1142" s="14">
        <f>IF(V1142="Yes",1,0)</f>
        <v>0</v>
      </c>
      <c r="Y1142" s="14">
        <f>IF(H1142="Active",0,1)</f>
        <v>0</v>
      </c>
    </row>
    <row r="1143" spans="1:25" ht="18" customHeight="1" x14ac:dyDescent="0.35">
      <c r="A1143" s="8" t="s">
        <v>853</v>
      </c>
      <c r="B1143" s="8" t="s">
        <v>51</v>
      </c>
      <c r="C1143" s="8" t="s">
        <v>25</v>
      </c>
      <c r="D1143" s="9">
        <v>43</v>
      </c>
      <c r="E1143" s="8" t="s">
        <v>63</v>
      </c>
      <c r="F1143" s="8" t="s">
        <v>76</v>
      </c>
      <c r="G1143" s="10">
        <v>45600</v>
      </c>
      <c r="H1143" s="8" t="s">
        <v>26</v>
      </c>
      <c r="I1143" s="8" t="s">
        <v>2267</v>
      </c>
      <c r="J1143" s="8" t="s">
        <v>2269</v>
      </c>
      <c r="K1143" s="8" t="s">
        <v>55</v>
      </c>
      <c r="L1143" s="8" t="s">
        <v>44</v>
      </c>
      <c r="M1143" s="8" t="s">
        <v>30</v>
      </c>
      <c r="N1143" s="11">
        <v>123387</v>
      </c>
      <c r="O1143" s="11">
        <v>44063</v>
      </c>
      <c r="P1143" s="12">
        <v>86</v>
      </c>
      <c r="Q1143" s="9">
        <v>3</v>
      </c>
      <c r="R1143" s="13">
        <v>20</v>
      </c>
      <c r="S1143" s="13">
        <v>3</v>
      </c>
      <c r="T1143" s="9">
        <v>29</v>
      </c>
      <c r="U1143" s="13">
        <v>85</v>
      </c>
      <c r="V1143" s="8" t="s">
        <v>31</v>
      </c>
      <c r="W1143" s="8"/>
      <c r="X1143" s="22">
        <f>IF(V1143="Yes",1,0)</f>
        <v>0</v>
      </c>
      <c r="Y1143" s="22">
        <f>IF(H1143="Active",0,1)</f>
        <v>0</v>
      </c>
    </row>
    <row r="1144" spans="1:25" ht="18" customHeight="1" x14ac:dyDescent="0.35">
      <c r="A1144" s="14" t="s">
        <v>990</v>
      </c>
      <c r="B1144" s="14" t="s">
        <v>379</v>
      </c>
      <c r="C1144" s="14" t="s">
        <v>34</v>
      </c>
      <c r="D1144" s="15">
        <v>48</v>
      </c>
      <c r="E1144" s="14" t="s">
        <v>52</v>
      </c>
      <c r="F1144" s="14" t="s">
        <v>72</v>
      </c>
      <c r="G1144" s="16">
        <v>45600</v>
      </c>
      <c r="H1144" s="14" t="s">
        <v>54</v>
      </c>
      <c r="I1144" s="14" t="s">
        <v>27</v>
      </c>
      <c r="J1144" s="14" t="s">
        <v>48</v>
      </c>
      <c r="K1144" s="14" t="s">
        <v>37</v>
      </c>
      <c r="L1144" s="14" t="s">
        <v>56</v>
      </c>
      <c r="M1144" s="14" t="s">
        <v>60</v>
      </c>
      <c r="N1144" s="17">
        <v>122770</v>
      </c>
      <c r="O1144" s="17">
        <v>11637</v>
      </c>
      <c r="P1144" s="18">
        <v>80.099999999999994</v>
      </c>
      <c r="Q1144" s="15">
        <v>9</v>
      </c>
      <c r="R1144" s="19">
        <v>14</v>
      </c>
      <c r="S1144" s="19">
        <v>1</v>
      </c>
      <c r="T1144" s="15">
        <v>2</v>
      </c>
      <c r="U1144" s="19">
        <v>81</v>
      </c>
      <c r="V1144" s="14" t="s">
        <v>31</v>
      </c>
      <c r="W1144" s="14" t="s">
        <v>57</v>
      </c>
      <c r="X1144" s="14">
        <f>IF(V1144="Yes",1,0)</f>
        <v>0</v>
      </c>
      <c r="Y1144" s="14">
        <f>IF(H1144="Active",0,1)</f>
        <v>1</v>
      </c>
    </row>
    <row r="1145" spans="1:25" ht="18" customHeight="1" x14ac:dyDescent="0.35">
      <c r="A1145" s="8" t="s">
        <v>1513</v>
      </c>
      <c r="B1145" s="8" t="s">
        <v>630</v>
      </c>
      <c r="C1145" s="8" t="s">
        <v>34</v>
      </c>
      <c r="D1145" s="9">
        <v>30</v>
      </c>
      <c r="E1145" s="8" t="s">
        <v>52</v>
      </c>
      <c r="F1145" s="8" t="s">
        <v>90</v>
      </c>
      <c r="G1145" s="10">
        <v>45600</v>
      </c>
      <c r="H1145" s="8" t="s">
        <v>26</v>
      </c>
      <c r="I1145" s="8" t="s">
        <v>36</v>
      </c>
      <c r="J1145" s="8" t="s">
        <v>48</v>
      </c>
      <c r="K1145" s="8" t="s">
        <v>73</v>
      </c>
      <c r="L1145" s="8" t="s">
        <v>38</v>
      </c>
      <c r="M1145" s="8" t="s">
        <v>45</v>
      </c>
      <c r="N1145" s="11">
        <v>213971</v>
      </c>
      <c r="O1145" s="11">
        <v>32720</v>
      </c>
      <c r="P1145" s="12">
        <v>88.3</v>
      </c>
      <c r="Q1145" s="9">
        <v>0</v>
      </c>
      <c r="R1145" s="13">
        <v>17</v>
      </c>
      <c r="S1145" s="13">
        <v>5</v>
      </c>
      <c r="T1145" s="9">
        <v>14</v>
      </c>
      <c r="U1145" s="13">
        <v>81</v>
      </c>
      <c r="V1145" s="8" t="s">
        <v>31</v>
      </c>
      <c r="W1145" s="8"/>
      <c r="X1145" s="22">
        <f>IF(V1145="Yes",1,0)</f>
        <v>0</v>
      </c>
      <c r="Y1145" s="22">
        <f>IF(H1145="Active",0,1)</f>
        <v>0</v>
      </c>
    </row>
    <row r="1146" spans="1:25" ht="18" customHeight="1" x14ac:dyDescent="0.35">
      <c r="A1146" s="8" t="s">
        <v>1967</v>
      </c>
      <c r="B1146" s="8" t="s">
        <v>191</v>
      </c>
      <c r="C1146" s="8" t="s">
        <v>25</v>
      </c>
      <c r="D1146" s="9">
        <v>48</v>
      </c>
      <c r="E1146" s="8" t="s">
        <v>2304</v>
      </c>
      <c r="F1146" s="8" t="s">
        <v>72</v>
      </c>
      <c r="G1146" s="10">
        <v>45600</v>
      </c>
      <c r="H1146" s="8" t="s">
        <v>26</v>
      </c>
      <c r="I1146" s="8" t="s">
        <v>36</v>
      </c>
      <c r="J1146" s="8" t="s">
        <v>48</v>
      </c>
      <c r="K1146" s="8" t="s">
        <v>2271</v>
      </c>
      <c r="L1146" s="8" t="s">
        <v>56</v>
      </c>
      <c r="M1146" s="8" t="s">
        <v>64</v>
      </c>
      <c r="N1146" s="11">
        <v>173558</v>
      </c>
      <c r="O1146" s="11">
        <v>43060</v>
      </c>
      <c r="P1146" s="12">
        <v>88.5</v>
      </c>
      <c r="Q1146" s="9">
        <v>3</v>
      </c>
      <c r="R1146" s="13">
        <v>7</v>
      </c>
      <c r="S1146" s="13">
        <v>5</v>
      </c>
      <c r="T1146" s="9">
        <v>30</v>
      </c>
      <c r="U1146" s="13">
        <v>78</v>
      </c>
      <c r="V1146" s="8" t="s">
        <v>31</v>
      </c>
      <c r="W1146" s="8"/>
      <c r="X1146" s="22">
        <f>IF(V1146="Yes",1,0)</f>
        <v>0</v>
      </c>
      <c r="Y1146" s="22">
        <f>IF(H1146="Active",0,1)</f>
        <v>0</v>
      </c>
    </row>
    <row r="1147" spans="1:25" ht="18" customHeight="1" x14ac:dyDescent="0.35">
      <c r="A1147" s="14" t="s">
        <v>1994</v>
      </c>
      <c r="B1147" s="14" t="s">
        <v>291</v>
      </c>
      <c r="C1147" s="14" t="s">
        <v>34</v>
      </c>
      <c r="D1147" s="15">
        <v>47</v>
      </c>
      <c r="E1147" s="14" t="s">
        <v>2303</v>
      </c>
      <c r="F1147" s="14" t="s">
        <v>72</v>
      </c>
      <c r="G1147" s="16">
        <v>45600</v>
      </c>
      <c r="H1147" s="14" t="s">
        <v>26</v>
      </c>
      <c r="I1147" s="14" t="s">
        <v>36</v>
      </c>
      <c r="J1147" s="14" t="s">
        <v>2270</v>
      </c>
      <c r="K1147" s="14" t="s">
        <v>28</v>
      </c>
      <c r="L1147" s="14" t="s">
        <v>68</v>
      </c>
      <c r="M1147" s="14" t="s">
        <v>64</v>
      </c>
      <c r="N1147" s="17">
        <v>48070</v>
      </c>
      <c r="O1147" s="17">
        <v>18659</v>
      </c>
      <c r="P1147" s="18">
        <v>85.1</v>
      </c>
      <c r="Q1147" s="15">
        <v>7</v>
      </c>
      <c r="R1147" s="19">
        <v>20</v>
      </c>
      <c r="S1147" s="19">
        <v>2</v>
      </c>
      <c r="T1147" s="15">
        <v>26</v>
      </c>
      <c r="U1147" s="19">
        <v>99</v>
      </c>
      <c r="V1147" s="14" t="s">
        <v>69</v>
      </c>
      <c r="W1147" s="14"/>
      <c r="X1147" s="14">
        <f>IF(V1147="Yes",1,0)</f>
        <v>1</v>
      </c>
      <c r="Y1147" s="14">
        <f>IF(H1147="Active",0,1)</f>
        <v>0</v>
      </c>
    </row>
    <row r="1148" spans="1:25" ht="18" customHeight="1" x14ac:dyDescent="0.35">
      <c r="A1148" s="8" t="s">
        <v>119</v>
      </c>
      <c r="B1148" s="8" t="s">
        <v>120</v>
      </c>
      <c r="C1148" s="8" t="s">
        <v>34</v>
      </c>
      <c r="D1148" s="9">
        <v>45</v>
      </c>
      <c r="E1148" s="8" t="s">
        <v>2304</v>
      </c>
      <c r="F1148" s="8" t="s">
        <v>43</v>
      </c>
      <c r="G1148" s="10">
        <v>45599</v>
      </c>
      <c r="H1148" s="8" t="s">
        <v>26</v>
      </c>
      <c r="I1148" s="8" t="s">
        <v>36</v>
      </c>
      <c r="J1148" s="8" t="s">
        <v>80</v>
      </c>
      <c r="K1148" s="8" t="s">
        <v>28</v>
      </c>
      <c r="L1148" s="8" t="s">
        <v>29</v>
      </c>
      <c r="M1148" s="8" t="s">
        <v>64</v>
      </c>
      <c r="N1148" s="11">
        <v>243720</v>
      </c>
      <c r="O1148" s="11">
        <v>24254</v>
      </c>
      <c r="P1148" s="12">
        <v>89.6</v>
      </c>
      <c r="Q1148" s="9">
        <v>10</v>
      </c>
      <c r="R1148" s="13">
        <v>11</v>
      </c>
      <c r="S1148" s="13">
        <v>2</v>
      </c>
      <c r="T1148" s="9">
        <v>3</v>
      </c>
      <c r="U1148" s="13">
        <v>69</v>
      </c>
      <c r="V1148" s="8" t="s">
        <v>31</v>
      </c>
      <c r="W1148" s="8"/>
      <c r="X1148" s="22">
        <f>IF(V1148="Yes",1,0)</f>
        <v>0</v>
      </c>
      <c r="Y1148" s="22">
        <f>IF(H1148="Active",0,1)</f>
        <v>0</v>
      </c>
    </row>
    <row r="1149" spans="1:25" ht="18" customHeight="1" x14ac:dyDescent="0.35">
      <c r="A1149" s="14" t="s">
        <v>1860</v>
      </c>
      <c r="B1149" s="14" t="s">
        <v>234</v>
      </c>
      <c r="C1149" s="14" t="s">
        <v>34</v>
      </c>
      <c r="D1149" s="15">
        <v>58</v>
      </c>
      <c r="E1149" s="14" t="s">
        <v>93</v>
      </c>
      <c r="F1149" s="14" t="s">
        <v>43</v>
      </c>
      <c r="G1149" s="16">
        <v>45599</v>
      </c>
      <c r="H1149" s="14" t="s">
        <v>26</v>
      </c>
      <c r="I1149" s="14" t="s">
        <v>27</v>
      </c>
      <c r="J1149" s="14" t="s">
        <v>2270</v>
      </c>
      <c r="K1149" s="14" t="s">
        <v>28</v>
      </c>
      <c r="L1149" s="14" t="s">
        <v>87</v>
      </c>
      <c r="M1149" s="14" t="s">
        <v>30</v>
      </c>
      <c r="N1149" s="17">
        <v>207698</v>
      </c>
      <c r="O1149" s="17">
        <v>49898</v>
      </c>
      <c r="P1149" s="18">
        <v>86.1</v>
      </c>
      <c r="Q1149" s="15">
        <v>0</v>
      </c>
      <c r="R1149" s="19">
        <v>5</v>
      </c>
      <c r="S1149" s="19">
        <v>4</v>
      </c>
      <c r="T1149" s="15">
        <v>40</v>
      </c>
      <c r="U1149" s="19">
        <v>95</v>
      </c>
      <c r="V1149" s="14" t="s">
        <v>31</v>
      </c>
      <c r="W1149" s="14"/>
      <c r="X1149" s="14">
        <f>IF(V1149="Yes",1,0)</f>
        <v>0</v>
      </c>
      <c r="Y1149" s="14">
        <f>IF(H1149="Active",0,1)</f>
        <v>0</v>
      </c>
    </row>
    <row r="1150" spans="1:25" ht="18" customHeight="1" x14ac:dyDescent="0.35">
      <c r="A1150" s="8" t="s">
        <v>1188</v>
      </c>
      <c r="B1150" s="8" t="s">
        <v>244</v>
      </c>
      <c r="C1150" s="8" t="s">
        <v>25</v>
      </c>
      <c r="D1150" s="9">
        <v>42</v>
      </c>
      <c r="E1150" s="8" t="s">
        <v>109</v>
      </c>
      <c r="F1150" s="8" t="s">
        <v>79</v>
      </c>
      <c r="G1150" s="10">
        <v>45598</v>
      </c>
      <c r="H1150" s="8" t="s">
        <v>26</v>
      </c>
      <c r="I1150" s="8" t="s">
        <v>27</v>
      </c>
      <c r="J1150" s="8" t="s">
        <v>2269</v>
      </c>
      <c r="K1150" s="8" t="s">
        <v>55</v>
      </c>
      <c r="L1150" s="8" t="s">
        <v>29</v>
      </c>
      <c r="M1150" s="8" t="s">
        <v>39</v>
      </c>
      <c r="N1150" s="11">
        <v>202562</v>
      </c>
      <c r="O1150" s="11">
        <v>34358</v>
      </c>
      <c r="P1150" s="12">
        <v>93.8</v>
      </c>
      <c r="Q1150" s="9">
        <v>9</v>
      </c>
      <c r="R1150" s="13">
        <v>23</v>
      </c>
      <c r="S1150" s="13">
        <v>4</v>
      </c>
      <c r="T1150" s="9">
        <v>24</v>
      </c>
      <c r="U1150" s="13">
        <v>60</v>
      </c>
      <c r="V1150" s="8" t="s">
        <v>31</v>
      </c>
      <c r="W1150" s="8"/>
      <c r="X1150" s="22">
        <f>IF(V1150="Yes",1,0)</f>
        <v>0</v>
      </c>
      <c r="Y1150" s="22">
        <f>IF(H1150="Active",0,1)</f>
        <v>0</v>
      </c>
    </row>
    <row r="1151" spans="1:25" ht="18" customHeight="1" x14ac:dyDescent="0.35">
      <c r="A1151" s="8" t="s">
        <v>2193</v>
      </c>
      <c r="B1151" s="8" t="s">
        <v>362</v>
      </c>
      <c r="C1151" s="8" t="s">
        <v>25</v>
      </c>
      <c r="D1151" s="9">
        <v>54</v>
      </c>
      <c r="E1151" s="8" t="s">
        <v>109</v>
      </c>
      <c r="F1151" s="8" t="s">
        <v>43</v>
      </c>
      <c r="G1151" s="10">
        <v>45598</v>
      </c>
      <c r="H1151" s="8" t="s">
        <v>54</v>
      </c>
      <c r="I1151" s="8" t="s">
        <v>36</v>
      </c>
      <c r="J1151" s="8" t="s">
        <v>48</v>
      </c>
      <c r="K1151" s="8" t="s">
        <v>73</v>
      </c>
      <c r="L1151" s="8" t="s">
        <v>56</v>
      </c>
      <c r="M1151" s="8" t="s">
        <v>45</v>
      </c>
      <c r="N1151" s="11">
        <v>219733</v>
      </c>
      <c r="O1151" s="11">
        <v>5991</v>
      </c>
      <c r="P1151" s="12">
        <v>98.9</v>
      </c>
      <c r="Q1151" s="9">
        <v>6</v>
      </c>
      <c r="R1151" s="13">
        <v>5</v>
      </c>
      <c r="S1151" s="13">
        <v>3</v>
      </c>
      <c r="T1151" s="9">
        <v>11</v>
      </c>
      <c r="U1151" s="13">
        <v>76</v>
      </c>
      <c r="V1151" s="8" t="s">
        <v>69</v>
      </c>
      <c r="W1151" s="8" t="s">
        <v>83</v>
      </c>
      <c r="X1151" s="22">
        <f>IF(V1151="Yes",1,0)</f>
        <v>1</v>
      </c>
      <c r="Y1151" s="22">
        <f>IF(H1151="Active",0,1)</f>
        <v>1</v>
      </c>
    </row>
    <row r="1152" spans="1:25" ht="18" customHeight="1" x14ac:dyDescent="0.35">
      <c r="A1152" s="14" t="s">
        <v>545</v>
      </c>
      <c r="B1152" s="14" t="s">
        <v>435</v>
      </c>
      <c r="C1152" s="14" t="s">
        <v>25</v>
      </c>
      <c r="D1152" s="15">
        <v>28</v>
      </c>
      <c r="E1152" s="14" t="s">
        <v>42</v>
      </c>
      <c r="F1152" s="14" t="s">
        <v>12</v>
      </c>
      <c r="G1152" s="16">
        <v>45597</v>
      </c>
      <c r="H1152" s="14" t="s">
        <v>26</v>
      </c>
      <c r="I1152" s="14" t="s">
        <v>36</v>
      </c>
      <c r="J1152" s="14" t="s">
        <v>48</v>
      </c>
      <c r="K1152" s="14" t="s">
        <v>2271</v>
      </c>
      <c r="L1152" s="14" t="s">
        <v>68</v>
      </c>
      <c r="M1152" s="14" t="s">
        <v>30</v>
      </c>
      <c r="N1152" s="17">
        <v>195433</v>
      </c>
      <c r="O1152" s="17">
        <v>9174</v>
      </c>
      <c r="P1152" s="18">
        <v>90.5</v>
      </c>
      <c r="Q1152" s="15">
        <v>4</v>
      </c>
      <c r="R1152" s="19">
        <v>8</v>
      </c>
      <c r="S1152" s="19">
        <v>5</v>
      </c>
      <c r="T1152" s="15">
        <v>35</v>
      </c>
      <c r="U1152" s="19">
        <v>73</v>
      </c>
      <c r="V1152" s="14" t="s">
        <v>31</v>
      </c>
      <c r="W1152" s="14"/>
      <c r="X1152" s="14">
        <f>IF(V1152="Yes",1,0)</f>
        <v>0</v>
      </c>
      <c r="Y1152" s="14">
        <f>IF(H1152="Active",0,1)</f>
        <v>0</v>
      </c>
    </row>
    <row r="1153" spans="1:25" ht="18" customHeight="1" x14ac:dyDescent="0.35">
      <c r="A1153" s="8" t="s">
        <v>2185</v>
      </c>
      <c r="B1153" s="8" t="s">
        <v>817</v>
      </c>
      <c r="C1153" s="8" t="s">
        <v>25</v>
      </c>
      <c r="D1153" s="9">
        <v>30</v>
      </c>
      <c r="E1153" s="8" t="s">
        <v>42</v>
      </c>
      <c r="F1153" s="8" t="s">
        <v>53</v>
      </c>
      <c r="G1153" s="10">
        <v>45597</v>
      </c>
      <c r="H1153" s="8" t="s">
        <v>26</v>
      </c>
      <c r="I1153" s="8" t="s">
        <v>36</v>
      </c>
      <c r="J1153" s="8" t="s">
        <v>48</v>
      </c>
      <c r="K1153" s="8" t="s">
        <v>28</v>
      </c>
      <c r="L1153" s="8" t="s">
        <v>29</v>
      </c>
      <c r="M1153" s="8" t="s">
        <v>64</v>
      </c>
      <c r="N1153" s="11">
        <v>60925</v>
      </c>
      <c r="O1153" s="11">
        <v>36628</v>
      </c>
      <c r="P1153" s="12">
        <v>95.9</v>
      </c>
      <c r="Q1153" s="9">
        <v>9</v>
      </c>
      <c r="R1153" s="13">
        <v>28</v>
      </c>
      <c r="S1153" s="13">
        <v>2</v>
      </c>
      <c r="T1153" s="9">
        <v>36</v>
      </c>
      <c r="U1153" s="13">
        <v>72</v>
      </c>
      <c r="V1153" s="8" t="s">
        <v>31</v>
      </c>
      <c r="W1153" s="8"/>
      <c r="X1153" s="22">
        <f>IF(V1153="Yes",1,0)</f>
        <v>0</v>
      </c>
      <c r="Y1153" s="22">
        <f>IF(H1153="Active",0,1)</f>
        <v>0</v>
      </c>
    </row>
    <row r="1154" spans="1:25" ht="18" customHeight="1" x14ac:dyDescent="0.35">
      <c r="A1154" s="14" t="s">
        <v>571</v>
      </c>
      <c r="B1154" s="14" t="s">
        <v>497</v>
      </c>
      <c r="C1154" s="14" t="s">
        <v>34</v>
      </c>
      <c r="D1154" s="15">
        <v>48</v>
      </c>
      <c r="E1154" s="14" t="s">
        <v>109</v>
      </c>
      <c r="F1154" s="14" t="s">
        <v>53</v>
      </c>
      <c r="G1154" s="16">
        <v>45596</v>
      </c>
      <c r="H1154" s="14" t="s">
        <v>54</v>
      </c>
      <c r="I1154" s="14" t="s">
        <v>27</v>
      </c>
      <c r="J1154" s="14" t="s">
        <v>2269</v>
      </c>
      <c r="K1154" s="14" t="s">
        <v>73</v>
      </c>
      <c r="L1154" s="14" t="s">
        <v>68</v>
      </c>
      <c r="M1154" s="14" t="s">
        <v>30</v>
      </c>
      <c r="N1154" s="17">
        <v>76280</v>
      </c>
      <c r="O1154" s="17">
        <v>22562</v>
      </c>
      <c r="P1154" s="18">
        <v>99.6</v>
      </c>
      <c r="Q1154" s="15">
        <v>6</v>
      </c>
      <c r="R1154" s="19">
        <v>2</v>
      </c>
      <c r="S1154" s="19">
        <v>2</v>
      </c>
      <c r="T1154" s="15">
        <v>36</v>
      </c>
      <c r="U1154" s="19">
        <v>91</v>
      </c>
      <c r="V1154" s="14" t="s">
        <v>31</v>
      </c>
      <c r="W1154" s="14" t="s">
        <v>83</v>
      </c>
      <c r="X1154" s="14">
        <f>IF(V1154="Yes",1,0)</f>
        <v>0</v>
      </c>
      <c r="Y1154" s="14">
        <f>IF(H1154="Active",0,1)</f>
        <v>1</v>
      </c>
    </row>
    <row r="1155" spans="1:25" ht="18" customHeight="1" x14ac:dyDescent="0.35">
      <c r="A1155" s="14" t="s">
        <v>723</v>
      </c>
      <c r="B1155" s="14" t="s">
        <v>701</v>
      </c>
      <c r="C1155" s="14" t="s">
        <v>34</v>
      </c>
      <c r="D1155" s="15">
        <v>57</v>
      </c>
      <c r="E1155" s="14" t="s">
        <v>2303</v>
      </c>
      <c r="F1155" s="14" t="s">
        <v>79</v>
      </c>
      <c r="G1155" s="16">
        <v>45596</v>
      </c>
      <c r="H1155" s="14" t="s">
        <v>26</v>
      </c>
      <c r="I1155" s="14" t="s">
        <v>27</v>
      </c>
      <c r="J1155" s="14" t="s">
        <v>2270</v>
      </c>
      <c r="K1155" s="14" t="s">
        <v>28</v>
      </c>
      <c r="L1155" s="14" t="s">
        <v>56</v>
      </c>
      <c r="M1155" s="14" t="s">
        <v>64</v>
      </c>
      <c r="N1155" s="17">
        <v>199453</v>
      </c>
      <c r="O1155" s="17">
        <v>49588</v>
      </c>
      <c r="P1155" s="18">
        <v>95</v>
      </c>
      <c r="Q1155" s="15">
        <v>8</v>
      </c>
      <c r="R1155" s="19">
        <v>25</v>
      </c>
      <c r="S1155" s="19">
        <v>2</v>
      </c>
      <c r="T1155" s="15">
        <v>26</v>
      </c>
      <c r="U1155" s="19">
        <v>82</v>
      </c>
      <c r="V1155" s="14" t="s">
        <v>31</v>
      </c>
      <c r="W1155" s="14"/>
      <c r="X1155" s="14">
        <f>IF(V1155="Yes",1,0)</f>
        <v>0</v>
      </c>
      <c r="Y1155" s="14">
        <f>IF(H1155="Active",0,1)</f>
        <v>0</v>
      </c>
    </row>
    <row r="1156" spans="1:25" ht="18" customHeight="1" x14ac:dyDescent="0.35">
      <c r="A1156" s="8" t="s">
        <v>845</v>
      </c>
      <c r="B1156" s="8" t="s">
        <v>71</v>
      </c>
      <c r="C1156" s="8" t="s">
        <v>34</v>
      </c>
      <c r="D1156" s="9">
        <v>60</v>
      </c>
      <c r="E1156" s="8" t="s">
        <v>2304</v>
      </c>
      <c r="F1156" s="8" t="s">
        <v>79</v>
      </c>
      <c r="G1156" s="10">
        <v>45596</v>
      </c>
      <c r="H1156" s="8" t="s">
        <v>26</v>
      </c>
      <c r="I1156" s="8" t="s">
        <v>36</v>
      </c>
      <c r="J1156" s="8" t="s">
        <v>2269</v>
      </c>
      <c r="K1156" s="8" t="s">
        <v>37</v>
      </c>
      <c r="L1156" s="8" t="s">
        <v>49</v>
      </c>
      <c r="M1156" s="8" t="s">
        <v>64</v>
      </c>
      <c r="N1156" s="11">
        <v>201567</v>
      </c>
      <c r="O1156" s="11">
        <v>14045</v>
      </c>
      <c r="P1156" s="12">
        <v>97</v>
      </c>
      <c r="Q1156" s="9">
        <v>7</v>
      </c>
      <c r="R1156" s="13">
        <v>23</v>
      </c>
      <c r="S1156" s="13">
        <v>1</v>
      </c>
      <c r="T1156" s="9">
        <v>7</v>
      </c>
      <c r="U1156" s="13">
        <v>88</v>
      </c>
      <c r="V1156" s="8" t="s">
        <v>31</v>
      </c>
      <c r="W1156" s="8"/>
      <c r="X1156" s="22">
        <f>IF(V1156="Yes",1,0)</f>
        <v>0</v>
      </c>
      <c r="Y1156" s="22">
        <f>IF(H1156="Active",0,1)</f>
        <v>0</v>
      </c>
    </row>
    <row r="1157" spans="1:25" ht="18" customHeight="1" x14ac:dyDescent="0.35">
      <c r="A1157" s="14" t="s">
        <v>1148</v>
      </c>
      <c r="B1157" s="14" t="s">
        <v>362</v>
      </c>
      <c r="C1157" s="14" t="s">
        <v>34</v>
      </c>
      <c r="D1157" s="15">
        <v>50</v>
      </c>
      <c r="E1157" s="14" t="s">
        <v>93</v>
      </c>
      <c r="F1157" s="14" t="s">
        <v>90</v>
      </c>
      <c r="G1157" s="16">
        <v>45596</v>
      </c>
      <c r="H1157" s="14" t="s">
        <v>26</v>
      </c>
      <c r="I1157" s="14" t="s">
        <v>2267</v>
      </c>
      <c r="J1157" s="14" t="s">
        <v>80</v>
      </c>
      <c r="K1157" s="14" t="s">
        <v>2271</v>
      </c>
      <c r="L1157" s="14" t="s">
        <v>29</v>
      </c>
      <c r="M1157" s="14" t="s">
        <v>45</v>
      </c>
      <c r="N1157" s="17">
        <v>246078</v>
      </c>
      <c r="O1157" s="17">
        <v>28127</v>
      </c>
      <c r="P1157" s="18">
        <v>99.6</v>
      </c>
      <c r="Q1157" s="15">
        <v>5</v>
      </c>
      <c r="R1157" s="19">
        <v>12</v>
      </c>
      <c r="S1157" s="19">
        <v>3</v>
      </c>
      <c r="T1157" s="15">
        <v>21</v>
      </c>
      <c r="U1157" s="19">
        <v>73</v>
      </c>
      <c r="V1157" s="14" t="s">
        <v>31</v>
      </c>
      <c r="W1157" s="14"/>
      <c r="X1157" s="14">
        <f>IF(V1157="Yes",1,0)</f>
        <v>0</v>
      </c>
      <c r="Y1157" s="14">
        <f>IF(H1157="Active",0,1)</f>
        <v>0</v>
      </c>
    </row>
    <row r="1158" spans="1:25" ht="18" customHeight="1" x14ac:dyDescent="0.35">
      <c r="A1158" s="8" t="s">
        <v>1473</v>
      </c>
      <c r="B1158" s="8" t="s">
        <v>100</v>
      </c>
      <c r="C1158" s="8" t="s">
        <v>25</v>
      </c>
      <c r="D1158" s="9">
        <v>37</v>
      </c>
      <c r="E1158" s="8" t="s">
        <v>67</v>
      </c>
      <c r="F1158" s="8" t="s">
        <v>43</v>
      </c>
      <c r="G1158" s="10">
        <v>45596</v>
      </c>
      <c r="H1158" s="8" t="s">
        <v>26</v>
      </c>
      <c r="I1158" s="8" t="s">
        <v>27</v>
      </c>
      <c r="J1158" s="8" t="s">
        <v>80</v>
      </c>
      <c r="K1158" s="8" t="s">
        <v>73</v>
      </c>
      <c r="L1158" s="8" t="s">
        <v>56</v>
      </c>
      <c r="M1158" s="8" t="s">
        <v>60</v>
      </c>
      <c r="N1158" s="11">
        <v>175153</v>
      </c>
      <c r="O1158" s="11">
        <v>5704</v>
      </c>
      <c r="P1158" s="12">
        <v>93.3</v>
      </c>
      <c r="Q1158" s="9">
        <v>8</v>
      </c>
      <c r="R1158" s="13">
        <v>0</v>
      </c>
      <c r="S1158" s="13">
        <v>5</v>
      </c>
      <c r="T1158" s="9">
        <v>5</v>
      </c>
      <c r="U1158" s="13">
        <v>78</v>
      </c>
      <c r="V1158" s="8" t="s">
        <v>31</v>
      </c>
      <c r="W1158" s="8"/>
      <c r="X1158" s="22">
        <f>IF(V1158="Yes",1,0)</f>
        <v>0</v>
      </c>
      <c r="Y1158" s="22">
        <f>IF(H1158="Active",0,1)</f>
        <v>0</v>
      </c>
    </row>
    <row r="1159" spans="1:25" ht="18" customHeight="1" x14ac:dyDescent="0.35">
      <c r="A1159" s="14" t="s">
        <v>1060</v>
      </c>
      <c r="B1159" s="14" t="s">
        <v>62</v>
      </c>
      <c r="C1159" s="14" t="s">
        <v>25</v>
      </c>
      <c r="D1159" s="15">
        <v>27</v>
      </c>
      <c r="E1159" s="14" t="s">
        <v>2304</v>
      </c>
      <c r="F1159" s="14" t="s">
        <v>53</v>
      </c>
      <c r="G1159" s="16">
        <v>45595</v>
      </c>
      <c r="H1159" s="14" t="s">
        <v>26</v>
      </c>
      <c r="I1159" s="14" t="s">
        <v>36</v>
      </c>
      <c r="J1159" s="14" t="s">
        <v>80</v>
      </c>
      <c r="K1159" s="14" t="s">
        <v>2271</v>
      </c>
      <c r="L1159" s="14" t="s">
        <v>49</v>
      </c>
      <c r="M1159" s="14" t="s">
        <v>30</v>
      </c>
      <c r="N1159" s="17">
        <v>35437</v>
      </c>
      <c r="O1159" s="17">
        <v>32646</v>
      </c>
      <c r="P1159" s="18">
        <v>87.1</v>
      </c>
      <c r="Q1159" s="15">
        <v>5</v>
      </c>
      <c r="R1159" s="19">
        <v>10</v>
      </c>
      <c r="S1159" s="19">
        <v>3</v>
      </c>
      <c r="T1159" s="15">
        <v>7</v>
      </c>
      <c r="U1159" s="19">
        <v>89</v>
      </c>
      <c r="V1159" s="14" t="s">
        <v>31</v>
      </c>
      <c r="W1159" s="14"/>
      <c r="X1159" s="14">
        <f>IF(V1159="Yes",1,0)</f>
        <v>0</v>
      </c>
      <c r="Y1159" s="14">
        <f>IF(H1159="Active",0,1)</f>
        <v>0</v>
      </c>
    </row>
    <row r="1160" spans="1:25" ht="18" customHeight="1" x14ac:dyDescent="0.35">
      <c r="A1160" s="8" t="s">
        <v>2133</v>
      </c>
      <c r="B1160" s="8" t="s">
        <v>327</v>
      </c>
      <c r="C1160" s="8" t="s">
        <v>34</v>
      </c>
      <c r="D1160" s="9">
        <v>29</v>
      </c>
      <c r="E1160" s="8" t="s">
        <v>63</v>
      </c>
      <c r="F1160" s="8" t="s">
        <v>76</v>
      </c>
      <c r="G1160" s="10">
        <v>45595</v>
      </c>
      <c r="H1160" s="8" t="s">
        <v>26</v>
      </c>
      <c r="I1160" s="8" t="s">
        <v>36</v>
      </c>
      <c r="J1160" s="8" t="s">
        <v>2269</v>
      </c>
      <c r="K1160" s="8" t="s">
        <v>28</v>
      </c>
      <c r="L1160" s="8" t="s">
        <v>38</v>
      </c>
      <c r="M1160" s="8" t="s">
        <v>39</v>
      </c>
      <c r="N1160" s="11">
        <v>116289</v>
      </c>
      <c r="O1160" s="11">
        <v>41007</v>
      </c>
      <c r="P1160" s="12">
        <v>83.9</v>
      </c>
      <c r="Q1160" s="9">
        <v>4</v>
      </c>
      <c r="R1160" s="13">
        <v>28</v>
      </c>
      <c r="S1160" s="13">
        <v>4</v>
      </c>
      <c r="T1160" s="9">
        <v>32</v>
      </c>
      <c r="U1160" s="13">
        <v>84</v>
      </c>
      <c r="V1160" s="8" t="s">
        <v>69</v>
      </c>
      <c r="W1160" s="8"/>
      <c r="X1160" s="22">
        <f>IF(V1160="Yes",1,0)</f>
        <v>1</v>
      </c>
      <c r="Y1160" s="22">
        <f>IF(H1160="Active",0,1)</f>
        <v>0</v>
      </c>
    </row>
    <row r="1161" spans="1:25" ht="18" customHeight="1" x14ac:dyDescent="0.35">
      <c r="A1161" s="8" t="s">
        <v>751</v>
      </c>
      <c r="B1161" s="8" t="s">
        <v>454</v>
      </c>
      <c r="C1161" s="8" t="s">
        <v>25</v>
      </c>
      <c r="D1161" s="9">
        <v>34</v>
      </c>
      <c r="E1161" s="8" t="s">
        <v>86</v>
      </c>
      <c r="F1161" s="8" t="s">
        <v>76</v>
      </c>
      <c r="G1161" s="10">
        <v>45594</v>
      </c>
      <c r="H1161" s="8" t="s">
        <v>26</v>
      </c>
      <c r="I1161" s="8" t="s">
        <v>36</v>
      </c>
      <c r="J1161" s="8" t="s">
        <v>2268</v>
      </c>
      <c r="K1161" s="8" t="s">
        <v>2271</v>
      </c>
      <c r="L1161" s="8" t="s">
        <v>68</v>
      </c>
      <c r="M1161" s="8" t="s">
        <v>60</v>
      </c>
      <c r="N1161" s="11">
        <v>238550</v>
      </c>
      <c r="O1161" s="11">
        <v>45893</v>
      </c>
      <c r="P1161" s="12">
        <v>86.9</v>
      </c>
      <c r="Q1161" s="9">
        <v>10</v>
      </c>
      <c r="R1161" s="13">
        <v>24</v>
      </c>
      <c r="S1161" s="13">
        <v>4</v>
      </c>
      <c r="T1161" s="9">
        <v>27</v>
      </c>
      <c r="U1161" s="13">
        <v>96</v>
      </c>
      <c r="V1161" s="8" t="s">
        <v>31</v>
      </c>
      <c r="W1161" s="8"/>
      <c r="X1161" s="22">
        <f>IF(V1161="Yes",1,0)</f>
        <v>0</v>
      </c>
      <c r="Y1161" s="22">
        <f>IF(H1161="Active",0,1)</f>
        <v>0</v>
      </c>
    </row>
    <row r="1162" spans="1:25" ht="18" customHeight="1" x14ac:dyDescent="0.35">
      <c r="A1162" s="8" t="s">
        <v>979</v>
      </c>
      <c r="B1162" s="8" t="s">
        <v>520</v>
      </c>
      <c r="C1162" s="8" t="s">
        <v>34</v>
      </c>
      <c r="D1162" s="9">
        <v>32</v>
      </c>
      <c r="E1162" s="8" t="s">
        <v>63</v>
      </c>
      <c r="F1162" s="8" t="s">
        <v>72</v>
      </c>
      <c r="G1162" s="10">
        <v>45594</v>
      </c>
      <c r="H1162" s="8" t="s">
        <v>26</v>
      </c>
      <c r="I1162" s="8" t="s">
        <v>2267</v>
      </c>
      <c r="J1162" s="8" t="s">
        <v>80</v>
      </c>
      <c r="K1162" s="8" t="s">
        <v>2271</v>
      </c>
      <c r="L1162" s="8" t="s">
        <v>56</v>
      </c>
      <c r="M1162" s="8" t="s">
        <v>30</v>
      </c>
      <c r="N1162" s="11">
        <v>124866</v>
      </c>
      <c r="O1162" s="11">
        <v>13910</v>
      </c>
      <c r="P1162" s="12">
        <v>83.8</v>
      </c>
      <c r="Q1162" s="9">
        <v>6</v>
      </c>
      <c r="R1162" s="13">
        <v>8</v>
      </c>
      <c r="S1162" s="13">
        <v>5</v>
      </c>
      <c r="T1162" s="9">
        <v>30</v>
      </c>
      <c r="U1162" s="13">
        <v>77</v>
      </c>
      <c r="V1162" s="8" t="s">
        <v>31</v>
      </c>
      <c r="W1162" s="8"/>
      <c r="X1162" s="22">
        <f>IF(V1162="Yes",1,0)</f>
        <v>0</v>
      </c>
      <c r="Y1162" s="22">
        <f>IF(H1162="Active",0,1)</f>
        <v>0</v>
      </c>
    </row>
    <row r="1163" spans="1:25" ht="18" customHeight="1" x14ac:dyDescent="0.35">
      <c r="A1163" s="14" t="s">
        <v>1410</v>
      </c>
      <c r="B1163" s="14" t="s">
        <v>274</v>
      </c>
      <c r="C1163" s="14" t="s">
        <v>25</v>
      </c>
      <c r="D1163" s="15">
        <v>42</v>
      </c>
      <c r="E1163" s="14" t="s">
        <v>63</v>
      </c>
      <c r="F1163" s="14" t="s">
        <v>43</v>
      </c>
      <c r="G1163" s="16">
        <v>45594</v>
      </c>
      <c r="H1163" s="14" t="s">
        <v>26</v>
      </c>
      <c r="I1163" s="14" t="s">
        <v>36</v>
      </c>
      <c r="J1163" s="14" t="s">
        <v>80</v>
      </c>
      <c r="K1163" s="14" t="s">
        <v>2271</v>
      </c>
      <c r="L1163" s="14" t="s">
        <v>116</v>
      </c>
      <c r="M1163" s="14" t="s">
        <v>30</v>
      </c>
      <c r="N1163" s="17">
        <v>200263</v>
      </c>
      <c r="O1163" s="17">
        <v>38837</v>
      </c>
      <c r="P1163" s="18">
        <v>84.9</v>
      </c>
      <c r="Q1163" s="15">
        <v>2</v>
      </c>
      <c r="R1163" s="19">
        <v>6</v>
      </c>
      <c r="S1163" s="19">
        <v>3</v>
      </c>
      <c r="T1163" s="15">
        <v>17</v>
      </c>
      <c r="U1163" s="19">
        <v>82</v>
      </c>
      <c r="V1163" s="14" t="s">
        <v>31</v>
      </c>
      <c r="W1163" s="14"/>
      <c r="X1163" s="14">
        <f>IF(V1163="Yes",1,0)</f>
        <v>0</v>
      </c>
      <c r="Y1163" s="14">
        <f>IF(H1163="Active",0,1)</f>
        <v>0</v>
      </c>
    </row>
    <row r="1164" spans="1:25" ht="18" customHeight="1" x14ac:dyDescent="0.35">
      <c r="A1164" s="14" t="s">
        <v>2196</v>
      </c>
      <c r="B1164" s="14" t="s">
        <v>278</v>
      </c>
      <c r="C1164" s="14" t="s">
        <v>34</v>
      </c>
      <c r="D1164" s="15">
        <v>39</v>
      </c>
      <c r="E1164" s="14" t="s">
        <v>109</v>
      </c>
      <c r="F1164" s="14" t="s">
        <v>12</v>
      </c>
      <c r="G1164" s="16">
        <v>45594</v>
      </c>
      <c r="H1164" s="14" t="s">
        <v>54</v>
      </c>
      <c r="I1164" s="14" t="s">
        <v>36</v>
      </c>
      <c r="J1164" s="14" t="s">
        <v>80</v>
      </c>
      <c r="K1164" s="14" t="s">
        <v>55</v>
      </c>
      <c r="L1164" s="14" t="s">
        <v>38</v>
      </c>
      <c r="M1164" s="14" t="s">
        <v>30</v>
      </c>
      <c r="N1164" s="17">
        <v>136675</v>
      </c>
      <c r="O1164" s="17">
        <v>21019</v>
      </c>
      <c r="P1164" s="18">
        <v>96.1</v>
      </c>
      <c r="Q1164" s="15">
        <v>7</v>
      </c>
      <c r="R1164" s="19">
        <v>7</v>
      </c>
      <c r="S1164" s="19">
        <v>1</v>
      </c>
      <c r="T1164" s="15">
        <v>3</v>
      </c>
      <c r="U1164" s="19">
        <v>76</v>
      </c>
      <c r="V1164" s="14" t="s">
        <v>31</v>
      </c>
      <c r="W1164" s="14" t="s">
        <v>123</v>
      </c>
      <c r="X1164" s="14">
        <f>IF(V1164="Yes",1,0)</f>
        <v>0</v>
      </c>
      <c r="Y1164" s="14">
        <f>IF(H1164="Active",0,1)</f>
        <v>1</v>
      </c>
    </row>
    <row r="1165" spans="1:25" ht="18" customHeight="1" x14ac:dyDescent="0.35">
      <c r="A1165" s="14" t="s">
        <v>2224</v>
      </c>
      <c r="B1165" s="14" t="s">
        <v>258</v>
      </c>
      <c r="C1165" s="14" t="s">
        <v>25</v>
      </c>
      <c r="D1165" s="15">
        <v>55</v>
      </c>
      <c r="E1165" s="14" t="s">
        <v>2304</v>
      </c>
      <c r="F1165" s="14" t="s">
        <v>79</v>
      </c>
      <c r="G1165" s="16">
        <v>45594</v>
      </c>
      <c r="H1165" s="14" t="s">
        <v>26</v>
      </c>
      <c r="I1165" s="14" t="s">
        <v>27</v>
      </c>
      <c r="J1165" s="14" t="s">
        <v>2270</v>
      </c>
      <c r="K1165" s="14" t="s">
        <v>2271</v>
      </c>
      <c r="L1165" s="14" t="s">
        <v>29</v>
      </c>
      <c r="M1165" s="14" t="s">
        <v>60</v>
      </c>
      <c r="N1165" s="17">
        <v>157443</v>
      </c>
      <c r="O1165" s="17">
        <v>37397</v>
      </c>
      <c r="P1165" s="18">
        <v>85.8</v>
      </c>
      <c r="Q1165" s="15">
        <v>8</v>
      </c>
      <c r="R1165" s="19">
        <v>19</v>
      </c>
      <c r="S1165" s="19">
        <v>5</v>
      </c>
      <c r="T1165" s="15">
        <v>5</v>
      </c>
      <c r="U1165" s="19">
        <v>96</v>
      </c>
      <c r="V1165" s="14" t="s">
        <v>31</v>
      </c>
      <c r="W1165" s="14"/>
      <c r="X1165" s="14">
        <f>IF(V1165="Yes",1,0)</f>
        <v>0</v>
      </c>
      <c r="Y1165" s="14">
        <f>IF(H1165="Active",0,1)</f>
        <v>0</v>
      </c>
    </row>
    <row r="1166" spans="1:25" ht="18" customHeight="1" x14ac:dyDescent="0.35">
      <c r="A1166" s="14" t="s">
        <v>517</v>
      </c>
      <c r="B1166" s="14" t="s">
        <v>518</v>
      </c>
      <c r="C1166" s="14" t="s">
        <v>25</v>
      </c>
      <c r="D1166" s="15">
        <v>23</v>
      </c>
      <c r="E1166" s="14" t="s">
        <v>2304</v>
      </c>
      <c r="F1166" s="14" t="s">
        <v>79</v>
      </c>
      <c r="G1166" s="16">
        <v>45593</v>
      </c>
      <c r="H1166" s="14" t="s">
        <v>54</v>
      </c>
      <c r="I1166" s="14" t="s">
        <v>2267</v>
      </c>
      <c r="J1166" s="14" t="s">
        <v>2268</v>
      </c>
      <c r="K1166" s="14" t="s">
        <v>55</v>
      </c>
      <c r="L1166" s="14" t="s">
        <v>38</v>
      </c>
      <c r="M1166" s="14" t="s">
        <v>64</v>
      </c>
      <c r="N1166" s="17">
        <v>168274</v>
      </c>
      <c r="O1166" s="17">
        <v>44272</v>
      </c>
      <c r="P1166" s="18">
        <v>88.1</v>
      </c>
      <c r="Q1166" s="15">
        <v>10</v>
      </c>
      <c r="R1166" s="19">
        <v>23</v>
      </c>
      <c r="S1166" s="19">
        <v>1</v>
      </c>
      <c r="T1166" s="15">
        <v>26</v>
      </c>
      <c r="U1166" s="19">
        <v>93</v>
      </c>
      <c r="V1166" s="14" t="s">
        <v>31</v>
      </c>
      <c r="W1166" s="14" t="s">
        <v>83</v>
      </c>
      <c r="X1166" s="14">
        <f>IF(V1166="Yes",1,0)</f>
        <v>0</v>
      </c>
      <c r="Y1166" s="14">
        <f>IF(H1166="Active",0,1)</f>
        <v>1</v>
      </c>
    </row>
    <row r="1167" spans="1:25" ht="18" customHeight="1" x14ac:dyDescent="0.35">
      <c r="A1167" s="8" t="s">
        <v>1399</v>
      </c>
      <c r="B1167" s="8" t="s">
        <v>173</v>
      </c>
      <c r="C1167" s="8" t="s">
        <v>25</v>
      </c>
      <c r="D1167" s="9">
        <v>35</v>
      </c>
      <c r="E1167" s="8" t="s">
        <v>67</v>
      </c>
      <c r="F1167" s="8" t="s">
        <v>76</v>
      </c>
      <c r="G1167" s="10">
        <v>45593</v>
      </c>
      <c r="H1167" s="8" t="s">
        <v>26</v>
      </c>
      <c r="I1167" s="8" t="s">
        <v>27</v>
      </c>
      <c r="J1167" s="8" t="s">
        <v>2270</v>
      </c>
      <c r="K1167" s="8" t="s">
        <v>55</v>
      </c>
      <c r="L1167" s="8" t="s">
        <v>29</v>
      </c>
      <c r="M1167" s="8" t="s">
        <v>39</v>
      </c>
      <c r="N1167" s="11">
        <v>234119</v>
      </c>
      <c r="O1167" s="11">
        <v>7824</v>
      </c>
      <c r="P1167" s="12">
        <v>87.1</v>
      </c>
      <c r="Q1167" s="9">
        <v>10</v>
      </c>
      <c r="R1167" s="13">
        <v>13</v>
      </c>
      <c r="S1167" s="13">
        <v>2</v>
      </c>
      <c r="T1167" s="9">
        <v>19</v>
      </c>
      <c r="U1167" s="13">
        <v>90</v>
      </c>
      <c r="V1167" s="8" t="s">
        <v>31</v>
      </c>
      <c r="W1167" s="8"/>
      <c r="X1167" s="22">
        <f>IF(V1167="Yes",1,0)</f>
        <v>0</v>
      </c>
      <c r="Y1167" s="22">
        <f>IF(H1167="Active",0,1)</f>
        <v>0</v>
      </c>
    </row>
    <row r="1168" spans="1:25" ht="18" customHeight="1" x14ac:dyDescent="0.35">
      <c r="A1168" s="8" t="s">
        <v>1723</v>
      </c>
      <c r="B1168" s="8" t="s">
        <v>646</v>
      </c>
      <c r="C1168" s="8" t="s">
        <v>25</v>
      </c>
      <c r="D1168" s="9">
        <v>25</v>
      </c>
      <c r="E1168" s="8" t="s">
        <v>109</v>
      </c>
      <c r="F1168" s="8" t="s">
        <v>43</v>
      </c>
      <c r="G1168" s="10">
        <v>45593</v>
      </c>
      <c r="H1168" s="8" t="s">
        <v>26</v>
      </c>
      <c r="I1168" s="8" t="s">
        <v>27</v>
      </c>
      <c r="J1168" s="8" t="s">
        <v>2269</v>
      </c>
      <c r="K1168" s="8" t="s">
        <v>37</v>
      </c>
      <c r="L1168" s="8" t="s">
        <v>56</v>
      </c>
      <c r="M1168" s="8" t="s">
        <v>39</v>
      </c>
      <c r="N1168" s="11">
        <v>197768</v>
      </c>
      <c r="O1168" s="11">
        <v>27366</v>
      </c>
      <c r="P1168" s="12">
        <v>81.599999999999994</v>
      </c>
      <c r="Q1168" s="9">
        <v>10</v>
      </c>
      <c r="R1168" s="13">
        <v>29</v>
      </c>
      <c r="S1168" s="13">
        <v>5</v>
      </c>
      <c r="T1168" s="9">
        <v>20</v>
      </c>
      <c r="U1168" s="13">
        <v>68</v>
      </c>
      <c r="V1168" s="8" t="s">
        <v>31</v>
      </c>
      <c r="W1168" s="8"/>
      <c r="X1168" s="22">
        <f>IF(V1168="Yes",1,0)</f>
        <v>0</v>
      </c>
      <c r="Y1168" s="22">
        <f>IF(H1168="Active",0,1)</f>
        <v>0</v>
      </c>
    </row>
    <row r="1169" spans="1:25" ht="18" customHeight="1" x14ac:dyDescent="0.35">
      <c r="A1169" s="14" t="s">
        <v>2000</v>
      </c>
      <c r="B1169" s="14" t="s">
        <v>318</v>
      </c>
      <c r="C1169" s="14" t="s">
        <v>25</v>
      </c>
      <c r="D1169" s="15">
        <v>41</v>
      </c>
      <c r="E1169" s="14" t="s">
        <v>2304</v>
      </c>
      <c r="F1169" s="14" t="s">
        <v>43</v>
      </c>
      <c r="G1169" s="16">
        <v>45593</v>
      </c>
      <c r="H1169" s="14" t="s">
        <v>26</v>
      </c>
      <c r="I1169" s="14" t="s">
        <v>2267</v>
      </c>
      <c r="J1169" s="14" t="s">
        <v>2270</v>
      </c>
      <c r="K1169" s="14" t="s">
        <v>37</v>
      </c>
      <c r="L1169" s="14" t="s">
        <v>44</v>
      </c>
      <c r="M1169" s="14" t="s">
        <v>64</v>
      </c>
      <c r="N1169" s="17">
        <v>86938</v>
      </c>
      <c r="O1169" s="17">
        <v>25244</v>
      </c>
      <c r="P1169" s="18">
        <v>99</v>
      </c>
      <c r="Q1169" s="15">
        <v>5</v>
      </c>
      <c r="R1169" s="19">
        <v>23</v>
      </c>
      <c r="S1169" s="19">
        <v>4</v>
      </c>
      <c r="T1169" s="15">
        <v>33</v>
      </c>
      <c r="U1169" s="19">
        <v>90</v>
      </c>
      <c r="V1169" s="14" t="s">
        <v>31</v>
      </c>
      <c r="W1169" s="14"/>
      <c r="X1169" s="14">
        <f>IF(V1169="Yes",1,0)</f>
        <v>0</v>
      </c>
      <c r="Y1169" s="14">
        <f>IF(H1169="Active",0,1)</f>
        <v>0</v>
      </c>
    </row>
    <row r="1170" spans="1:25" ht="18" customHeight="1" x14ac:dyDescent="0.35">
      <c r="A1170" s="8" t="s">
        <v>572</v>
      </c>
      <c r="B1170" s="8" t="s">
        <v>113</v>
      </c>
      <c r="C1170" s="8" t="s">
        <v>25</v>
      </c>
      <c r="D1170" s="9">
        <v>55</v>
      </c>
      <c r="E1170" s="8" t="s">
        <v>86</v>
      </c>
      <c r="F1170" s="8" t="s">
        <v>72</v>
      </c>
      <c r="G1170" s="10">
        <v>45592</v>
      </c>
      <c r="H1170" s="8" t="s">
        <v>54</v>
      </c>
      <c r="I1170" s="8" t="s">
        <v>27</v>
      </c>
      <c r="J1170" s="8" t="s">
        <v>48</v>
      </c>
      <c r="K1170" s="8" t="s">
        <v>55</v>
      </c>
      <c r="L1170" s="8" t="s">
        <v>44</v>
      </c>
      <c r="M1170" s="8" t="s">
        <v>45</v>
      </c>
      <c r="N1170" s="11">
        <v>133085</v>
      </c>
      <c r="O1170" s="11">
        <v>31675</v>
      </c>
      <c r="P1170" s="12">
        <v>88.9</v>
      </c>
      <c r="Q1170" s="9">
        <v>3</v>
      </c>
      <c r="R1170" s="13">
        <v>5</v>
      </c>
      <c r="S1170" s="13">
        <v>4</v>
      </c>
      <c r="T1170" s="9">
        <v>10</v>
      </c>
      <c r="U1170" s="13">
        <v>98</v>
      </c>
      <c r="V1170" s="8" t="s">
        <v>31</v>
      </c>
      <c r="W1170" s="8" t="s">
        <v>123</v>
      </c>
      <c r="X1170" s="22">
        <f>IF(V1170="Yes",1,0)</f>
        <v>0</v>
      </c>
      <c r="Y1170" s="22">
        <f>IF(H1170="Active",0,1)</f>
        <v>1</v>
      </c>
    </row>
    <row r="1171" spans="1:25" ht="18" customHeight="1" x14ac:dyDescent="0.35">
      <c r="A1171" s="14" t="s">
        <v>636</v>
      </c>
      <c r="B1171" s="14" t="s">
        <v>203</v>
      </c>
      <c r="C1171" s="14" t="s">
        <v>34</v>
      </c>
      <c r="D1171" s="15">
        <v>24</v>
      </c>
      <c r="E1171" s="14" t="s">
        <v>67</v>
      </c>
      <c r="F1171" s="14" t="s">
        <v>12</v>
      </c>
      <c r="G1171" s="16">
        <v>45592</v>
      </c>
      <c r="H1171" s="14" t="s">
        <v>26</v>
      </c>
      <c r="I1171" s="14" t="s">
        <v>27</v>
      </c>
      <c r="J1171" s="14" t="s">
        <v>48</v>
      </c>
      <c r="K1171" s="14" t="s">
        <v>73</v>
      </c>
      <c r="L1171" s="14" t="s">
        <v>56</v>
      </c>
      <c r="M1171" s="14" t="s">
        <v>39</v>
      </c>
      <c r="N1171" s="17">
        <v>52016</v>
      </c>
      <c r="O1171" s="17">
        <v>12146</v>
      </c>
      <c r="P1171" s="18">
        <v>88.3</v>
      </c>
      <c r="Q1171" s="15">
        <v>8</v>
      </c>
      <c r="R1171" s="19">
        <v>12</v>
      </c>
      <c r="S1171" s="19">
        <v>5</v>
      </c>
      <c r="T1171" s="15">
        <v>23</v>
      </c>
      <c r="U1171" s="19">
        <v>62</v>
      </c>
      <c r="V1171" s="14" t="s">
        <v>69</v>
      </c>
      <c r="W1171" s="14"/>
      <c r="X1171" s="14">
        <f>IF(V1171="Yes",1,0)</f>
        <v>1</v>
      </c>
      <c r="Y1171" s="14">
        <f>IF(H1171="Active",0,1)</f>
        <v>0</v>
      </c>
    </row>
    <row r="1172" spans="1:25" ht="18" customHeight="1" x14ac:dyDescent="0.35">
      <c r="A1172" s="8" t="s">
        <v>712</v>
      </c>
      <c r="B1172" s="8" t="s">
        <v>179</v>
      </c>
      <c r="C1172" s="8" t="s">
        <v>25</v>
      </c>
      <c r="D1172" s="9">
        <v>48</v>
      </c>
      <c r="E1172" s="8" t="s">
        <v>42</v>
      </c>
      <c r="F1172" s="8" t="s">
        <v>43</v>
      </c>
      <c r="G1172" s="10">
        <v>45592</v>
      </c>
      <c r="H1172" s="8" t="s">
        <v>26</v>
      </c>
      <c r="I1172" s="8" t="s">
        <v>2267</v>
      </c>
      <c r="J1172" s="8" t="s">
        <v>2270</v>
      </c>
      <c r="K1172" s="8" t="s">
        <v>55</v>
      </c>
      <c r="L1172" s="8" t="s">
        <v>68</v>
      </c>
      <c r="M1172" s="8" t="s">
        <v>39</v>
      </c>
      <c r="N1172" s="11">
        <v>222465</v>
      </c>
      <c r="O1172" s="11">
        <v>39605</v>
      </c>
      <c r="P1172" s="12">
        <v>97.9</v>
      </c>
      <c r="Q1172" s="9">
        <v>1</v>
      </c>
      <c r="R1172" s="13">
        <v>11</v>
      </c>
      <c r="S1172" s="13">
        <v>2</v>
      </c>
      <c r="T1172" s="9">
        <v>31</v>
      </c>
      <c r="U1172" s="13">
        <v>75</v>
      </c>
      <c r="V1172" s="8" t="s">
        <v>31</v>
      </c>
      <c r="W1172" s="8"/>
      <c r="X1172" s="22">
        <f>IF(V1172="Yes",1,0)</f>
        <v>0</v>
      </c>
      <c r="Y1172" s="22">
        <f>IF(H1172="Active",0,1)</f>
        <v>0</v>
      </c>
    </row>
    <row r="1173" spans="1:25" ht="18" customHeight="1" x14ac:dyDescent="0.35">
      <c r="A1173" s="14" t="s">
        <v>2242</v>
      </c>
      <c r="B1173" s="14" t="s">
        <v>184</v>
      </c>
      <c r="C1173" s="14" t="s">
        <v>34</v>
      </c>
      <c r="D1173" s="15">
        <v>41</v>
      </c>
      <c r="E1173" s="14" t="s">
        <v>42</v>
      </c>
      <c r="F1173" s="14" t="s">
        <v>79</v>
      </c>
      <c r="G1173" s="16">
        <v>45592</v>
      </c>
      <c r="H1173" s="14" t="s">
        <v>26</v>
      </c>
      <c r="I1173" s="14" t="s">
        <v>2267</v>
      </c>
      <c r="J1173" s="14" t="s">
        <v>48</v>
      </c>
      <c r="K1173" s="14" t="s">
        <v>28</v>
      </c>
      <c r="L1173" s="14" t="s">
        <v>116</v>
      </c>
      <c r="M1173" s="14" t="s">
        <v>39</v>
      </c>
      <c r="N1173" s="17">
        <v>191737</v>
      </c>
      <c r="O1173" s="17">
        <v>26619</v>
      </c>
      <c r="P1173" s="18">
        <v>99.3</v>
      </c>
      <c r="Q1173" s="15">
        <v>3</v>
      </c>
      <c r="R1173" s="19">
        <v>16</v>
      </c>
      <c r="S1173" s="19">
        <v>4</v>
      </c>
      <c r="T1173" s="15">
        <v>21</v>
      </c>
      <c r="U1173" s="19">
        <v>60</v>
      </c>
      <c r="V1173" s="14" t="s">
        <v>31</v>
      </c>
      <c r="W1173" s="14"/>
      <c r="X1173" s="14">
        <f>IF(V1173="Yes",1,0)</f>
        <v>0</v>
      </c>
      <c r="Y1173" s="14">
        <f>IF(H1173="Active",0,1)</f>
        <v>0</v>
      </c>
    </row>
    <row r="1174" spans="1:25" ht="18" customHeight="1" x14ac:dyDescent="0.35">
      <c r="A1174" s="14" t="s">
        <v>883</v>
      </c>
      <c r="B1174" s="14" t="s">
        <v>295</v>
      </c>
      <c r="C1174" s="14" t="s">
        <v>25</v>
      </c>
      <c r="D1174" s="15">
        <v>40</v>
      </c>
      <c r="E1174" s="14" t="s">
        <v>52</v>
      </c>
      <c r="F1174" s="14" t="s">
        <v>12</v>
      </c>
      <c r="G1174" s="16">
        <v>45591</v>
      </c>
      <c r="H1174" s="14" t="s">
        <v>26</v>
      </c>
      <c r="I1174" s="14" t="s">
        <v>36</v>
      </c>
      <c r="J1174" s="14" t="s">
        <v>2269</v>
      </c>
      <c r="K1174" s="14" t="s">
        <v>37</v>
      </c>
      <c r="L1174" s="14" t="s">
        <v>44</v>
      </c>
      <c r="M1174" s="14" t="s">
        <v>39</v>
      </c>
      <c r="N1174" s="17">
        <v>156533</v>
      </c>
      <c r="O1174" s="17">
        <v>11784</v>
      </c>
      <c r="P1174" s="18">
        <v>97.9</v>
      </c>
      <c r="Q1174" s="15">
        <v>5</v>
      </c>
      <c r="R1174" s="19">
        <v>22</v>
      </c>
      <c r="S1174" s="19">
        <v>3</v>
      </c>
      <c r="T1174" s="15">
        <v>27</v>
      </c>
      <c r="U1174" s="19">
        <v>99</v>
      </c>
      <c r="V1174" s="14" t="s">
        <v>69</v>
      </c>
      <c r="W1174" s="14"/>
      <c r="X1174" s="14">
        <f>IF(V1174="Yes",1,0)</f>
        <v>1</v>
      </c>
      <c r="Y1174" s="14">
        <f>IF(H1174="Active",0,1)</f>
        <v>0</v>
      </c>
    </row>
    <row r="1175" spans="1:25" ht="18" customHeight="1" x14ac:dyDescent="0.35">
      <c r="A1175" s="14" t="s">
        <v>1996</v>
      </c>
      <c r="B1175" s="14" t="s">
        <v>186</v>
      </c>
      <c r="C1175" s="14" t="s">
        <v>25</v>
      </c>
      <c r="D1175" s="15">
        <v>29</v>
      </c>
      <c r="E1175" s="14" t="s">
        <v>109</v>
      </c>
      <c r="F1175" s="14" t="s">
        <v>43</v>
      </c>
      <c r="G1175" s="16">
        <v>45591</v>
      </c>
      <c r="H1175" s="14" t="s">
        <v>26</v>
      </c>
      <c r="I1175" s="14" t="s">
        <v>2267</v>
      </c>
      <c r="J1175" s="14" t="s">
        <v>2268</v>
      </c>
      <c r="K1175" s="14" t="s">
        <v>73</v>
      </c>
      <c r="L1175" s="14" t="s">
        <v>87</v>
      </c>
      <c r="M1175" s="14" t="s">
        <v>30</v>
      </c>
      <c r="N1175" s="17">
        <v>79146</v>
      </c>
      <c r="O1175" s="17">
        <v>17337</v>
      </c>
      <c r="P1175" s="18">
        <v>89.7</v>
      </c>
      <c r="Q1175" s="15">
        <v>6</v>
      </c>
      <c r="R1175" s="19">
        <v>21</v>
      </c>
      <c r="S1175" s="19">
        <v>2</v>
      </c>
      <c r="T1175" s="15">
        <v>19</v>
      </c>
      <c r="U1175" s="19">
        <v>99</v>
      </c>
      <c r="V1175" s="14" t="s">
        <v>31</v>
      </c>
      <c r="W1175" s="14"/>
      <c r="X1175" s="14">
        <f>IF(V1175="Yes",1,0)</f>
        <v>0</v>
      </c>
      <c r="Y1175" s="14">
        <f>IF(H1175="Active",0,1)</f>
        <v>0</v>
      </c>
    </row>
    <row r="1176" spans="1:25" ht="18" customHeight="1" x14ac:dyDescent="0.35">
      <c r="A1176" s="8" t="s">
        <v>655</v>
      </c>
      <c r="B1176" s="8" t="s">
        <v>630</v>
      </c>
      <c r="C1176" s="8" t="s">
        <v>34</v>
      </c>
      <c r="D1176" s="9">
        <v>43</v>
      </c>
      <c r="E1176" s="8" t="s">
        <v>42</v>
      </c>
      <c r="F1176" s="8" t="s">
        <v>72</v>
      </c>
      <c r="G1176" s="10">
        <v>45590</v>
      </c>
      <c r="H1176" s="8" t="s">
        <v>26</v>
      </c>
      <c r="I1176" s="8" t="s">
        <v>2267</v>
      </c>
      <c r="J1176" s="8" t="s">
        <v>48</v>
      </c>
      <c r="K1176" s="8" t="s">
        <v>73</v>
      </c>
      <c r="L1176" s="8" t="s">
        <v>56</v>
      </c>
      <c r="M1176" s="8" t="s">
        <v>30</v>
      </c>
      <c r="N1176" s="11">
        <v>162317</v>
      </c>
      <c r="O1176" s="11">
        <v>38580</v>
      </c>
      <c r="P1176" s="12">
        <v>93.3</v>
      </c>
      <c r="Q1176" s="9">
        <v>1</v>
      </c>
      <c r="R1176" s="13">
        <v>8</v>
      </c>
      <c r="S1176" s="13">
        <v>2</v>
      </c>
      <c r="T1176" s="9">
        <v>31</v>
      </c>
      <c r="U1176" s="13">
        <v>97</v>
      </c>
      <c r="V1176" s="8" t="s">
        <v>31</v>
      </c>
      <c r="W1176" s="8"/>
      <c r="X1176" s="22">
        <f>IF(V1176="Yes",1,0)</f>
        <v>0</v>
      </c>
      <c r="Y1176" s="22">
        <f>IF(H1176="Active",0,1)</f>
        <v>0</v>
      </c>
    </row>
    <row r="1177" spans="1:25" ht="18" customHeight="1" x14ac:dyDescent="0.35">
      <c r="A1177" s="14" t="s">
        <v>729</v>
      </c>
      <c r="B1177" s="14" t="s">
        <v>89</v>
      </c>
      <c r="C1177" s="14" t="s">
        <v>25</v>
      </c>
      <c r="D1177" s="15">
        <v>30</v>
      </c>
      <c r="E1177" s="14" t="s">
        <v>2303</v>
      </c>
      <c r="F1177" s="14" t="s">
        <v>72</v>
      </c>
      <c r="G1177" s="16">
        <v>45590</v>
      </c>
      <c r="H1177" s="14" t="s">
        <v>26</v>
      </c>
      <c r="I1177" s="14" t="s">
        <v>27</v>
      </c>
      <c r="J1177" s="14" t="s">
        <v>2270</v>
      </c>
      <c r="K1177" s="14" t="s">
        <v>37</v>
      </c>
      <c r="L1177" s="14" t="s">
        <v>44</v>
      </c>
      <c r="M1177" s="14" t="s">
        <v>60</v>
      </c>
      <c r="N1177" s="17">
        <v>114291</v>
      </c>
      <c r="O1177" s="17">
        <v>40098</v>
      </c>
      <c r="P1177" s="18">
        <v>85.2</v>
      </c>
      <c r="Q1177" s="15">
        <v>0</v>
      </c>
      <c r="R1177" s="19">
        <v>13</v>
      </c>
      <c r="S1177" s="19">
        <v>5</v>
      </c>
      <c r="T1177" s="15">
        <v>32</v>
      </c>
      <c r="U1177" s="19">
        <v>67</v>
      </c>
      <c r="V1177" s="14" t="s">
        <v>31</v>
      </c>
      <c r="W1177" s="14"/>
      <c r="X1177" s="14">
        <f>IF(V1177="Yes",1,0)</f>
        <v>0</v>
      </c>
      <c r="Y1177" s="14">
        <f>IF(H1177="Active",0,1)</f>
        <v>0</v>
      </c>
    </row>
    <row r="1178" spans="1:25" ht="18" customHeight="1" x14ac:dyDescent="0.35">
      <c r="A1178" s="8" t="s">
        <v>1595</v>
      </c>
      <c r="B1178" s="8" t="s">
        <v>285</v>
      </c>
      <c r="C1178" s="8" t="s">
        <v>34</v>
      </c>
      <c r="D1178" s="9">
        <v>30</v>
      </c>
      <c r="E1178" s="8" t="s">
        <v>2304</v>
      </c>
      <c r="F1178" s="8" t="s">
        <v>35</v>
      </c>
      <c r="G1178" s="10">
        <v>45590</v>
      </c>
      <c r="H1178" s="8" t="s">
        <v>26</v>
      </c>
      <c r="I1178" s="8" t="s">
        <v>27</v>
      </c>
      <c r="J1178" s="8" t="s">
        <v>2268</v>
      </c>
      <c r="K1178" s="8" t="s">
        <v>2271</v>
      </c>
      <c r="L1178" s="8" t="s">
        <v>49</v>
      </c>
      <c r="M1178" s="8" t="s">
        <v>30</v>
      </c>
      <c r="N1178" s="11">
        <v>61786</v>
      </c>
      <c r="O1178" s="11">
        <v>31303</v>
      </c>
      <c r="P1178" s="12">
        <v>89.8</v>
      </c>
      <c r="Q1178" s="9">
        <v>10</v>
      </c>
      <c r="R1178" s="13">
        <v>16</v>
      </c>
      <c r="S1178" s="13">
        <v>4</v>
      </c>
      <c r="T1178" s="9">
        <v>24</v>
      </c>
      <c r="U1178" s="13">
        <v>72</v>
      </c>
      <c r="V1178" s="8" t="s">
        <v>31</v>
      </c>
      <c r="W1178" s="8"/>
      <c r="X1178" s="22">
        <f>IF(V1178="Yes",1,0)</f>
        <v>0</v>
      </c>
      <c r="Y1178" s="22">
        <f>IF(H1178="Active",0,1)</f>
        <v>0</v>
      </c>
    </row>
    <row r="1179" spans="1:25" ht="18" customHeight="1" x14ac:dyDescent="0.35">
      <c r="A1179" s="14" t="s">
        <v>209</v>
      </c>
      <c r="B1179" s="14" t="s">
        <v>210</v>
      </c>
      <c r="C1179" s="14" t="s">
        <v>34</v>
      </c>
      <c r="D1179" s="15">
        <v>43</v>
      </c>
      <c r="E1179" s="14" t="s">
        <v>42</v>
      </c>
      <c r="F1179" s="14" t="s">
        <v>53</v>
      </c>
      <c r="G1179" s="16">
        <v>45589</v>
      </c>
      <c r="H1179" s="14" t="s">
        <v>26</v>
      </c>
      <c r="I1179" s="14" t="s">
        <v>36</v>
      </c>
      <c r="J1179" s="14" t="s">
        <v>80</v>
      </c>
      <c r="K1179" s="14" t="s">
        <v>73</v>
      </c>
      <c r="L1179" s="14" t="s">
        <v>68</v>
      </c>
      <c r="M1179" s="14" t="s">
        <v>30</v>
      </c>
      <c r="N1179" s="17">
        <v>96374</v>
      </c>
      <c r="O1179" s="17">
        <v>25435</v>
      </c>
      <c r="P1179" s="18">
        <v>96.8</v>
      </c>
      <c r="Q1179" s="15">
        <v>3</v>
      </c>
      <c r="R1179" s="19">
        <v>9</v>
      </c>
      <c r="S1179" s="19">
        <v>3</v>
      </c>
      <c r="T1179" s="15">
        <v>16</v>
      </c>
      <c r="U1179" s="19">
        <v>95</v>
      </c>
      <c r="V1179" s="14" t="s">
        <v>69</v>
      </c>
      <c r="W1179" s="14"/>
      <c r="X1179" s="14">
        <f>IF(V1179="Yes",1,0)</f>
        <v>1</v>
      </c>
      <c r="Y1179" s="14">
        <f>IF(H1179="Active",0,1)</f>
        <v>0</v>
      </c>
    </row>
    <row r="1180" spans="1:25" ht="18" customHeight="1" x14ac:dyDescent="0.35">
      <c r="A1180" s="14" t="s">
        <v>774</v>
      </c>
      <c r="B1180" s="14" t="s">
        <v>118</v>
      </c>
      <c r="C1180" s="14" t="s">
        <v>34</v>
      </c>
      <c r="D1180" s="15">
        <v>39</v>
      </c>
      <c r="E1180" s="14" t="s">
        <v>2304</v>
      </c>
      <c r="F1180" s="14" t="s">
        <v>53</v>
      </c>
      <c r="G1180" s="16">
        <v>45589</v>
      </c>
      <c r="H1180" s="14" t="s">
        <v>54</v>
      </c>
      <c r="I1180" s="14" t="s">
        <v>27</v>
      </c>
      <c r="J1180" s="14" t="s">
        <v>80</v>
      </c>
      <c r="K1180" s="14" t="s">
        <v>55</v>
      </c>
      <c r="L1180" s="14" t="s">
        <v>44</v>
      </c>
      <c r="M1180" s="14" t="s">
        <v>39</v>
      </c>
      <c r="N1180" s="17">
        <v>59426</v>
      </c>
      <c r="O1180" s="17">
        <v>44071</v>
      </c>
      <c r="P1180" s="18">
        <v>88</v>
      </c>
      <c r="Q1180" s="15">
        <v>9</v>
      </c>
      <c r="R1180" s="19">
        <v>19</v>
      </c>
      <c r="S1180" s="19">
        <v>4</v>
      </c>
      <c r="T1180" s="15">
        <v>2</v>
      </c>
      <c r="U1180" s="19">
        <v>100</v>
      </c>
      <c r="V1180" s="14" t="s">
        <v>31</v>
      </c>
      <c r="W1180" s="14" t="s">
        <v>123</v>
      </c>
      <c r="X1180" s="14">
        <f>IF(V1180="Yes",1,0)</f>
        <v>0</v>
      </c>
      <c r="Y1180" s="14">
        <f>IF(H1180="Active",0,1)</f>
        <v>1</v>
      </c>
    </row>
    <row r="1181" spans="1:25" ht="18" customHeight="1" x14ac:dyDescent="0.35">
      <c r="A1181" s="14" t="s">
        <v>1064</v>
      </c>
      <c r="B1181" s="14" t="s">
        <v>160</v>
      </c>
      <c r="C1181" s="14" t="s">
        <v>25</v>
      </c>
      <c r="D1181" s="15">
        <v>28</v>
      </c>
      <c r="E1181" s="14" t="s">
        <v>93</v>
      </c>
      <c r="F1181" s="14" t="s">
        <v>90</v>
      </c>
      <c r="G1181" s="16">
        <v>45589</v>
      </c>
      <c r="H1181" s="14" t="s">
        <v>26</v>
      </c>
      <c r="I1181" s="14" t="s">
        <v>2267</v>
      </c>
      <c r="J1181" s="14" t="s">
        <v>80</v>
      </c>
      <c r="K1181" s="14" t="s">
        <v>55</v>
      </c>
      <c r="L1181" s="14" t="s">
        <v>29</v>
      </c>
      <c r="M1181" s="14" t="s">
        <v>39</v>
      </c>
      <c r="N1181" s="17">
        <v>192701</v>
      </c>
      <c r="O1181" s="17">
        <v>41101</v>
      </c>
      <c r="P1181" s="18">
        <v>99.7</v>
      </c>
      <c r="Q1181" s="15">
        <v>1</v>
      </c>
      <c r="R1181" s="19">
        <v>28</v>
      </c>
      <c r="S1181" s="19">
        <v>2</v>
      </c>
      <c r="T1181" s="15">
        <v>29</v>
      </c>
      <c r="U1181" s="19">
        <v>91</v>
      </c>
      <c r="V1181" s="14" t="s">
        <v>31</v>
      </c>
      <c r="W1181" s="14"/>
      <c r="X1181" s="14">
        <f>IF(V1181="Yes",1,0)</f>
        <v>0</v>
      </c>
      <c r="Y1181" s="14">
        <f>IF(H1181="Active",0,1)</f>
        <v>0</v>
      </c>
    </row>
    <row r="1182" spans="1:25" ht="18" customHeight="1" x14ac:dyDescent="0.35">
      <c r="A1182" s="14" t="s">
        <v>2012</v>
      </c>
      <c r="B1182" s="14" t="s">
        <v>85</v>
      </c>
      <c r="C1182" s="14" t="s">
        <v>25</v>
      </c>
      <c r="D1182" s="15">
        <v>42</v>
      </c>
      <c r="E1182" s="14" t="s">
        <v>109</v>
      </c>
      <c r="F1182" s="14" t="s">
        <v>72</v>
      </c>
      <c r="G1182" s="16">
        <v>45589</v>
      </c>
      <c r="H1182" s="14" t="s">
        <v>26</v>
      </c>
      <c r="I1182" s="14" t="s">
        <v>36</v>
      </c>
      <c r="J1182" s="14" t="s">
        <v>2268</v>
      </c>
      <c r="K1182" s="14" t="s">
        <v>2271</v>
      </c>
      <c r="L1182" s="14" t="s">
        <v>68</v>
      </c>
      <c r="M1182" s="14" t="s">
        <v>45</v>
      </c>
      <c r="N1182" s="17">
        <v>63291</v>
      </c>
      <c r="O1182" s="17">
        <v>7005</v>
      </c>
      <c r="P1182" s="18">
        <v>96.2</v>
      </c>
      <c r="Q1182" s="15">
        <v>0</v>
      </c>
      <c r="R1182" s="19">
        <v>3</v>
      </c>
      <c r="S1182" s="19">
        <v>5</v>
      </c>
      <c r="T1182" s="15">
        <v>37</v>
      </c>
      <c r="U1182" s="19">
        <v>79</v>
      </c>
      <c r="V1182" s="14" t="s">
        <v>31</v>
      </c>
      <c r="W1182" s="14"/>
      <c r="X1182" s="14">
        <f>IF(V1182="Yes",1,0)</f>
        <v>0</v>
      </c>
      <c r="Y1182" s="14">
        <f>IF(H1182="Active",0,1)</f>
        <v>0</v>
      </c>
    </row>
    <row r="1183" spans="1:25" ht="18" customHeight="1" x14ac:dyDescent="0.35">
      <c r="A1183" s="8" t="s">
        <v>331</v>
      </c>
      <c r="B1183" s="8" t="s">
        <v>228</v>
      </c>
      <c r="C1183" s="8" t="s">
        <v>25</v>
      </c>
      <c r="D1183" s="9">
        <v>56</v>
      </c>
      <c r="E1183" s="8" t="s">
        <v>63</v>
      </c>
      <c r="F1183" s="8" t="s">
        <v>43</v>
      </c>
      <c r="G1183" s="10">
        <v>45587</v>
      </c>
      <c r="H1183" s="8" t="s">
        <v>54</v>
      </c>
      <c r="I1183" s="8" t="s">
        <v>2267</v>
      </c>
      <c r="J1183" s="8" t="s">
        <v>2270</v>
      </c>
      <c r="K1183" s="8" t="s">
        <v>2271</v>
      </c>
      <c r="L1183" s="8" t="s">
        <v>49</v>
      </c>
      <c r="M1183" s="8" t="s">
        <v>60</v>
      </c>
      <c r="N1183" s="11">
        <v>212952</v>
      </c>
      <c r="O1183" s="11">
        <v>30659</v>
      </c>
      <c r="P1183" s="12">
        <v>91.6</v>
      </c>
      <c r="Q1183" s="9">
        <v>7</v>
      </c>
      <c r="R1183" s="13">
        <v>15</v>
      </c>
      <c r="S1183" s="13">
        <v>4</v>
      </c>
      <c r="T1183" s="9">
        <v>24</v>
      </c>
      <c r="U1183" s="13">
        <v>81</v>
      </c>
      <c r="V1183" s="8" t="s">
        <v>31</v>
      </c>
      <c r="W1183" s="8" t="s">
        <v>123</v>
      </c>
      <c r="X1183" s="22">
        <f>IF(V1183="Yes",1,0)</f>
        <v>0</v>
      </c>
      <c r="Y1183" s="22">
        <f>IF(H1183="Active",0,1)</f>
        <v>1</v>
      </c>
    </row>
    <row r="1184" spans="1:25" ht="18" customHeight="1" x14ac:dyDescent="0.35">
      <c r="A1184" s="14" t="s">
        <v>607</v>
      </c>
      <c r="B1184" s="14" t="s">
        <v>551</v>
      </c>
      <c r="C1184" s="14" t="s">
        <v>25</v>
      </c>
      <c r="D1184" s="15">
        <v>41</v>
      </c>
      <c r="E1184" s="14" t="s">
        <v>93</v>
      </c>
      <c r="F1184" s="14" t="s">
        <v>53</v>
      </c>
      <c r="G1184" s="16">
        <v>45587</v>
      </c>
      <c r="H1184" s="14" t="s">
        <v>26</v>
      </c>
      <c r="I1184" s="14" t="s">
        <v>27</v>
      </c>
      <c r="J1184" s="14" t="s">
        <v>2268</v>
      </c>
      <c r="K1184" s="14" t="s">
        <v>28</v>
      </c>
      <c r="L1184" s="14" t="s">
        <v>68</v>
      </c>
      <c r="M1184" s="14" t="s">
        <v>64</v>
      </c>
      <c r="N1184" s="17">
        <v>235960</v>
      </c>
      <c r="O1184" s="17">
        <v>17494</v>
      </c>
      <c r="P1184" s="18">
        <v>98</v>
      </c>
      <c r="Q1184" s="15">
        <v>8</v>
      </c>
      <c r="R1184" s="19">
        <v>2</v>
      </c>
      <c r="S1184" s="19">
        <v>2</v>
      </c>
      <c r="T1184" s="15">
        <v>18</v>
      </c>
      <c r="U1184" s="19">
        <v>98</v>
      </c>
      <c r="V1184" s="14" t="s">
        <v>69</v>
      </c>
      <c r="W1184" s="14"/>
      <c r="X1184" s="14">
        <f>IF(V1184="Yes",1,0)</f>
        <v>1</v>
      </c>
      <c r="Y1184" s="14">
        <f>IF(H1184="Active",0,1)</f>
        <v>0</v>
      </c>
    </row>
    <row r="1185" spans="1:25" ht="18" customHeight="1" x14ac:dyDescent="0.35">
      <c r="A1185" s="14" t="s">
        <v>176</v>
      </c>
      <c r="B1185" s="14" t="s">
        <v>177</v>
      </c>
      <c r="C1185" s="14" t="s">
        <v>34</v>
      </c>
      <c r="D1185" s="15">
        <v>29</v>
      </c>
      <c r="E1185" s="14" t="s">
        <v>52</v>
      </c>
      <c r="F1185" s="14" t="s">
        <v>35</v>
      </c>
      <c r="G1185" s="16">
        <v>45586</v>
      </c>
      <c r="H1185" s="14" t="s">
        <v>26</v>
      </c>
      <c r="I1185" s="14" t="s">
        <v>27</v>
      </c>
      <c r="J1185" s="14" t="s">
        <v>2269</v>
      </c>
      <c r="K1185" s="14" t="s">
        <v>73</v>
      </c>
      <c r="L1185" s="14" t="s">
        <v>49</v>
      </c>
      <c r="M1185" s="14" t="s">
        <v>30</v>
      </c>
      <c r="N1185" s="17">
        <v>211361</v>
      </c>
      <c r="O1185" s="17">
        <v>44627</v>
      </c>
      <c r="P1185" s="18">
        <v>89</v>
      </c>
      <c r="Q1185" s="15">
        <v>4</v>
      </c>
      <c r="R1185" s="19">
        <v>23</v>
      </c>
      <c r="S1185" s="19">
        <v>3</v>
      </c>
      <c r="T1185" s="15">
        <v>38</v>
      </c>
      <c r="U1185" s="19">
        <v>71</v>
      </c>
      <c r="V1185" s="14" t="s">
        <v>31</v>
      </c>
      <c r="W1185" s="14"/>
      <c r="X1185" s="14">
        <f>IF(V1185="Yes",1,0)</f>
        <v>0</v>
      </c>
      <c r="Y1185" s="14">
        <f>IF(H1185="Active",0,1)</f>
        <v>0</v>
      </c>
    </row>
    <row r="1186" spans="1:25" ht="18" customHeight="1" x14ac:dyDescent="0.35">
      <c r="A1186" s="14" t="s">
        <v>221</v>
      </c>
      <c r="B1186" s="14" t="s">
        <v>222</v>
      </c>
      <c r="C1186" s="14" t="s">
        <v>34</v>
      </c>
      <c r="D1186" s="15">
        <v>54</v>
      </c>
      <c r="E1186" s="14" t="s">
        <v>2303</v>
      </c>
      <c r="F1186" s="14" t="s">
        <v>76</v>
      </c>
      <c r="G1186" s="16">
        <v>45586</v>
      </c>
      <c r="H1186" s="14" t="s">
        <v>26</v>
      </c>
      <c r="I1186" s="14" t="s">
        <v>27</v>
      </c>
      <c r="J1186" s="14" t="s">
        <v>2268</v>
      </c>
      <c r="K1186" s="14" t="s">
        <v>37</v>
      </c>
      <c r="L1186" s="14" t="s">
        <v>38</v>
      </c>
      <c r="M1186" s="14" t="s">
        <v>45</v>
      </c>
      <c r="N1186" s="17">
        <v>101123</v>
      </c>
      <c r="O1186" s="17">
        <v>39074</v>
      </c>
      <c r="P1186" s="18">
        <v>88.7</v>
      </c>
      <c r="Q1186" s="15">
        <v>6</v>
      </c>
      <c r="R1186" s="19">
        <v>25</v>
      </c>
      <c r="S1186" s="19">
        <v>4</v>
      </c>
      <c r="T1186" s="15">
        <v>17</v>
      </c>
      <c r="U1186" s="19">
        <v>75</v>
      </c>
      <c r="V1186" s="14" t="s">
        <v>31</v>
      </c>
      <c r="W1186" s="14"/>
      <c r="X1186" s="14">
        <f>IF(V1186="Yes",1,0)</f>
        <v>0</v>
      </c>
      <c r="Y1186" s="14">
        <f>IF(H1186="Active",0,1)</f>
        <v>0</v>
      </c>
    </row>
    <row r="1187" spans="1:25" ht="18" customHeight="1" x14ac:dyDescent="0.35">
      <c r="A1187" s="14" t="s">
        <v>507</v>
      </c>
      <c r="B1187" s="14" t="s">
        <v>104</v>
      </c>
      <c r="C1187" s="14" t="s">
        <v>34</v>
      </c>
      <c r="D1187" s="15">
        <v>46</v>
      </c>
      <c r="E1187" s="14" t="s">
        <v>2304</v>
      </c>
      <c r="F1187" s="14" t="s">
        <v>43</v>
      </c>
      <c r="G1187" s="16">
        <v>45586</v>
      </c>
      <c r="H1187" s="14" t="s">
        <v>54</v>
      </c>
      <c r="I1187" s="14" t="s">
        <v>36</v>
      </c>
      <c r="J1187" s="14" t="s">
        <v>80</v>
      </c>
      <c r="K1187" s="14" t="s">
        <v>28</v>
      </c>
      <c r="L1187" s="14" t="s">
        <v>56</v>
      </c>
      <c r="M1187" s="14" t="s">
        <v>45</v>
      </c>
      <c r="N1187" s="17">
        <v>128848</v>
      </c>
      <c r="O1187" s="17">
        <v>43308</v>
      </c>
      <c r="P1187" s="18">
        <v>91.9</v>
      </c>
      <c r="Q1187" s="15">
        <v>7</v>
      </c>
      <c r="R1187" s="19">
        <v>23</v>
      </c>
      <c r="S1187" s="19">
        <v>2</v>
      </c>
      <c r="T1187" s="15">
        <v>28</v>
      </c>
      <c r="U1187" s="19">
        <v>60</v>
      </c>
      <c r="V1187" s="14" t="s">
        <v>69</v>
      </c>
      <c r="W1187" s="14" t="s">
        <v>57</v>
      </c>
      <c r="X1187" s="14">
        <f>IF(V1187="Yes",1,0)</f>
        <v>1</v>
      </c>
      <c r="Y1187" s="14">
        <f>IF(H1187="Active",0,1)</f>
        <v>1</v>
      </c>
    </row>
    <row r="1188" spans="1:25" ht="18" customHeight="1" x14ac:dyDescent="0.35">
      <c r="A1188" s="8" t="s">
        <v>710</v>
      </c>
      <c r="B1188" s="8" t="s">
        <v>224</v>
      </c>
      <c r="C1188" s="8" t="s">
        <v>25</v>
      </c>
      <c r="D1188" s="9">
        <v>55</v>
      </c>
      <c r="E1188" s="8" t="s">
        <v>86</v>
      </c>
      <c r="F1188" s="8" t="s">
        <v>76</v>
      </c>
      <c r="G1188" s="10">
        <v>45586</v>
      </c>
      <c r="H1188" s="8" t="s">
        <v>26</v>
      </c>
      <c r="I1188" s="8" t="s">
        <v>36</v>
      </c>
      <c r="J1188" s="8" t="s">
        <v>80</v>
      </c>
      <c r="K1188" s="8" t="s">
        <v>55</v>
      </c>
      <c r="L1188" s="8" t="s">
        <v>29</v>
      </c>
      <c r="M1188" s="8" t="s">
        <v>64</v>
      </c>
      <c r="N1188" s="11">
        <v>224645</v>
      </c>
      <c r="O1188" s="11">
        <v>30639</v>
      </c>
      <c r="P1188" s="12">
        <v>88.6</v>
      </c>
      <c r="Q1188" s="9">
        <v>5</v>
      </c>
      <c r="R1188" s="13">
        <v>17</v>
      </c>
      <c r="S1188" s="13">
        <v>5</v>
      </c>
      <c r="T1188" s="9">
        <v>16</v>
      </c>
      <c r="U1188" s="13">
        <v>73</v>
      </c>
      <c r="V1188" s="8" t="s">
        <v>69</v>
      </c>
      <c r="W1188" s="8"/>
      <c r="X1188" s="22">
        <f>IF(V1188="Yes",1,0)</f>
        <v>1</v>
      </c>
      <c r="Y1188" s="22">
        <f>IF(H1188="Active",0,1)</f>
        <v>0</v>
      </c>
    </row>
    <row r="1189" spans="1:25" ht="18" customHeight="1" x14ac:dyDescent="0.35">
      <c r="A1189" s="8" t="s">
        <v>1315</v>
      </c>
      <c r="B1189" s="8" t="s">
        <v>370</v>
      </c>
      <c r="C1189" s="8" t="s">
        <v>25</v>
      </c>
      <c r="D1189" s="9">
        <v>50</v>
      </c>
      <c r="E1189" s="8" t="s">
        <v>109</v>
      </c>
      <c r="F1189" s="8" t="s">
        <v>79</v>
      </c>
      <c r="G1189" s="10">
        <v>45586</v>
      </c>
      <c r="H1189" s="8" t="s">
        <v>26</v>
      </c>
      <c r="I1189" s="8" t="s">
        <v>36</v>
      </c>
      <c r="J1189" s="8" t="s">
        <v>80</v>
      </c>
      <c r="K1189" s="8" t="s">
        <v>2271</v>
      </c>
      <c r="L1189" s="8" t="s">
        <v>38</v>
      </c>
      <c r="M1189" s="8" t="s">
        <v>45</v>
      </c>
      <c r="N1189" s="11">
        <v>78035</v>
      </c>
      <c r="O1189" s="11">
        <v>36867</v>
      </c>
      <c r="P1189" s="12">
        <v>92.3</v>
      </c>
      <c r="Q1189" s="9">
        <v>7</v>
      </c>
      <c r="R1189" s="13">
        <v>21</v>
      </c>
      <c r="S1189" s="13">
        <v>1</v>
      </c>
      <c r="T1189" s="9">
        <v>33</v>
      </c>
      <c r="U1189" s="13">
        <v>62</v>
      </c>
      <c r="V1189" s="8" t="s">
        <v>69</v>
      </c>
      <c r="W1189" s="8"/>
      <c r="X1189" s="22">
        <f>IF(V1189="Yes",1,0)</f>
        <v>1</v>
      </c>
      <c r="Y1189" s="22">
        <f>IF(H1189="Active",0,1)</f>
        <v>0</v>
      </c>
    </row>
    <row r="1190" spans="1:25" ht="18" customHeight="1" x14ac:dyDescent="0.35">
      <c r="A1190" s="8" t="s">
        <v>211</v>
      </c>
      <c r="B1190" s="8" t="s">
        <v>92</v>
      </c>
      <c r="C1190" s="8" t="s">
        <v>34</v>
      </c>
      <c r="D1190" s="9">
        <v>32</v>
      </c>
      <c r="E1190" s="8" t="s">
        <v>2303</v>
      </c>
      <c r="F1190" s="8" t="s">
        <v>43</v>
      </c>
      <c r="G1190" s="10">
        <v>45585</v>
      </c>
      <c r="H1190" s="8" t="s">
        <v>26</v>
      </c>
      <c r="I1190" s="8" t="s">
        <v>36</v>
      </c>
      <c r="J1190" s="8" t="s">
        <v>2268</v>
      </c>
      <c r="K1190" s="8" t="s">
        <v>28</v>
      </c>
      <c r="L1190" s="8" t="s">
        <v>49</v>
      </c>
      <c r="M1190" s="8" t="s">
        <v>39</v>
      </c>
      <c r="N1190" s="11">
        <v>160133</v>
      </c>
      <c r="O1190" s="11">
        <v>13035</v>
      </c>
      <c r="P1190" s="12">
        <v>80.400000000000006</v>
      </c>
      <c r="Q1190" s="9">
        <v>7</v>
      </c>
      <c r="R1190" s="13">
        <v>24</v>
      </c>
      <c r="S1190" s="13">
        <v>4</v>
      </c>
      <c r="T1190" s="9">
        <v>14</v>
      </c>
      <c r="U1190" s="13">
        <v>96</v>
      </c>
      <c r="V1190" s="8" t="s">
        <v>31</v>
      </c>
      <c r="W1190" s="8"/>
      <c r="X1190" s="22">
        <f>IF(V1190="Yes",1,0)</f>
        <v>0</v>
      </c>
      <c r="Y1190" s="22">
        <f>IF(H1190="Active",0,1)</f>
        <v>0</v>
      </c>
    </row>
    <row r="1191" spans="1:25" ht="18" customHeight="1" x14ac:dyDescent="0.35">
      <c r="A1191" s="8" t="s">
        <v>1001</v>
      </c>
      <c r="B1191" s="8" t="s">
        <v>518</v>
      </c>
      <c r="C1191" s="8" t="s">
        <v>34</v>
      </c>
      <c r="D1191" s="9">
        <v>51</v>
      </c>
      <c r="E1191" s="8" t="s">
        <v>109</v>
      </c>
      <c r="F1191" s="8" t="s">
        <v>12</v>
      </c>
      <c r="G1191" s="10">
        <v>45585</v>
      </c>
      <c r="H1191" s="8" t="s">
        <v>54</v>
      </c>
      <c r="I1191" s="8" t="s">
        <v>36</v>
      </c>
      <c r="J1191" s="8" t="s">
        <v>2269</v>
      </c>
      <c r="K1191" s="8" t="s">
        <v>55</v>
      </c>
      <c r="L1191" s="8" t="s">
        <v>56</v>
      </c>
      <c r="M1191" s="8" t="s">
        <v>64</v>
      </c>
      <c r="N1191" s="11">
        <v>181964</v>
      </c>
      <c r="O1191" s="11">
        <v>5665</v>
      </c>
      <c r="P1191" s="12">
        <v>99.6</v>
      </c>
      <c r="Q1191" s="9">
        <v>9</v>
      </c>
      <c r="R1191" s="13">
        <v>24</v>
      </c>
      <c r="S1191" s="13">
        <v>5</v>
      </c>
      <c r="T1191" s="9">
        <v>3</v>
      </c>
      <c r="U1191" s="13">
        <v>63</v>
      </c>
      <c r="V1191" s="8" t="s">
        <v>31</v>
      </c>
      <c r="W1191" s="8" t="s">
        <v>123</v>
      </c>
      <c r="X1191" s="22">
        <f>IF(V1191="Yes",1,0)</f>
        <v>0</v>
      </c>
      <c r="Y1191" s="22">
        <f>IF(H1191="Active",0,1)</f>
        <v>1</v>
      </c>
    </row>
    <row r="1192" spans="1:25" ht="18" customHeight="1" x14ac:dyDescent="0.35">
      <c r="A1192" s="14" t="s">
        <v>1022</v>
      </c>
      <c r="B1192" s="14" t="s">
        <v>341</v>
      </c>
      <c r="C1192" s="14" t="s">
        <v>34</v>
      </c>
      <c r="D1192" s="15">
        <v>55</v>
      </c>
      <c r="E1192" s="14" t="s">
        <v>42</v>
      </c>
      <c r="F1192" s="14" t="s">
        <v>43</v>
      </c>
      <c r="G1192" s="16">
        <v>45585</v>
      </c>
      <c r="H1192" s="14" t="s">
        <v>26</v>
      </c>
      <c r="I1192" s="14" t="s">
        <v>36</v>
      </c>
      <c r="J1192" s="14" t="s">
        <v>2270</v>
      </c>
      <c r="K1192" s="14" t="s">
        <v>2271</v>
      </c>
      <c r="L1192" s="14" t="s">
        <v>29</v>
      </c>
      <c r="M1192" s="14" t="s">
        <v>45</v>
      </c>
      <c r="N1192" s="17">
        <v>201294</v>
      </c>
      <c r="O1192" s="17">
        <v>33389</v>
      </c>
      <c r="P1192" s="18">
        <v>99.7</v>
      </c>
      <c r="Q1192" s="15">
        <v>3</v>
      </c>
      <c r="R1192" s="19">
        <v>25</v>
      </c>
      <c r="S1192" s="19">
        <v>4</v>
      </c>
      <c r="T1192" s="15">
        <v>9</v>
      </c>
      <c r="U1192" s="19">
        <v>62</v>
      </c>
      <c r="V1192" s="14" t="s">
        <v>31</v>
      </c>
      <c r="W1192" s="14"/>
      <c r="X1192" s="14">
        <f>IF(V1192="Yes",1,0)</f>
        <v>0</v>
      </c>
      <c r="Y1192" s="14">
        <f>IF(H1192="Active",0,1)</f>
        <v>0</v>
      </c>
    </row>
    <row r="1193" spans="1:25" ht="18" customHeight="1" x14ac:dyDescent="0.35">
      <c r="A1193" s="8" t="s">
        <v>2113</v>
      </c>
      <c r="B1193" s="8" t="s">
        <v>386</v>
      </c>
      <c r="C1193" s="8" t="s">
        <v>25</v>
      </c>
      <c r="D1193" s="9">
        <v>39</v>
      </c>
      <c r="E1193" s="8" t="s">
        <v>42</v>
      </c>
      <c r="F1193" s="8" t="s">
        <v>72</v>
      </c>
      <c r="G1193" s="10">
        <v>45585</v>
      </c>
      <c r="H1193" s="8" t="s">
        <v>26</v>
      </c>
      <c r="I1193" s="8" t="s">
        <v>36</v>
      </c>
      <c r="J1193" s="8" t="s">
        <v>80</v>
      </c>
      <c r="K1193" s="8" t="s">
        <v>37</v>
      </c>
      <c r="L1193" s="8" t="s">
        <v>44</v>
      </c>
      <c r="M1193" s="8" t="s">
        <v>39</v>
      </c>
      <c r="N1193" s="11">
        <v>135809</v>
      </c>
      <c r="O1193" s="11">
        <v>34957</v>
      </c>
      <c r="P1193" s="12">
        <v>99.9</v>
      </c>
      <c r="Q1193" s="9">
        <v>5</v>
      </c>
      <c r="R1193" s="13">
        <v>20</v>
      </c>
      <c r="S1193" s="13">
        <v>1</v>
      </c>
      <c r="T1193" s="9">
        <v>13</v>
      </c>
      <c r="U1193" s="13">
        <v>91</v>
      </c>
      <c r="V1193" s="8" t="s">
        <v>31</v>
      </c>
      <c r="W1193" s="8"/>
      <c r="X1193" s="22">
        <f>IF(V1193="Yes",1,0)</f>
        <v>0</v>
      </c>
      <c r="Y1193" s="22">
        <f>IF(H1193="Active",0,1)</f>
        <v>0</v>
      </c>
    </row>
    <row r="1194" spans="1:25" ht="18" customHeight="1" x14ac:dyDescent="0.35">
      <c r="A1194" s="8" t="s">
        <v>1577</v>
      </c>
      <c r="B1194" s="8" t="s">
        <v>151</v>
      </c>
      <c r="C1194" s="8" t="s">
        <v>25</v>
      </c>
      <c r="D1194" s="9">
        <v>60</v>
      </c>
      <c r="E1194" s="8" t="s">
        <v>86</v>
      </c>
      <c r="F1194" s="8" t="s">
        <v>43</v>
      </c>
      <c r="G1194" s="10">
        <v>45584</v>
      </c>
      <c r="H1194" s="8" t="s">
        <v>26</v>
      </c>
      <c r="I1194" s="8" t="s">
        <v>2267</v>
      </c>
      <c r="J1194" s="8" t="s">
        <v>2270</v>
      </c>
      <c r="K1194" s="8" t="s">
        <v>73</v>
      </c>
      <c r="L1194" s="8" t="s">
        <v>38</v>
      </c>
      <c r="M1194" s="8" t="s">
        <v>45</v>
      </c>
      <c r="N1194" s="11">
        <v>161773</v>
      </c>
      <c r="O1194" s="11">
        <v>20120</v>
      </c>
      <c r="P1194" s="12">
        <v>87.2</v>
      </c>
      <c r="Q1194" s="9">
        <v>3</v>
      </c>
      <c r="R1194" s="13">
        <v>1</v>
      </c>
      <c r="S1194" s="13">
        <v>4</v>
      </c>
      <c r="T1194" s="9">
        <v>19</v>
      </c>
      <c r="U1194" s="13">
        <v>84</v>
      </c>
      <c r="V1194" s="8" t="s">
        <v>69</v>
      </c>
      <c r="W1194" s="8"/>
      <c r="X1194" s="22">
        <f>IF(V1194="Yes",1,0)</f>
        <v>1</v>
      </c>
      <c r="Y1194" s="22">
        <f>IF(H1194="Active",0,1)</f>
        <v>0</v>
      </c>
    </row>
    <row r="1195" spans="1:25" ht="18" customHeight="1" x14ac:dyDescent="0.35">
      <c r="A1195" s="8" t="s">
        <v>1985</v>
      </c>
      <c r="B1195" s="8" t="s">
        <v>300</v>
      </c>
      <c r="C1195" s="8" t="s">
        <v>25</v>
      </c>
      <c r="D1195" s="9">
        <v>33</v>
      </c>
      <c r="E1195" s="8" t="s">
        <v>67</v>
      </c>
      <c r="F1195" s="8" t="s">
        <v>90</v>
      </c>
      <c r="G1195" s="10">
        <v>45583</v>
      </c>
      <c r="H1195" s="8" t="s">
        <v>26</v>
      </c>
      <c r="I1195" s="8" t="s">
        <v>36</v>
      </c>
      <c r="J1195" s="8" t="s">
        <v>48</v>
      </c>
      <c r="K1195" s="8" t="s">
        <v>55</v>
      </c>
      <c r="L1195" s="8" t="s">
        <v>38</v>
      </c>
      <c r="M1195" s="8" t="s">
        <v>45</v>
      </c>
      <c r="N1195" s="11">
        <v>137172</v>
      </c>
      <c r="O1195" s="11">
        <v>10836</v>
      </c>
      <c r="P1195" s="12">
        <v>83.5</v>
      </c>
      <c r="Q1195" s="9">
        <v>10</v>
      </c>
      <c r="R1195" s="13">
        <v>26</v>
      </c>
      <c r="S1195" s="13">
        <v>3</v>
      </c>
      <c r="T1195" s="9">
        <v>37</v>
      </c>
      <c r="U1195" s="13">
        <v>94</v>
      </c>
      <c r="V1195" s="8" t="s">
        <v>31</v>
      </c>
      <c r="W1195" s="8"/>
      <c r="X1195" s="22">
        <f>IF(V1195="Yes",1,0)</f>
        <v>0</v>
      </c>
      <c r="Y1195" s="22">
        <f>IF(H1195="Active",0,1)</f>
        <v>0</v>
      </c>
    </row>
    <row r="1196" spans="1:25" ht="18" customHeight="1" x14ac:dyDescent="0.35">
      <c r="A1196" s="14" t="s">
        <v>2006</v>
      </c>
      <c r="B1196" s="14" t="s">
        <v>82</v>
      </c>
      <c r="C1196" s="14" t="s">
        <v>25</v>
      </c>
      <c r="D1196" s="15">
        <v>46</v>
      </c>
      <c r="E1196" s="14" t="s">
        <v>86</v>
      </c>
      <c r="F1196" s="14" t="s">
        <v>43</v>
      </c>
      <c r="G1196" s="16">
        <v>45583</v>
      </c>
      <c r="H1196" s="14" t="s">
        <v>26</v>
      </c>
      <c r="I1196" s="14" t="s">
        <v>2267</v>
      </c>
      <c r="J1196" s="14" t="s">
        <v>2269</v>
      </c>
      <c r="K1196" s="14" t="s">
        <v>55</v>
      </c>
      <c r="L1196" s="14" t="s">
        <v>29</v>
      </c>
      <c r="M1196" s="14" t="s">
        <v>39</v>
      </c>
      <c r="N1196" s="17">
        <v>99510</v>
      </c>
      <c r="O1196" s="17">
        <v>12148</v>
      </c>
      <c r="P1196" s="18">
        <v>99.5</v>
      </c>
      <c r="Q1196" s="15">
        <v>10</v>
      </c>
      <c r="R1196" s="19">
        <v>3</v>
      </c>
      <c r="S1196" s="19">
        <v>2</v>
      </c>
      <c r="T1196" s="15">
        <v>37</v>
      </c>
      <c r="U1196" s="19">
        <v>98</v>
      </c>
      <c r="V1196" s="14" t="s">
        <v>69</v>
      </c>
      <c r="W1196" s="14"/>
      <c r="X1196" s="14">
        <f>IF(V1196="Yes",1,0)</f>
        <v>1</v>
      </c>
      <c r="Y1196" s="14">
        <f>IF(H1196="Active",0,1)</f>
        <v>0</v>
      </c>
    </row>
    <row r="1197" spans="1:25" ht="18" customHeight="1" x14ac:dyDescent="0.35">
      <c r="A1197" s="8" t="s">
        <v>2111</v>
      </c>
      <c r="B1197" s="8" t="s">
        <v>113</v>
      </c>
      <c r="C1197" s="8" t="s">
        <v>25</v>
      </c>
      <c r="D1197" s="9">
        <v>39</v>
      </c>
      <c r="E1197" s="8" t="s">
        <v>63</v>
      </c>
      <c r="F1197" s="8" t="s">
        <v>72</v>
      </c>
      <c r="G1197" s="10">
        <v>45582</v>
      </c>
      <c r="H1197" s="8" t="s">
        <v>26</v>
      </c>
      <c r="I1197" s="8" t="s">
        <v>27</v>
      </c>
      <c r="J1197" s="8" t="s">
        <v>48</v>
      </c>
      <c r="K1197" s="8" t="s">
        <v>37</v>
      </c>
      <c r="L1197" s="8" t="s">
        <v>44</v>
      </c>
      <c r="M1197" s="8" t="s">
        <v>64</v>
      </c>
      <c r="N1197" s="11">
        <v>225875</v>
      </c>
      <c r="O1197" s="11">
        <v>39589</v>
      </c>
      <c r="P1197" s="12">
        <v>84.4</v>
      </c>
      <c r="Q1197" s="9">
        <v>10</v>
      </c>
      <c r="R1197" s="13">
        <v>2</v>
      </c>
      <c r="S1197" s="13">
        <v>4</v>
      </c>
      <c r="T1197" s="9">
        <v>32</v>
      </c>
      <c r="U1197" s="13">
        <v>75</v>
      </c>
      <c r="V1197" s="8" t="s">
        <v>31</v>
      </c>
      <c r="W1197" s="8"/>
      <c r="X1197" s="22">
        <f>IF(V1197="Yes",1,0)</f>
        <v>0</v>
      </c>
      <c r="Y1197" s="22">
        <f>IF(H1197="Active",0,1)</f>
        <v>0</v>
      </c>
    </row>
    <row r="1198" spans="1:25" ht="18" customHeight="1" x14ac:dyDescent="0.35">
      <c r="A1198" s="8" t="s">
        <v>698</v>
      </c>
      <c r="B1198" s="8" t="s">
        <v>540</v>
      </c>
      <c r="C1198" s="8" t="s">
        <v>25</v>
      </c>
      <c r="D1198" s="9">
        <v>43</v>
      </c>
      <c r="E1198" s="8" t="s">
        <v>109</v>
      </c>
      <c r="F1198" s="8" t="s">
        <v>90</v>
      </c>
      <c r="G1198" s="10">
        <v>45581</v>
      </c>
      <c r="H1198" s="8" t="s">
        <v>54</v>
      </c>
      <c r="I1198" s="8" t="s">
        <v>27</v>
      </c>
      <c r="J1198" s="8" t="s">
        <v>2269</v>
      </c>
      <c r="K1198" s="8" t="s">
        <v>37</v>
      </c>
      <c r="L1198" s="8" t="s">
        <v>56</v>
      </c>
      <c r="M1198" s="8" t="s">
        <v>60</v>
      </c>
      <c r="N1198" s="11">
        <v>249435</v>
      </c>
      <c r="O1198" s="11">
        <v>11223</v>
      </c>
      <c r="P1198" s="12">
        <v>85.1</v>
      </c>
      <c r="Q1198" s="9">
        <v>6</v>
      </c>
      <c r="R1198" s="13">
        <v>19</v>
      </c>
      <c r="S1198" s="13">
        <v>1</v>
      </c>
      <c r="T1198" s="9">
        <v>25</v>
      </c>
      <c r="U1198" s="13">
        <v>89</v>
      </c>
      <c r="V1198" s="8" t="s">
        <v>31</v>
      </c>
      <c r="W1198" s="8" t="s">
        <v>96</v>
      </c>
      <c r="X1198" s="22">
        <f>IF(V1198="Yes",1,0)</f>
        <v>0</v>
      </c>
      <c r="Y1198" s="22">
        <f>IF(H1198="Active",0,1)</f>
        <v>1</v>
      </c>
    </row>
    <row r="1199" spans="1:25" ht="18" customHeight="1" x14ac:dyDescent="0.35">
      <c r="A1199" s="14" t="s">
        <v>1159</v>
      </c>
      <c r="B1199" s="14" t="s">
        <v>447</v>
      </c>
      <c r="C1199" s="14" t="s">
        <v>25</v>
      </c>
      <c r="D1199" s="15">
        <v>53</v>
      </c>
      <c r="E1199" s="14" t="s">
        <v>2304</v>
      </c>
      <c r="F1199" s="14" t="s">
        <v>53</v>
      </c>
      <c r="G1199" s="16">
        <v>45581</v>
      </c>
      <c r="H1199" s="14" t="s">
        <v>26</v>
      </c>
      <c r="I1199" s="14" t="s">
        <v>2267</v>
      </c>
      <c r="J1199" s="14" t="s">
        <v>2269</v>
      </c>
      <c r="K1199" s="14" t="s">
        <v>2271</v>
      </c>
      <c r="L1199" s="14" t="s">
        <v>44</v>
      </c>
      <c r="M1199" s="14" t="s">
        <v>45</v>
      </c>
      <c r="N1199" s="17">
        <v>174241</v>
      </c>
      <c r="O1199" s="17">
        <v>39502</v>
      </c>
      <c r="P1199" s="18">
        <v>86.4</v>
      </c>
      <c r="Q1199" s="15">
        <v>0</v>
      </c>
      <c r="R1199" s="19">
        <v>7</v>
      </c>
      <c r="S1199" s="19">
        <v>2</v>
      </c>
      <c r="T1199" s="15">
        <v>21</v>
      </c>
      <c r="U1199" s="19">
        <v>80</v>
      </c>
      <c r="V1199" s="14" t="s">
        <v>31</v>
      </c>
      <c r="W1199" s="14"/>
      <c r="X1199" s="14">
        <f>IF(V1199="Yes",1,0)</f>
        <v>0</v>
      </c>
      <c r="Y1199" s="14">
        <f>IF(H1199="Active",0,1)</f>
        <v>0</v>
      </c>
    </row>
    <row r="1200" spans="1:25" ht="18" customHeight="1" x14ac:dyDescent="0.35">
      <c r="A1200" s="14" t="s">
        <v>1924</v>
      </c>
      <c r="B1200" s="14" t="s">
        <v>288</v>
      </c>
      <c r="C1200" s="14" t="s">
        <v>34</v>
      </c>
      <c r="D1200" s="15">
        <v>58</v>
      </c>
      <c r="E1200" s="14" t="s">
        <v>52</v>
      </c>
      <c r="F1200" s="14" t="s">
        <v>43</v>
      </c>
      <c r="G1200" s="16">
        <v>45581</v>
      </c>
      <c r="H1200" s="14" t="s">
        <v>26</v>
      </c>
      <c r="I1200" s="14" t="s">
        <v>2267</v>
      </c>
      <c r="J1200" s="14" t="s">
        <v>80</v>
      </c>
      <c r="K1200" s="14" t="s">
        <v>28</v>
      </c>
      <c r="L1200" s="14" t="s">
        <v>116</v>
      </c>
      <c r="M1200" s="14" t="s">
        <v>30</v>
      </c>
      <c r="N1200" s="17">
        <v>114731</v>
      </c>
      <c r="O1200" s="17">
        <v>19101</v>
      </c>
      <c r="P1200" s="18">
        <v>81.8</v>
      </c>
      <c r="Q1200" s="15">
        <v>9</v>
      </c>
      <c r="R1200" s="19">
        <v>19</v>
      </c>
      <c r="S1200" s="19">
        <v>3</v>
      </c>
      <c r="T1200" s="15">
        <v>24</v>
      </c>
      <c r="U1200" s="19">
        <v>90</v>
      </c>
      <c r="V1200" s="14" t="s">
        <v>31</v>
      </c>
      <c r="W1200" s="14"/>
      <c r="X1200" s="14">
        <f>IF(V1200="Yes",1,0)</f>
        <v>0</v>
      </c>
      <c r="Y1200" s="14">
        <f>IF(H1200="Active",0,1)</f>
        <v>0</v>
      </c>
    </row>
    <row r="1201" spans="1:25" ht="18" customHeight="1" x14ac:dyDescent="0.35">
      <c r="A1201" s="14" t="s">
        <v>2110</v>
      </c>
      <c r="B1201" s="14" t="s">
        <v>78</v>
      </c>
      <c r="C1201" s="14" t="s">
        <v>25</v>
      </c>
      <c r="D1201" s="15">
        <v>37</v>
      </c>
      <c r="E1201" s="14" t="s">
        <v>109</v>
      </c>
      <c r="F1201" s="14" t="s">
        <v>53</v>
      </c>
      <c r="G1201" s="16">
        <v>45581</v>
      </c>
      <c r="H1201" s="14" t="s">
        <v>26</v>
      </c>
      <c r="I1201" s="14" t="s">
        <v>27</v>
      </c>
      <c r="J1201" s="14" t="s">
        <v>48</v>
      </c>
      <c r="K1201" s="14" t="s">
        <v>37</v>
      </c>
      <c r="L1201" s="14" t="s">
        <v>87</v>
      </c>
      <c r="M1201" s="14" t="s">
        <v>64</v>
      </c>
      <c r="N1201" s="17">
        <v>202456</v>
      </c>
      <c r="O1201" s="17">
        <v>41897</v>
      </c>
      <c r="P1201" s="18">
        <v>94.1</v>
      </c>
      <c r="Q1201" s="15">
        <v>4</v>
      </c>
      <c r="R1201" s="19">
        <v>6</v>
      </c>
      <c r="S1201" s="19">
        <v>5</v>
      </c>
      <c r="T1201" s="15">
        <v>0</v>
      </c>
      <c r="U1201" s="19">
        <v>98</v>
      </c>
      <c r="V1201" s="14" t="s">
        <v>69</v>
      </c>
      <c r="W1201" s="14"/>
      <c r="X1201" s="14">
        <f>IF(V1201="Yes",1,0)</f>
        <v>1</v>
      </c>
      <c r="Y1201" s="14">
        <f>IF(H1201="Active",0,1)</f>
        <v>0</v>
      </c>
    </row>
    <row r="1202" spans="1:25" ht="18" customHeight="1" x14ac:dyDescent="0.35">
      <c r="A1202" s="8" t="s">
        <v>2251</v>
      </c>
      <c r="B1202" s="8" t="s">
        <v>526</v>
      </c>
      <c r="C1202" s="8" t="s">
        <v>34</v>
      </c>
      <c r="D1202" s="9">
        <v>56</v>
      </c>
      <c r="E1202" s="8" t="s">
        <v>67</v>
      </c>
      <c r="F1202" s="8" t="s">
        <v>72</v>
      </c>
      <c r="G1202" s="10">
        <v>45581</v>
      </c>
      <c r="H1202" s="8" t="s">
        <v>26</v>
      </c>
      <c r="I1202" s="8" t="s">
        <v>2267</v>
      </c>
      <c r="J1202" s="8" t="s">
        <v>2270</v>
      </c>
      <c r="K1202" s="8" t="s">
        <v>37</v>
      </c>
      <c r="L1202" s="8" t="s">
        <v>87</v>
      </c>
      <c r="M1202" s="8" t="s">
        <v>60</v>
      </c>
      <c r="N1202" s="11">
        <v>55839</v>
      </c>
      <c r="O1202" s="11">
        <v>15551</v>
      </c>
      <c r="P1202" s="12">
        <v>94</v>
      </c>
      <c r="Q1202" s="9">
        <v>6</v>
      </c>
      <c r="R1202" s="13">
        <v>1</v>
      </c>
      <c r="S1202" s="13">
        <v>2</v>
      </c>
      <c r="T1202" s="9">
        <v>36</v>
      </c>
      <c r="U1202" s="13">
        <v>68</v>
      </c>
      <c r="V1202" s="8" t="s">
        <v>31</v>
      </c>
      <c r="W1202" s="8"/>
      <c r="X1202" s="22">
        <f>IF(V1202="Yes",1,0)</f>
        <v>0</v>
      </c>
      <c r="Y1202" s="22">
        <f>IF(H1202="Active",0,1)</f>
        <v>0</v>
      </c>
    </row>
    <row r="1203" spans="1:25" ht="18" customHeight="1" x14ac:dyDescent="0.35">
      <c r="A1203" s="8" t="s">
        <v>1037</v>
      </c>
      <c r="B1203" s="8" t="s">
        <v>815</v>
      </c>
      <c r="C1203" s="8" t="s">
        <v>34</v>
      </c>
      <c r="D1203" s="9">
        <v>21</v>
      </c>
      <c r="E1203" s="8" t="s">
        <v>67</v>
      </c>
      <c r="F1203" s="8" t="s">
        <v>43</v>
      </c>
      <c r="G1203" s="10">
        <v>45580</v>
      </c>
      <c r="H1203" s="8" t="s">
        <v>26</v>
      </c>
      <c r="I1203" s="8" t="s">
        <v>27</v>
      </c>
      <c r="J1203" s="8" t="s">
        <v>80</v>
      </c>
      <c r="K1203" s="8" t="s">
        <v>55</v>
      </c>
      <c r="L1203" s="8" t="s">
        <v>56</v>
      </c>
      <c r="M1203" s="8" t="s">
        <v>30</v>
      </c>
      <c r="N1203" s="11">
        <v>133184</v>
      </c>
      <c r="O1203" s="11">
        <v>35615</v>
      </c>
      <c r="P1203" s="12">
        <v>80.599999999999994</v>
      </c>
      <c r="Q1203" s="9">
        <v>4</v>
      </c>
      <c r="R1203" s="13">
        <v>12</v>
      </c>
      <c r="S1203" s="13">
        <v>3</v>
      </c>
      <c r="T1203" s="9">
        <v>37</v>
      </c>
      <c r="U1203" s="13">
        <v>79</v>
      </c>
      <c r="V1203" s="8" t="s">
        <v>31</v>
      </c>
      <c r="W1203" s="8"/>
      <c r="X1203" s="22">
        <f>IF(V1203="Yes",1,0)</f>
        <v>0</v>
      </c>
      <c r="Y1203" s="22">
        <f>IF(H1203="Active",0,1)</f>
        <v>0</v>
      </c>
    </row>
    <row r="1204" spans="1:25" ht="18" customHeight="1" x14ac:dyDescent="0.35">
      <c r="A1204" s="8" t="s">
        <v>1371</v>
      </c>
      <c r="B1204" s="8" t="s">
        <v>559</v>
      </c>
      <c r="C1204" s="8" t="s">
        <v>25</v>
      </c>
      <c r="D1204" s="9">
        <v>54</v>
      </c>
      <c r="E1204" s="8" t="s">
        <v>67</v>
      </c>
      <c r="F1204" s="8" t="s">
        <v>90</v>
      </c>
      <c r="G1204" s="10">
        <v>45580</v>
      </c>
      <c r="H1204" s="8" t="s">
        <v>26</v>
      </c>
      <c r="I1204" s="8" t="s">
        <v>36</v>
      </c>
      <c r="J1204" s="8" t="s">
        <v>2270</v>
      </c>
      <c r="K1204" s="8" t="s">
        <v>2271</v>
      </c>
      <c r="L1204" s="8" t="s">
        <v>29</v>
      </c>
      <c r="M1204" s="8" t="s">
        <v>60</v>
      </c>
      <c r="N1204" s="11">
        <v>70102</v>
      </c>
      <c r="O1204" s="11">
        <v>8469</v>
      </c>
      <c r="P1204" s="12">
        <v>97.7</v>
      </c>
      <c r="Q1204" s="9">
        <v>7</v>
      </c>
      <c r="R1204" s="13">
        <v>5</v>
      </c>
      <c r="S1204" s="13">
        <v>1</v>
      </c>
      <c r="T1204" s="9">
        <v>2</v>
      </c>
      <c r="U1204" s="13">
        <v>90</v>
      </c>
      <c r="V1204" s="8" t="s">
        <v>31</v>
      </c>
      <c r="W1204" s="8"/>
      <c r="X1204" s="22">
        <f>IF(V1204="Yes",1,0)</f>
        <v>0</v>
      </c>
      <c r="Y1204" s="22">
        <f>IF(H1204="Active",0,1)</f>
        <v>0</v>
      </c>
    </row>
    <row r="1205" spans="1:25" ht="18" customHeight="1" x14ac:dyDescent="0.35">
      <c r="A1205" s="8" t="s">
        <v>1629</v>
      </c>
      <c r="B1205" s="8" t="s">
        <v>305</v>
      </c>
      <c r="C1205" s="8" t="s">
        <v>25</v>
      </c>
      <c r="D1205" s="9">
        <v>27</v>
      </c>
      <c r="E1205" s="8" t="s">
        <v>93</v>
      </c>
      <c r="F1205" s="8" t="s">
        <v>76</v>
      </c>
      <c r="G1205" s="10">
        <v>45580</v>
      </c>
      <c r="H1205" s="8" t="s">
        <v>26</v>
      </c>
      <c r="I1205" s="8" t="s">
        <v>2267</v>
      </c>
      <c r="J1205" s="8" t="s">
        <v>48</v>
      </c>
      <c r="K1205" s="8" t="s">
        <v>2271</v>
      </c>
      <c r="L1205" s="8" t="s">
        <v>87</v>
      </c>
      <c r="M1205" s="8" t="s">
        <v>39</v>
      </c>
      <c r="N1205" s="11">
        <v>203021</v>
      </c>
      <c r="O1205" s="11">
        <v>14256</v>
      </c>
      <c r="P1205" s="12">
        <v>88.9</v>
      </c>
      <c r="Q1205" s="9">
        <v>5</v>
      </c>
      <c r="R1205" s="13">
        <v>0</v>
      </c>
      <c r="S1205" s="13">
        <v>3</v>
      </c>
      <c r="T1205" s="9">
        <v>4</v>
      </c>
      <c r="U1205" s="13">
        <v>93</v>
      </c>
      <c r="V1205" s="8" t="s">
        <v>31</v>
      </c>
      <c r="W1205" s="8"/>
      <c r="X1205" s="22">
        <f>IF(V1205="Yes",1,0)</f>
        <v>0</v>
      </c>
      <c r="Y1205" s="22">
        <f>IF(H1205="Active",0,1)</f>
        <v>0</v>
      </c>
    </row>
    <row r="1206" spans="1:25" ht="18" customHeight="1" x14ac:dyDescent="0.35">
      <c r="A1206" s="8" t="s">
        <v>2199</v>
      </c>
      <c r="B1206" s="8" t="s">
        <v>581</v>
      </c>
      <c r="C1206" s="8" t="s">
        <v>25</v>
      </c>
      <c r="D1206" s="9">
        <v>40</v>
      </c>
      <c r="E1206" s="8" t="s">
        <v>42</v>
      </c>
      <c r="F1206" s="8" t="s">
        <v>35</v>
      </c>
      <c r="G1206" s="10">
        <v>45580</v>
      </c>
      <c r="H1206" s="8" t="s">
        <v>26</v>
      </c>
      <c r="I1206" s="8" t="s">
        <v>2267</v>
      </c>
      <c r="J1206" s="8" t="s">
        <v>80</v>
      </c>
      <c r="K1206" s="8" t="s">
        <v>37</v>
      </c>
      <c r="L1206" s="8" t="s">
        <v>29</v>
      </c>
      <c r="M1206" s="8" t="s">
        <v>30</v>
      </c>
      <c r="N1206" s="11">
        <v>197383</v>
      </c>
      <c r="O1206" s="11">
        <v>34361</v>
      </c>
      <c r="P1206" s="12">
        <v>86.1</v>
      </c>
      <c r="Q1206" s="9">
        <v>4</v>
      </c>
      <c r="R1206" s="13">
        <v>29</v>
      </c>
      <c r="S1206" s="13">
        <v>3</v>
      </c>
      <c r="T1206" s="9">
        <v>39</v>
      </c>
      <c r="U1206" s="13">
        <v>69</v>
      </c>
      <c r="V1206" s="8" t="s">
        <v>31</v>
      </c>
      <c r="W1206" s="8"/>
      <c r="X1206" s="22">
        <f>IF(V1206="Yes",1,0)</f>
        <v>0</v>
      </c>
      <c r="Y1206" s="22">
        <f>IF(H1206="Active",0,1)</f>
        <v>0</v>
      </c>
    </row>
    <row r="1207" spans="1:25" ht="18" customHeight="1" x14ac:dyDescent="0.35">
      <c r="A1207" s="8" t="s">
        <v>1178</v>
      </c>
      <c r="B1207" s="8" t="s">
        <v>171</v>
      </c>
      <c r="C1207" s="8" t="s">
        <v>25</v>
      </c>
      <c r="D1207" s="9">
        <v>48</v>
      </c>
      <c r="E1207" s="8" t="s">
        <v>109</v>
      </c>
      <c r="F1207" s="8" t="s">
        <v>79</v>
      </c>
      <c r="G1207" s="10">
        <v>45579</v>
      </c>
      <c r="H1207" s="8" t="s">
        <v>26</v>
      </c>
      <c r="I1207" s="8" t="s">
        <v>27</v>
      </c>
      <c r="J1207" s="8" t="s">
        <v>80</v>
      </c>
      <c r="K1207" s="8" t="s">
        <v>37</v>
      </c>
      <c r="L1207" s="8" t="s">
        <v>29</v>
      </c>
      <c r="M1207" s="8" t="s">
        <v>39</v>
      </c>
      <c r="N1207" s="11">
        <v>119253</v>
      </c>
      <c r="O1207" s="11">
        <v>14433</v>
      </c>
      <c r="P1207" s="12">
        <v>97.9</v>
      </c>
      <c r="Q1207" s="9">
        <v>10</v>
      </c>
      <c r="R1207" s="13">
        <v>17</v>
      </c>
      <c r="S1207" s="13">
        <v>2</v>
      </c>
      <c r="T1207" s="9">
        <v>3</v>
      </c>
      <c r="U1207" s="13">
        <v>78</v>
      </c>
      <c r="V1207" s="8" t="s">
        <v>31</v>
      </c>
      <c r="W1207" s="8"/>
      <c r="X1207" s="22">
        <f>IF(V1207="Yes",1,0)</f>
        <v>0</v>
      </c>
      <c r="Y1207" s="22">
        <f>IF(H1207="Active",0,1)</f>
        <v>0</v>
      </c>
    </row>
    <row r="1208" spans="1:25" ht="18" customHeight="1" x14ac:dyDescent="0.35">
      <c r="A1208" s="14" t="s">
        <v>2192</v>
      </c>
      <c r="B1208" s="14" t="s">
        <v>100</v>
      </c>
      <c r="C1208" s="14" t="s">
        <v>25</v>
      </c>
      <c r="D1208" s="15">
        <v>54</v>
      </c>
      <c r="E1208" s="14" t="s">
        <v>2304</v>
      </c>
      <c r="F1208" s="14" t="s">
        <v>43</v>
      </c>
      <c r="G1208" s="16">
        <v>45578</v>
      </c>
      <c r="H1208" s="14" t="s">
        <v>26</v>
      </c>
      <c r="I1208" s="14" t="s">
        <v>27</v>
      </c>
      <c r="J1208" s="14" t="s">
        <v>48</v>
      </c>
      <c r="K1208" s="14" t="s">
        <v>2271</v>
      </c>
      <c r="L1208" s="14" t="s">
        <v>29</v>
      </c>
      <c r="M1208" s="14" t="s">
        <v>45</v>
      </c>
      <c r="N1208" s="17">
        <v>152508</v>
      </c>
      <c r="O1208" s="17">
        <v>34929</v>
      </c>
      <c r="P1208" s="18">
        <v>87.6</v>
      </c>
      <c r="Q1208" s="15">
        <v>5</v>
      </c>
      <c r="R1208" s="19">
        <v>22</v>
      </c>
      <c r="S1208" s="19">
        <v>4</v>
      </c>
      <c r="T1208" s="15">
        <v>27</v>
      </c>
      <c r="U1208" s="19">
        <v>69</v>
      </c>
      <c r="V1208" s="14" t="s">
        <v>69</v>
      </c>
      <c r="W1208" s="14"/>
      <c r="X1208" s="14">
        <f>IF(V1208="Yes",1,0)</f>
        <v>1</v>
      </c>
      <c r="Y1208" s="14">
        <f>IF(H1208="Active",0,1)</f>
        <v>0</v>
      </c>
    </row>
    <row r="1209" spans="1:25" ht="18" customHeight="1" x14ac:dyDescent="0.35">
      <c r="A1209" s="8" t="s">
        <v>981</v>
      </c>
      <c r="B1209" s="8" t="s">
        <v>661</v>
      </c>
      <c r="C1209" s="8" t="s">
        <v>34</v>
      </c>
      <c r="D1209" s="9">
        <v>32</v>
      </c>
      <c r="E1209" s="8" t="s">
        <v>67</v>
      </c>
      <c r="F1209" s="8" t="s">
        <v>76</v>
      </c>
      <c r="G1209" s="10">
        <v>45577</v>
      </c>
      <c r="H1209" s="8" t="s">
        <v>26</v>
      </c>
      <c r="I1209" s="8" t="s">
        <v>27</v>
      </c>
      <c r="J1209" s="8" t="s">
        <v>80</v>
      </c>
      <c r="K1209" s="8" t="s">
        <v>2271</v>
      </c>
      <c r="L1209" s="8" t="s">
        <v>44</v>
      </c>
      <c r="M1209" s="8" t="s">
        <v>30</v>
      </c>
      <c r="N1209" s="11">
        <v>146705</v>
      </c>
      <c r="O1209" s="11">
        <v>40658</v>
      </c>
      <c r="P1209" s="12">
        <v>94</v>
      </c>
      <c r="Q1209" s="9">
        <v>0</v>
      </c>
      <c r="R1209" s="13">
        <v>15</v>
      </c>
      <c r="S1209" s="13">
        <v>5</v>
      </c>
      <c r="T1209" s="9">
        <v>32</v>
      </c>
      <c r="U1209" s="13">
        <v>60</v>
      </c>
      <c r="V1209" s="8" t="s">
        <v>31</v>
      </c>
      <c r="W1209" s="8"/>
      <c r="X1209" s="22">
        <f>IF(V1209="Yes",1,0)</f>
        <v>0</v>
      </c>
      <c r="Y1209" s="22">
        <f>IF(H1209="Active",0,1)</f>
        <v>0</v>
      </c>
    </row>
    <row r="1210" spans="1:25" ht="18" customHeight="1" x14ac:dyDescent="0.35">
      <c r="A1210" s="14" t="s">
        <v>1132</v>
      </c>
      <c r="B1210" s="14" t="s">
        <v>694</v>
      </c>
      <c r="C1210" s="14" t="s">
        <v>25</v>
      </c>
      <c r="D1210" s="15">
        <v>45</v>
      </c>
      <c r="E1210" s="14" t="s">
        <v>109</v>
      </c>
      <c r="F1210" s="14" t="s">
        <v>76</v>
      </c>
      <c r="G1210" s="16">
        <v>45577</v>
      </c>
      <c r="H1210" s="14" t="s">
        <v>26</v>
      </c>
      <c r="I1210" s="14" t="s">
        <v>27</v>
      </c>
      <c r="J1210" s="14" t="s">
        <v>48</v>
      </c>
      <c r="K1210" s="14" t="s">
        <v>28</v>
      </c>
      <c r="L1210" s="14" t="s">
        <v>38</v>
      </c>
      <c r="M1210" s="14" t="s">
        <v>30</v>
      </c>
      <c r="N1210" s="17">
        <v>107534</v>
      </c>
      <c r="O1210" s="17">
        <v>43431</v>
      </c>
      <c r="P1210" s="18">
        <v>95.3</v>
      </c>
      <c r="Q1210" s="15">
        <v>1</v>
      </c>
      <c r="R1210" s="19">
        <v>4</v>
      </c>
      <c r="S1210" s="19">
        <v>5</v>
      </c>
      <c r="T1210" s="15">
        <v>29</v>
      </c>
      <c r="U1210" s="19">
        <v>68</v>
      </c>
      <c r="V1210" s="14" t="s">
        <v>31</v>
      </c>
      <c r="W1210" s="14"/>
      <c r="X1210" s="14">
        <f>IF(V1210="Yes",1,0)</f>
        <v>0</v>
      </c>
      <c r="Y1210" s="14">
        <f>IF(H1210="Active",0,1)</f>
        <v>0</v>
      </c>
    </row>
    <row r="1211" spans="1:25" ht="18" customHeight="1" x14ac:dyDescent="0.35">
      <c r="A1211" s="14" t="s">
        <v>2038</v>
      </c>
      <c r="B1211" s="14" t="s">
        <v>62</v>
      </c>
      <c r="C1211" s="14" t="s">
        <v>34</v>
      </c>
      <c r="D1211" s="15">
        <v>28</v>
      </c>
      <c r="E1211" s="14" t="s">
        <v>2304</v>
      </c>
      <c r="F1211" s="14" t="s">
        <v>12</v>
      </c>
      <c r="G1211" s="16">
        <v>45577</v>
      </c>
      <c r="H1211" s="14" t="s">
        <v>26</v>
      </c>
      <c r="I1211" s="14" t="s">
        <v>27</v>
      </c>
      <c r="J1211" s="14" t="s">
        <v>2270</v>
      </c>
      <c r="K1211" s="14" t="s">
        <v>28</v>
      </c>
      <c r="L1211" s="14" t="s">
        <v>87</v>
      </c>
      <c r="M1211" s="14" t="s">
        <v>39</v>
      </c>
      <c r="N1211" s="17">
        <v>152504</v>
      </c>
      <c r="O1211" s="17">
        <v>28558</v>
      </c>
      <c r="P1211" s="18">
        <v>92.6</v>
      </c>
      <c r="Q1211" s="15">
        <v>4</v>
      </c>
      <c r="R1211" s="19">
        <v>10</v>
      </c>
      <c r="S1211" s="19">
        <v>2</v>
      </c>
      <c r="T1211" s="15">
        <v>3</v>
      </c>
      <c r="U1211" s="19">
        <v>61</v>
      </c>
      <c r="V1211" s="14" t="s">
        <v>31</v>
      </c>
      <c r="W1211" s="14"/>
      <c r="X1211" s="14">
        <f>IF(V1211="Yes",1,0)</f>
        <v>0</v>
      </c>
      <c r="Y1211" s="14">
        <f>IF(H1211="Active",0,1)</f>
        <v>0</v>
      </c>
    </row>
    <row r="1212" spans="1:25" ht="18" customHeight="1" x14ac:dyDescent="0.35">
      <c r="A1212" s="8" t="s">
        <v>262</v>
      </c>
      <c r="B1212" s="8" t="s">
        <v>263</v>
      </c>
      <c r="C1212" s="8" t="s">
        <v>25</v>
      </c>
      <c r="D1212" s="9">
        <v>58</v>
      </c>
      <c r="E1212" s="8" t="s">
        <v>52</v>
      </c>
      <c r="F1212" s="8" t="s">
        <v>43</v>
      </c>
      <c r="G1212" s="10">
        <v>45576</v>
      </c>
      <c r="H1212" s="8" t="s">
        <v>26</v>
      </c>
      <c r="I1212" s="8" t="s">
        <v>2267</v>
      </c>
      <c r="J1212" s="8" t="s">
        <v>2268</v>
      </c>
      <c r="K1212" s="8" t="s">
        <v>28</v>
      </c>
      <c r="L1212" s="8" t="s">
        <v>38</v>
      </c>
      <c r="M1212" s="8" t="s">
        <v>60</v>
      </c>
      <c r="N1212" s="11">
        <v>106917</v>
      </c>
      <c r="O1212" s="11">
        <v>28730</v>
      </c>
      <c r="P1212" s="12">
        <v>82.1</v>
      </c>
      <c r="Q1212" s="9">
        <v>8</v>
      </c>
      <c r="R1212" s="13">
        <v>18</v>
      </c>
      <c r="S1212" s="13">
        <v>4</v>
      </c>
      <c r="T1212" s="9">
        <v>20</v>
      </c>
      <c r="U1212" s="13">
        <v>80</v>
      </c>
      <c r="V1212" s="8" t="s">
        <v>31</v>
      </c>
      <c r="W1212" s="8"/>
      <c r="X1212" s="22">
        <f>IF(V1212="Yes",1,0)</f>
        <v>0</v>
      </c>
      <c r="Y1212" s="22">
        <f>IF(H1212="Active",0,1)</f>
        <v>0</v>
      </c>
    </row>
    <row r="1213" spans="1:25" ht="18" customHeight="1" x14ac:dyDescent="0.35">
      <c r="A1213" s="14" t="s">
        <v>1264</v>
      </c>
      <c r="B1213" s="14" t="s">
        <v>413</v>
      </c>
      <c r="C1213" s="14" t="s">
        <v>25</v>
      </c>
      <c r="D1213" s="15">
        <v>45</v>
      </c>
      <c r="E1213" s="14" t="s">
        <v>2304</v>
      </c>
      <c r="F1213" s="14" t="s">
        <v>43</v>
      </c>
      <c r="G1213" s="16">
        <v>45576</v>
      </c>
      <c r="H1213" s="14" t="s">
        <v>26</v>
      </c>
      <c r="I1213" s="14" t="s">
        <v>36</v>
      </c>
      <c r="J1213" s="14" t="s">
        <v>80</v>
      </c>
      <c r="K1213" s="14" t="s">
        <v>28</v>
      </c>
      <c r="L1213" s="14" t="s">
        <v>44</v>
      </c>
      <c r="M1213" s="14" t="s">
        <v>30</v>
      </c>
      <c r="N1213" s="17">
        <v>219981</v>
      </c>
      <c r="O1213" s="17">
        <v>29786</v>
      </c>
      <c r="P1213" s="18">
        <v>96.2</v>
      </c>
      <c r="Q1213" s="15">
        <v>7</v>
      </c>
      <c r="R1213" s="19">
        <v>10</v>
      </c>
      <c r="S1213" s="19">
        <v>5</v>
      </c>
      <c r="T1213" s="15">
        <v>33</v>
      </c>
      <c r="U1213" s="19">
        <v>83</v>
      </c>
      <c r="V1213" s="14" t="s">
        <v>31</v>
      </c>
      <c r="W1213" s="14"/>
      <c r="X1213" s="14">
        <f>IF(V1213="Yes",1,0)</f>
        <v>0</v>
      </c>
      <c r="Y1213" s="14">
        <f>IF(H1213="Active",0,1)</f>
        <v>0</v>
      </c>
    </row>
    <row r="1214" spans="1:25" ht="18" customHeight="1" x14ac:dyDescent="0.35">
      <c r="A1214" s="8" t="s">
        <v>486</v>
      </c>
      <c r="B1214" s="8" t="s">
        <v>244</v>
      </c>
      <c r="C1214" s="8" t="s">
        <v>34</v>
      </c>
      <c r="D1214" s="9">
        <v>21</v>
      </c>
      <c r="E1214" s="8" t="s">
        <v>86</v>
      </c>
      <c r="F1214" s="8" t="s">
        <v>12</v>
      </c>
      <c r="G1214" s="10">
        <v>45575</v>
      </c>
      <c r="H1214" s="8" t="s">
        <v>54</v>
      </c>
      <c r="I1214" s="8" t="s">
        <v>36</v>
      </c>
      <c r="J1214" s="8" t="s">
        <v>2270</v>
      </c>
      <c r="K1214" s="8" t="s">
        <v>37</v>
      </c>
      <c r="L1214" s="8" t="s">
        <v>116</v>
      </c>
      <c r="M1214" s="8" t="s">
        <v>60</v>
      </c>
      <c r="N1214" s="11">
        <v>52995</v>
      </c>
      <c r="O1214" s="11">
        <v>19504</v>
      </c>
      <c r="P1214" s="12">
        <v>90.7</v>
      </c>
      <c r="Q1214" s="9">
        <v>10</v>
      </c>
      <c r="R1214" s="13">
        <v>7</v>
      </c>
      <c r="S1214" s="13">
        <v>1</v>
      </c>
      <c r="T1214" s="9">
        <v>34</v>
      </c>
      <c r="U1214" s="13">
        <v>80</v>
      </c>
      <c r="V1214" s="8" t="s">
        <v>31</v>
      </c>
      <c r="W1214" s="8" t="s">
        <v>57</v>
      </c>
      <c r="X1214" s="22">
        <f>IF(V1214="Yes",1,0)</f>
        <v>0</v>
      </c>
      <c r="Y1214" s="22">
        <f>IF(H1214="Active",0,1)</f>
        <v>1</v>
      </c>
    </row>
    <row r="1215" spans="1:25" ht="18" customHeight="1" x14ac:dyDescent="0.35">
      <c r="A1215" s="14" t="s">
        <v>866</v>
      </c>
      <c r="B1215" s="14" t="s">
        <v>429</v>
      </c>
      <c r="C1215" s="14" t="s">
        <v>34</v>
      </c>
      <c r="D1215" s="15">
        <v>34</v>
      </c>
      <c r="E1215" s="14" t="s">
        <v>2304</v>
      </c>
      <c r="F1215" s="14" t="s">
        <v>90</v>
      </c>
      <c r="G1215" s="16">
        <v>45575</v>
      </c>
      <c r="H1215" s="14" t="s">
        <v>26</v>
      </c>
      <c r="I1215" s="14" t="s">
        <v>2267</v>
      </c>
      <c r="J1215" s="14" t="s">
        <v>2269</v>
      </c>
      <c r="K1215" s="14" t="s">
        <v>37</v>
      </c>
      <c r="L1215" s="14" t="s">
        <v>29</v>
      </c>
      <c r="M1215" s="14" t="s">
        <v>30</v>
      </c>
      <c r="N1215" s="17">
        <v>102867</v>
      </c>
      <c r="O1215" s="17">
        <v>25677</v>
      </c>
      <c r="P1215" s="18">
        <v>89.9</v>
      </c>
      <c r="Q1215" s="15">
        <v>2</v>
      </c>
      <c r="R1215" s="19">
        <v>15</v>
      </c>
      <c r="S1215" s="19">
        <v>3</v>
      </c>
      <c r="T1215" s="15">
        <v>19</v>
      </c>
      <c r="U1215" s="19">
        <v>68</v>
      </c>
      <c r="V1215" s="14" t="s">
        <v>69</v>
      </c>
      <c r="W1215" s="14"/>
      <c r="X1215" s="14">
        <f>IF(V1215="Yes",1,0)</f>
        <v>1</v>
      </c>
      <c r="Y1215" s="14">
        <f>IF(H1215="Active",0,1)</f>
        <v>0</v>
      </c>
    </row>
    <row r="1216" spans="1:25" ht="18" customHeight="1" x14ac:dyDescent="0.35">
      <c r="A1216" s="14" t="s">
        <v>1028</v>
      </c>
      <c r="B1216" s="14" t="s">
        <v>136</v>
      </c>
      <c r="C1216" s="14" t="s">
        <v>25</v>
      </c>
      <c r="D1216" s="15">
        <v>27</v>
      </c>
      <c r="E1216" s="14" t="s">
        <v>42</v>
      </c>
      <c r="F1216" s="14" t="s">
        <v>76</v>
      </c>
      <c r="G1216" s="16">
        <v>45575</v>
      </c>
      <c r="H1216" s="14" t="s">
        <v>26</v>
      </c>
      <c r="I1216" s="14" t="s">
        <v>27</v>
      </c>
      <c r="J1216" s="14" t="s">
        <v>2269</v>
      </c>
      <c r="K1216" s="14" t="s">
        <v>55</v>
      </c>
      <c r="L1216" s="14" t="s">
        <v>38</v>
      </c>
      <c r="M1216" s="14" t="s">
        <v>60</v>
      </c>
      <c r="N1216" s="17">
        <v>173314</v>
      </c>
      <c r="O1216" s="17">
        <v>26857</v>
      </c>
      <c r="P1216" s="18">
        <v>81.7</v>
      </c>
      <c r="Q1216" s="15">
        <v>5</v>
      </c>
      <c r="R1216" s="19">
        <v>29</v>
      </c>
      <c r="S1216" s="19">
        <v>4</v>
      </c>
      <c r="T1216" s="15">
        <v>2</v>
      </c>
      <c r="U1216" s="19">
        <v>98</v>
      </c>
      <c r="V1216" s="14" t="s">
        <v>31</v>
      </c>
      <c r="W1216" s="14"/>
      <c r="X1216" s="14">
        <f>IF(V1216="Yes",1,0)</f>
        <v>0</v>
      </c>
      <c r="Y1216" s="14">
        <f>IF(H1216="Active",0,1)</f>
        <v>0</v>
      </c>
    </row>
    <row r="1217" spans="1:25" ht="18" customHeight="1" x14ac:dyDescent="0.35">
      <c r="A1217" s="14" t="s">
        <v>1211</v>
      </c>
      <c r="B1217" s="14" t="s">
        <v>367</v>
      </c>
      <c r="C1217" s="14" t="s">
        <v>34</v>
      </c>
      <c r="D1217" s="15">
        <v>40</v>
      </c>
      <c r="E1217" s="14" t="s">
        <v>63</v>
      </c>
      <c r="F1217" s="14" t="s">
        <v>79</v>
      </c>
      <c r="G1217" s="16">
        <v>45575</v>
      </c>
      <c r="H1217" s="14" t="s">
        <v>54</v>
      </c>
      <c r="I1217" s="14" t="s">
        <v>2267</v>
      </c>
      <c r="J1217" s="14" t="s">
        <v>2270</v>
      </c>
      <c r="K1217" s="14" t="s">
        <v>2271</v>
      </c>
      <c r="L1217" s="14" t="s">
        <v>44</v>
      </c>
      <c r="M1217" s="14" t="s">
        <v>45</v>
      </c>
      <c r="N1217" s="17">
        <v>76878</v>
      </c>
      <c r="O1217" s="17">
        <v>7140</v>
      </c>
      <c r="P1217" s="18">
        <v>99.1</v>
      </c>
      <c r="Q1217" s="15">
        <v>5</v>
      </c>
      <c r="R1217" s="19">
        <v>5</v>
      </c>
      <c r="S1217" s="19">
        <v>5</v>
      </c>
      <c r="T1217" s="15">
        <v>11</v>
      </c>
      <c r="U1217" s="19">
        <v>86</v>
      </c>
      <c r="V1217" s="14" t="s">
        <v>31</v>
      </c>
      <c r="W1217" s="14" t="s">
        <v>96</v>
      </c>
      <c r="X1217" s="14">
        <f>IF(V1217="Yes",1,0)</f>
        <v>0</v>
      </c>
      <c r="Y1217" s="14">
        <f>IF(H1217="Active",0,1)</f>
        <v>1</v>
      </c>
    </row>
    <row r="1218" spans="1:25" ht="18" customHeight="1" x14ac:dyDescent="0.35">
      <c r="A1218" s="8" t="s">
        <v>1321</v>
      </c>
      <c r="B1218" s="8" t="s">
        <v>581</v>
      </c>
      <c r="C1218" s="8" t="s">
        <v>25</v>
      </c>
      <c r="D1218" s="9">
        <v>56</v>
      </c>
      <c r="E1218" s="8" t="s">
        <v>67</v>
      </c>
      <c r="F1218" s="8" t="s">
        <v>90</v>
      </c>
      <c r="G1218" s="10">
        <v>45575</v>
      </c>
      <c r="H1218" s="8" t="s">
        <v>26</v>
      </c>
      <c r="I1218" s="8" t="s">
        <v>36</v>
      </c>
      <c r="J1218" s="8" t="s">
        <v>48</v>
      </c>
      <c r="K1218" s="8" t="s">
        <v>37</v>
      </c>
      <c r="L1218" s="8" t="s">
        <v>29</v>
      </c>
      <c r="M1218" s="8" t="s">
        <v>64</v>
      </c>
      <c r="N1218" s="11">
        <v>120115</v>
      </c>
      <c r="O1218" s="11">
        <v>5227</v>
      </c>
      <c r="P1218" s="12">
        <v>91.8</v>
      </c>
      <c r="Q1218" s="9">
        <v>0</v>
      </c>
      <c r="R1218" s="13">
        <v>28</v>
      </c>
      <c r="S1218" s="13">
        <v>4</v>
      </c>
      <c r="T1218" s="9">
        <v>38</v>
      </c>
      <c r="U1218" s="13">
        <v>74</v>
      </c>
      <c r="V1218" s="8" t="s">
        <v>31</v>
      </c>
      <c r="W1218" s="8"/>
      <c r="X1218" s="22">
        <f>IF(V1218="Yes",1,0)</f>
        <v>0</v>
      </c>
      <c r="Y1218" s="22">
        <f>IF(H1218="Active",0,1)</f>
        <v>0</v>
      </c>
    </row>
    <row r="1219" spans="1:25" ht="18" customHeight="1" x14ac:dyDescent="0.35">
      <c r="A1219" s="14" t="s">
        <v>124</v>
      </c>
      <c r="B1219" s="14" t="s">
        <v>125</v>
      </c>
      <c r="C1219" s="14" t="s">
        <v>34</v>
      </c>
      <c r="D1219" s="15">
        <v>53</v>
      </c>
      <c r="E1219" s="14" t="s">
        <v>42</v>
      </c>
      <c r="F1219" s="14" t="s">
        <v>53</v>
      </c>
      <c r="G1219" s="16">
        <v>45574</v>
      </c>
      <c r="H1219" s="14" t="s">
        <v>26</v>
      </c>
      <c r="I1219" s="14" t="s">
        <v>36</v>
      </c>
      <c r="J1219" s="14" t="s">
        <v>80</v>
      </c>
      <c r="K1219" s="14" t="s">
        <v>55</v>
      </c>
      <c r="L1219" s="14" t="s">
        <v>56</v>
      </c>
      <c r="M1219" s="14" t="s">
        <v>30</v>
      </c>
      <c r="N1219" s="17">
        <v>209320</v>
      </c>
      <c r="O1219" s="17">
        <v>27855</v>
      </c>
      <c r="P1219" s="18">
        <v>92.9</v>
      </c>
      <c r="Q1219" s="15">
        <v>2</v>
      </c>
      <c r="R1219" s="19">
        <v>11</v>
      </c>
      <c r="S1219" s="19">
        <v>5</v>
      </c>
      <c r="T1219" s="15">
        <v>0</v>
      </c>
      <c r="U1219" s="19">
        <v>99</v>
      </c>
      <c r="V1219" s="14" t="s">
        <v>31</v>
      </c>
      <c r="W1219" s="14"/>
      <c r="X1219" s="14">
        <f>IF(V1219="Yes",1,0)</f>
        <v>0</v>
      </c>
      <c r="Y1219" s="14">
        <f>IF(H1219="Active",0,1)</f>
        <v>0</v>
      </c>
    </row>
    <row r="1220" spans="1:25" ht="18" customHeight="1" x14ac:dyDescent="0.35">
      <c r="A1220" s="14" t="s">
        <v>462</v>
      </c>
      <c r="B1220" s="14" t="s">
        <v>232</v>
      </c>
      <c r="C1220" s="14" t="s">
        <v>34</v>
      </c>
      <c r="D1220" s="15">
        <v>25</v>
      </c>
      <c r="E1220" s="14" t="s">
        <v>52</v>
      </c>
      <c r="F1220" s="14" t="s">
        <v>79</v>
      </c>
      <c r="G1220" s="16">
        <v>45574</v>
      </c>
      <c r="H1220" s="14" t="s">
        <v>26</v>
      </c>
      <c r="I1220" s="14" t="s">
        <v>2267</v>
      </c>
      <c r="J1220" s="14" t="s">
        <v>2268</v>
      </c>
      <c r="K1220" s="14" t="s">
        <v>37</v>
      </c>
      <c r="L1220" s="14" t="s">
        <v>87</v>
      </c>
      <c r="M1220" s="14" t="s">
        <v>30</v>
      </c>
      <c r="N1220" s="17">
        <v>181327</v>
      </c>
      <c r="O1220" s="17">
        <v>20949</v>
      </c>
      <c r="P1220" s="18">
        <v>80.099999999999994</v>
      </c>
      <c r="Q1220" s="15">
        <v>0</v>
      </c>
      <c r="R1220" s="19">
        <v>6</v>
      </c>
      <c r="S1220" s="19">
        <v>2</v>
      </c>
      <c r="T1220" s="15">
        <v>21</v>
      </c>
      <c r="U1220" s="19">
        <v>70</v>
      </c>
      <c r="V1220" s="14" t="s">
        <v>31</v>
      </c>
      <c r="W1220" s="14"/>
      <c r="X1220" s="14">
        <f>IF(V1220="Yes",1,0)</f>
        <v>0</v>
      </c>
      <c r="Y1220" s="14">
        <f>IF(H1220="Active",0,1)</f>
        <v>0</v>
      </c>
    </row>
    <row r="1221" spans="1:25" ht="18" customHeight="1" x14ac:dyDescent="0.35">
      <c r="A1221" s="14" t="s">
        <v>1542</v>
      </c>
      <c r="B1221" s="14" t="s">
        <v>66</v>
      </c>
      <c r="C1221" s="14" t="s">
        <v>25</v>
      </c>
      <c r="D1221" s="15">
        <v>58</v>
      </c>
      <c r="E1221" s="14" t="s">
        <v>109</v>
      </c>
      <c r="F1221" s="14" t="s">
        <v>90</v>
      </c>
      <c r="G1221" s="16">
        <v>45574</v>
      </c>
      <c r="H1221" s="14" t="s">
        <v>26</v>
      </c>
      <c r="I1221" s="14" t="s">
        <v>27</v>
      </c>
      <c r="J1221" s="14" t="s">
        <v>2268</v>
      </c>
      <c r="K1221" s="14" t="s">
        <v>55</v>
      </c>
      <c r="L1221" s="14" t="s">
        <v>68</v>
      </c>
      <c r="M1221" s="14" t="s">
        <v>30</v>
      </c>
      <c r="N1221" s="17">
        <v>65156</v>
      </c>
      <c r="O1221" s="17">
        <v>13670</v>
      </c>
      <c r="P1221" s="18">
        <v>83.3</v>
      </c>
      <c r="Q1221" s="15">
        <v>8</v>
      </c>
      <c r="R1221" s="19">
        <v>18</v>
      </c>
      <c r="S1221" s="19">
        <v>3</v>
      </c>
      <c r="T1221" s="15">
        <v>7</v>
      </c>
      <c r="U1221" s="19">
        <v>78</v>
      </c>
      <c r="V1221" s="14" t="s">
        <v>31</v>
      </c>
      <c r="W1221" s="14"/>
      <c r="X1221" s="14">
        <f>IF(V1221="Yes",1,0)</f>
        <v>0</v>
      </c>
      <c r="Y1221" s="14">
        <f>IF(H1221="Active",0,1)</f>
        <v>0</v>
      </c>
    </row>
    <row r="1222" spans="1:25" ht="18" customHeight="1" x14ac:dyDescent="0.35">
      <c r="A1222" s="14" t="s">
        <v>411</v>
      </c>
      <c r="B1222" s="14" t="s">
        <v>386</v>
      </c>
      <c r="C1222" s="14" t="s">
        <v>34</v>
      </c>
      <c r="D1222" s="15">
        <v>44</v>
      </c>
      <c r="E1222" s="14" t="s">
        <v>2304</v>
      </c>
      <c r="F1222" s="14" t="s">
        <v>12</v>
      </c>
      <c r="G1222" s="16">
        <v>45573</v>
      </c>
      <c r="H1222" s="14" t="s">
        <v>26</v>
      </c>
      <c r="I1222" s="14" t="s">
        <v>36</v>
      </c>
      <c r="J1222" s="14" t="s">
        <v>48</v>
      </c>
      <c r="K1222" s="14" t="s">
        <v>73</v>
      </c>
      <c r="L1222" s="14" t="s">
        <v>49</v>
      </c>
      <c r="M1222" s="14" t="s">
        <v>45</v>
      </c>
      <c r="N1222" s="17">
        <v>237950</v>
      </c>
      <c r="O1222" s="17">
        <v>33243</v>
      </c>
      <c r="P1222" s="18">
        <v>88.1</v>
      </c>
      <c r="Q1222" s="15">
        <v>0</v>
      </c>
      <c r="R1222" s="19">
        <v>0</v>
      </c>
      <c r="S1222" s="19">
        <v>2</v>
      </c>
      <c r="T1222" s="15">
        <v>17</v>
      </c>
      <c r="U1222" s="19">
        <v>91</v>
      </c>
      <c r="V1222" s="14" t="s">
        <v>31</v>
      </c>
      <c r="W1222" s="14"/>
      <c r="X1222" s="14">
        <f>IF(V1222="Yes",1,0)</f>
        <v>0</v>
      </c>
      <c r="Y1222" s="14">
        <f>IF(H1222="Active",0,1)</f>
        <v>0</v>
      </c>
    </row>
    <row r="1223" spans="1:25" ht="18" customHeight="1" x14ac:dyDescent="0.35">
      <c r="A1223" s="14" t="s">
        <v>798</v>
      </c>
      <c r="B1223" s="14" t="s">
        <v>300</v>
      </c>
      <c r="C1223" s="14" t="s">
        <v>25</v>
      </c>
      <c r="D1223" s="15">
        <v>44</v>
      </c>
      <c r="E1223" s="14" t="s">
        <v>2303</v>
      </c>
      <c r="F1223" s="14" t="s">
        <v>79</v>
      </c>
      <c r="G1223" s="16">
        <v>45573</v>
      </c>
      <c r="H1223" s="14" t="s">
        <v>26</v>
      </c>
      <c r="I1223" s="14" t="s">
        <v>2267</v>
      </c>
      <c r="J1223" s="14" t="s">
        <v>80</v>
      </c>
      <c r="K1223" s="14" t="s">
        <v>28</v>
      </c>
      <c r="L1223" s="14" t="s">
        <v>116</v>
      </c>
      <c r="M1223" s="14" t="s">
        <v>39</v>
      </c>
      <c r="N1223" s="17">
        <v>93306</v>
      </c>
      <c r="O1223" s="17">
        <v>31353</v>
      </c>
      <c r="P1223" s="18">
        <v>84.5</v>
      </c>
      <c r="Q1223" s="15">
        <v>4</v>
      </c>
      <c r="R1223" s="19">
        <v>16</v>
      </c>
      <c r="S1223" s="19">
        <v>1</v>
      </c>
      <c r="T1223" s="15">
        <v>5</v>
      </c>
      <c r="U1223" s="19">
        <v>91</v>
      </c>
      <c r="V1223" s="14" t="s">
        <v>31</v>
      </c>
      <c r="W1223" s="14"/>
      <c r="X1223" s="14">
        <f>IF(V1223="Yes",1,0)</f>
        <v>0</v>
      </c>
      <c r="Y1223" s="14">
        <f>IF(H1223="Active",0,1)</f>
        <v>0</v>
      </c>
    </row>
    <row r="1224" spans="1:25" ht="18" customHeight="1" x14ac:dyDescent="0.35">
      <c r="A1224" s="8" t="s">
        <v>1617</v>
      </c>
      <c r="B1224" s="8" t="s">
        <v>258</v>
      </c>
      <c r="C1224" s="8" t="s">
        <v>25</v>
      </c>
      <c r="D1224" s="9">
        <v>33</v>
      </c>
      <c r="E1224" s="8" t="s">
        <v>63</v>
      </c>
      <c r="F1224" s="8" t="s">
        <v>35</v>
      </c>
      <c r="G1224" s="10">
        <v>45573</v>
      </c>
      <c r="H1224" s="8" t="s">
        <v>26</v>
      </c>
      <c r="I1224" s="8" t="s">
        <v>27</v>
      </c>
      <c r="J1224" s="8" t="s">
        <v>2270</v>
      </c>
      <c r="K1224" s="8" t="s">
        <v>55</v>
      </c>
      <c r="L1224" s="8" t="s">
        <v>38</v>
      </c>
      <c r="M1224" s="8" t="s">
        <v>39</v>
      </c>
      <c r="N1224" s="11">
        <v>227934</v>
      </c>
      <c r="O1224" s="11">
        <v>22616</v>
      </c>
      <c r="P1224" s="12">
        <v>81.599999999999994</v>
      </c>
      <c r="Q1224" s="9">
        <v>10</v>
      </c>
      <c r="R1224" s="13">
        <v>26</v>
      </c>
      <c r="S1224" s="13">
        <v>1</v>
      </c>
      <c r="T1224" s="9">
        <v>33</v>
      </c>
      <c r="U1224" s="13">
        <v>82</v>
      </c>
      <c r="V1224" s="8" t="s">
        <v>31</v>
      </c>
      <c r="W1224" s="8"/>
      <c r="X1224" s="22">
        <f>IF(V1224="Yes",1,0)</f>
        <v>0</v>
      </c>
      <c r="Y1224" s="22">
        <f>IF(H1224="Active",0,1)</f>
        <v>0</v>
      </c>
    </row>
    <row r="1225" spans="1:25" ht="18" customHeight="1" x14ac:dyDescent="0.35">
      <c r="A1225" s="14" t="s">
        <v>2048</v>
      </c>
      <c r="B1225" s="14" t="s">
        <v>207</v>
      </c>
      <c r="C1225" s="14" t="s">
        <v>25</v>
      </c>
      <c r="D1225" s="15">
        <v>57</v>
      </c>
      <c r="E1225" s="14" t="s">
        <v>67</v>
      </c>
      <c r="F1225" s="14" t="s">
        <v>76</v>
      </c>
      <c r="G1225" s="16">
        <v>45573</v>
      </c>
      <c r="H1225" s="14" t="s">
        <v>26</v>
      </c>
      <c r="I1225" s="14" t="s">
        <v>27</v>
      </c>
      <c r="J1225" s="14" t="s">
        <v>2269</v>
      </c>
      <c r="K1225" s="14" t="s">
        <v>37</v>
      </c>
      <c r="L1225" s="14" t="s">
        <v>29</v>
      </c>
      <c r="M1225" s="14" t="s">
        <v>39</v>
      </c>
      <c r="N1225" s="17">
        <v>179344</v>
      </c>
      <c r="O1225" s="17">
        <v>12415</v>
      </c>
      <c r="P1225" s="18">
        <v>98.4</v>
      </c>
      <c r="Q1225" s="15">
        <v>0</v>
      </c>
      <c r="R1225" s="19">
        <v>21</v>
      </c>
      <c r="S1225" s="19">
        <v>1</v>
      </c>
      <c r="T1225" s="15">
        <v>29</v>
      </c>
      <c r="U1225" s="19">
        <v>62</v>
      </c>
      <c r="V1225" s="14" t="s">
        <v>69</v>
      </c>
      <c r="W1225" s="14"/>
      <c r="X1225" s="14">
        <f>IF(V1225="Yes",1,0)</f>
        <v>1</v>
      </c>
      <c r="Y1225" s="14">
        <f>IF(H1225="Active",0,1)</f>
        <v>0</v>
      </c>
    </row>
    <row r="1226" spans="1:25" ht="18" customHeight="1" x14ac:dyDescent="0.35">
      <c r="A1226" s="14" t="s">
        <v>2258</v>
      </c>
      <c r="B1226" s="14" t="s">
        <v>210</v>
      </c>
      <c r="C1226" s="14" t="s">
        <v>34</v>
      </c>
      <c r="D1226" s="15">
        <v>26</v>
      </c>
      <c r="E1226" s="14" t="s">
        <v>52</v>
      </c>
      <c r="F1226" s="14" t="s">
        <v>72</v>
      </c>
      <c r="G1226" s="16">
        <v>45573</v>
      </c>
      <c r="H1226" s="14" t="s">
        <v>26</v>
      </c>
      <c r="I1226" s="14" t="s">
        <v>2267</v>
      </c>
      <c r="J1226" s="14" t="s">
        <v>2270</v>
      </c>
      <c r="K1226" s="14" t="s">
        <v>37</v>
      </c>
      <c r="L1226" s="14" t="s">
        <v>29</v>
      </c>
      <c r="M1226" s="14" t="s">
        <v>45</v>
      </c>
      <c r="N1226" s="17">
        <v>73175</v>
      </c>
      <c r="O1226" s="17">
        <v>35902</v>
      </c>
      <c r="P1226" s="18">
        <v>90.9</v>
      </c>
      <c r="Q1226" s="15">
        <v>8</v>
      </c>
      <c r="R1226" s="19">
        <v>18</v>
      </c>
      <c r="S1226" s="19">
        <v>1</v>
      </c>
      <c r="T1226" s="15">
        <v>6</v>
      </c>
      <c r="U1226" s="19">
        <v>96</v>
      </c>
      <c r="V1226" s="14" t="s">
        <v>69</v>
      </c>
      <c r="W1226" s="14"/>
      <c r="X1226" s="14">
        <f>IF(V1226="Yes",1,0)</f>
        <v>1</v>
      </c>
      <c r="Y1226" s="14">
        <f>IF(H1226="Active",0,1)</f>
        <v>0</v>
      </c>
    </row>
    <row r="1227" spans="1:25" ht="18" customHeight="1" x14ac:dyDescent="0.35">
      <c r="A1227" s="14" t="s">
        <v>1690</v>
      </c>
      <c r="B1227" s="14" t="s">
        <v>435</v>
      </c>
      <c r="C1227" s="14" t="s">
        <v>25</v>
      </c>
      <c r="D1227" s="15">
        <v>23</v>
      </c>
      <c r="E1227" s="14" t="s">
        <v>86</v>
      </c>
      <c r="F1227" s="14" t="s">
        <v>79</v>
      </c>
      <c r="G1227" s="16">
        <v>45572</v>
      </c>
      <c r="H1227" s="14" t="s">
        <v>54</v>
      </c>
      <c r="I1227" s="14" t="s">
        <v>2267</v>
      </c>
      <c r="J1227" s="14" t="s">
        <v>2269</v>
      </c>
      <c r="K1227" s="14" t="s">
        <v>2271</v>
      </c>
      <c r="L1227" s="14" t="s">
        <v>87</v>
      </c>
      <c r="M1227" s="14" t="s">
        <v>45</v>
      </c>
      <c r="N1227" s="17">
        <v>70946</v>
      </c>
      <c r="O1227" s="17">
        <v>10230</v>
      </c>
      <c r="P1227" s="18">
        <v>84.6</v>
      </c>
      <c r="Q1227" s="15">
        <v>6</v>
      </c>
      <c r="R1227" s="19">
        <v>16</v>
      </c>
      <c r="S1227" s="19">
        <v>5</v>
      </c>
      <c r="T1227" s="15">
        <v>23</v>
      </c>
      <c r="U1227" s="19">
        <v>63</v>
      </c>
      <c r="V1227" s="14" t="s">
        <v>69</v>
      </c>
      <c r="W1227" s="14" t="s">
        <v>57</v>
      </c>
      <c r="X1227" s="14">
        <f>IF(V1227="Yes",1,0)</f>
        <v>1</v>
      </c>
      <c r="Y1227" s="14">
        <f>IF(H1227="Active",0,1)</f>
        <v>1</v>
      </c>
    </row>
    <row r="1228" spans="1:25" ht="18" customHeight="1" x14ac:dyDescent="0.35">
      <c r="A1228" s="8" t="s">
        <v>2131</v>
      </c>
      <c r="B1228" s="8" t="s">
        <v>792</v>
      </c>
      <c r="C1228" s="8" t="s">
        <v>34</v>
      </c>
      <c r="D1228" s="9">
        <v>21</v>
      </c>
      <c r="E1228" s="8" t="s">
        <v>86</v>
      </c>
      <c r="F1228" s="8" t="s">
        <v>90</v>
      </c>
      <c r="G1228" s="10">
        <v>45571</v>
      </c>
      <c r="H1228" s="8" t="s">
        <v>26</v>
      </c>
      <c r="I1228" s="8" t="s">
        <v>36</v>
      </c>
      <c r="J1228" s="8" t="s">
        <v>2270</v>
      </c>
      <c r="K1228" s="8" t="s">
        <v>28</v>
      </c>
      <c r="L1228" s="8" t="s">
        <v>29</v>
      </c>
      <c r="M1228" s="8" t="s">
        <v>39</v>
      </c>
      <c r="N1228" s="11">
        <v>138496</v>
      </c>
      <c r="O1228" s="11">
        <v>27157</v>
      </c>
      <c r="P1228" s="12">
        <v>87.5</v>
      </c>
      <c r="Q1228" s="9">
        <v>10</v>
      </c>
      <c r="R1228" s="13">
        <v>29</v>
      </c>
      <c r="S1228" s="13">
        <v>1</v>
      </c>
      <c r="T1228" s="9">
        <v>15</v>
      </c>
      <c r="U1228" s="13">
        <v>68</v>
      </c>
      <c r="V1228" s="8" t="s">
        <v>31</v>
      </c>
      <c r="W1228" s="8"/>
      <c r="X1228" s="22">
        <f>IF(V1228="Yes",1,0)</f>
        <v>0</v>
      </c>
      <c r="Y1228" s="22">
        <f>IF(H1228="Active",0,1)</f>
        <v>0</v>
      </c>
    </row>
    <row r="1229" spans="1:25" ht="18" customHeight="1" x14ac:dyDescent="0.35">
      <c r="A1229" s="8" t="s">
        <v>1931</v>
      </c>
      <c r="B1229" s="8" t="s">
        <v>537</v>
      </c>
      <c r="C1229" s="8" t="s">
        <v>25</v>
      </c>
      <c r="D1229" s="9">
        <v>45</v>
      </c>
      <c r="E1229" s="8" t="s">
        <v>67</v>
      </c>
      <c r="F1229" s="8" t="s">
        <v>12</v>
      </c>
      <c r="G1229" s="10">
        <v>45570</v>
      </c>
      <c r="H1229" s="8" t="s">
        <v>26</v>
      </c>
      <c r="I1229" s="8" t="s">
        <v>27</v>
      </c>
      <c r="J1229" s="8" t="s">
        <v>2268</v>
      </c>
      <c r="K1229" s="8" t="s">
        <v>73</v>
      </c>
      <c r="L1229" s="8" t="s">
        <v>56</v>
      </c>
      <c r="M1229" s="8" t="s">
        <v>45</v>
      </c>
      <c r="N1229" s="11">
        <v>212062</v>
      </c>
      <c r="O1229" s="11">
        <v>15455</v>
      </c>
      <c r="P1229" s="12">
        <v>96.9</v>
      </c>
      <c r="Q1229" s="9">
        <v>7</v>
      </c>
      <c r="R1229" s="13">
        <v>17</v>
      </c>
      <c r="S1229" s="13">
        <v>5</v>
      </c>
      <c r="T1229" s="9">
        <v>18</v>
      </c>
      <c r="U1229" s="13">
        <v>91</v>
      </c>
      <c r="V1229" s="8" t="s">
        <v>69</v>
      </c>
      <c r="W1229" s="8"/>
      <c r="X1229" s="22">
        <f>IF(V1229="Yes",1,0)</f>
        <v>1</v>
      </c>
      <c r="Y1229" s="22">
        <f>IF(H1229="Active",0,1)</f>
        <v>0</v>
      </c>
    </row>
    <row r="1230" spans="1:25" ht="18" customHeight="1" x14ac:dyDescent="0.35">
      <c r="A1230" s="8" t="s">
        <v>342</v>
      </c>
      <c r="B1230" s="8" t="s">
        <v>138</v>
      </c>
      <c r="C1230" s="8" t="s">
        <v>34</v>
      </c>
      <c r="D1230" s="9">
        <v>60</v>
      </c>
      <c r="E1230" s="8" t="s">
        <v>42</v>
      </c>
      <c r="F1230" s="8" t="s">
        <v>12</v>
      </c>
      <c r="G1230" s="10">
        <v>45569</v>
      </c>
      <c r="H1230" s="8" t="s">
        <v>54</v>
      </c>
      <c r="I1230" s="8" t="s">
        <v>36</v>
      </c>
      <c r="J1230" s="8" t="s">
        <v>80</v>
      </c>
      <c r="K1230" s="8" t="s">
        <v>2271</v>
      </c>
      <c r="L1230" s="8" t="s">
        <v>116</v>
      </c>
      <c r="M1230" s="8" t="s">
        <v>39</v>
      </c>
      <c r="N1230" s="11">
        <v>206598</v>
      </c>
      <c r="O1230" s="11">
        <v>42096</v>
      </c>
      <c r="P1230" s="12">
        <v>87.7</v>
      </c>
      <c r="Q1230" s="9">
        <v>2</v>
      </c>
      <c r="R1230" s="13">
        <v>6</v>
      </c>
      <c r="S1230" s="13">
        <v>2</v>
      </c>
      <c r="T1230" s="9">
        <v>18</v>
      </c>
      <c r="U1230" s="13">
        <v>72</v>
      </c>
      <c r="V1230" s="8" t="s">
        <v>69</v>
      </c>
      <c r="W1230" s="8" t="s">
        <v>123</v>
      </c>
      <c r="X1230" s="22">
        <f>IF(V1230="Yes",1,0)</f>
        <v>1</v>
      </c>
      <c r="Y1230" s="22">
        <f>IF(H1230="Active",0,1)</f>
        <v>1</v>
      </c>
    </row>
    <row r="1231" spans="1:25" ht="18" customHeight="1" x14ac:dyDescent="0.35">
      <c r="A1231" s="8" t="s">
        <v>460</v>
      </c>
      <c r="B1231" s="8" t="s">
        <v>461</v>
      </c>
      <c r="C1231" s="8" t="s">
        <v>25</v>
      </c>
      <c r="D1231" s="9">
        <v>51</v>
      </c>
      <c r="E1231" s="8" t="s">
        <v>93</v>
      </c>
      <c r="F1231" s="8" t="s">
        <v>72</v>
      </c>
      <c r="G1231" s="10">
        <v>45569</v>
      </c>
      <c r="H1231" s="8" t="s">
        <v>26</v>
      </c>
      <c r="I1231" s="8" t="s">
        <v>36</v>
      </c>
      <c r="J1231" s="8" t="s">
        <v>2269</v>
      </c>
      <c r="K1231" s="8" t="s">
        <v>28</v>
      </c>
      <c r="L1231" s="8" t="s">
        <v>38</v>
      </c>
      <c r="M1231" s="8" t="s">
        <v>30</v>
      </c>
      <c r="N1231" s="11">
        <v>151559</v>
      </c>
      <c r="O1231" s="11">
        <v>20987</v>
      </c>
      <c r="P1231" s="12">
        <v>87.4</v>
      </c>
      <c r="Q1231" s="9">
        <v>5</v>
      </c>
      <c r="R1231" s="13">
        <v>17</v>
      </c>
      <c r="S1231" s="13">
        <v>1</v>
      </c>
      <c r="T1231" s="9">
        <v>3</v>
      </c>
      <c r="U1231" s="13">
        <v>73</v>
      </c>
      <c r="V1231" s="8" t="s">
        <v>31</v>
      </c>
      <c r="W1231" s="8"/>
      <c r="X1231" s="22">
        <f>IF(V1231="Yes",1,0)</f>
        <v>0</v>
      </c>
      <c r="Y1231" s="22">
        <f>IF(H1231="Active",0,1)</f>
        <v>0</v>
      </c>
    </row>
    <row r="1232" spans="1:25" ht="18" customHeight="1" x14ac:dyDescent="0.35">
      <c r="A1232" s="8" t="s">
        <v>1815</v>
      </c>
      <c r="B1232" s="8" t="s">
        <v>64</v>
      </c>
      <c r="C1232" s="8" t="s">
        <v>34</v>
      </c>
      <c r="D1232" s="9">
        <v>35</v>
      </c>
      <c r="E1232" s="8" t="s">
        <v>42</v>
      </c>
      <c r="F1232" s="8" t="s">
        <v>79</v>
      </c>
      <c r="G1232" s="10">
        <v>45569</v>
      </c>
      <c r="H1232" s="8" t="s">
        <v>54</v>
      </c>
      <c r="I1232" s="8" t="s">
        <v>36</v>
      </c>
      <c r="J1232" s="8" t="s">
        <v>80</v>
      </c>
      <c r="K1232" s="8" t="s">
        <v>37</v>
      </c>
      <c r="L1232" s="8" t="s">
        <v>68</v>
      </c>
      <c r="M1232" s="8" t="s">
        <v>45</v>
      </c>
      <c r="N1232" s="11">
        <v>101148</v>
      </c>
      <c r="O1232" s="11">
        <v>47715</v>
      </c>
      <c r="P1232" s="12">
        <v>85.6</v>
      </c>
      <c r="Q1232" s="9">
        <v>10</v>
      </c>
      <c r="R1232" s="13">
        <v>12</v>
      </c>
      <c r="S1232" s="13">
        <v>1</v>
      </c>
      <c r="T1232" s="9">
        <v>35</v>
      </c>
      <c r="U1232" s="13">
        <v>93</v>
      </c>
      <c r="V1232" s="8" t="s">
        <v>31</v>
      </c>
      <c r="W1232" s="8" t="s">
        <v>123</v>
      </c>
      <c r="X1232" s="22">
        <f>IF(V1232="Yes",1,0)</f>
        <v>0</v>
      </c>
      <c r="Y1232" s="22">
        <f>IF(H1232="Active",0,1)</f>
        <v>1</v>
      </c>
    </row>
    <row r="1233" spans="1:25" ht="18" customHeight="1" x14ac:dyDescent="0.35">
      <c r="A1233" s="14" t="s">
        <v>945</v>
      </c>
      <c r="B1233" s="14" t="s">
        <v>323</v>
      </c>
      <c r="C1233" s="14" t="s">
        <v>34</v>
      </c>
      <c r="D1233" s="15">
        <v>49</v>
      </c>
      <c r="E1233" s="14" t="s">
        <v>67</v>
      </c>
      <c r="F1233" s="14" t="s">
        <v>79</v>
      </c>
      <c r="G1233" s="16">
        <v>45568</v>
      </c>
      <c r="H1233" s="14" t="s">
        <v>26</v>
      </c>
      <c r="I1233" s="14" t="s">
        <v>36</v>
      </c>
      <c r="J1233" s="14" t="s">
        <v>48</v>
      </c>
      <c r="K1233" s="14" t="s">
        <v>55</v>
      </c>
      <c r="L1233" s="14" t="s">
        <v>116</v>
      </c>
      <c r="M1233" s="14" t="s">
        <v>39</v>
      </c>
      <c r="N1233" s="17">
        <v>201893</v>
      </c>
      <c r="O1233" s="17">
        <v>12039</v>
      </c>
      <c r="P1233" s="18">
        <v>89.8</v>
      </c>
      <c r="Q1233" s="15">
        <v>0</v>
      </c>
      <c r="R1233" s="19">
        <v>0</v>
      </c>
      <c r="S1233" s="19">
        <v>3</v>
      </c>
      <c r="T1233" s="15">
        <v>20</v>
      </c>
      <c r="U1233" s="19">
        <v>70</v>
      </c>
      <c r="V1233" s="14" t="s">
        <v>31</v>
      </c>
      <c r="W1233" s="14"/>
      <c r="X1233" s="14">
        <f>IF(V1233="Yes",1,0)</f>
        <v>0</v>
      </c>
      <c r="Y1233" s="14">
        <f>IF(H1233="Active",0,1)</f>
        <v>0</v>
      </c>
    </row>
    <row r="1234" spans="1:25" ht="18" customHeight="1" x14ac:dyDescent="0.35">
      <c r="A1234" s="8" t="s">
        <v>1265</v>
      </c>
      <c r="B1234" s="8" t="s">
        <v>108</v>
      </c>
      <c r="C1234" s="8" t="s">
        <v>25</v>
      </c>
      <c r="D1234" s="9">
        <v>54</v>
      </c>
      <c r="E1234" s="8" t="s">
        <v>109</v>
      </c>
      <c r="F1234" s="8" t="s">
        <v>12</v>
      </c>
      <c r="G1234" s="10">
        <v>45568</v>
      </c>
      <c r="H1234" s="8" t="s">
        <v>26</v>
      </c>
      <c r="I1234" s="8" t="s">
        <v>2267</v>
      </c>
      <c r="J1234" s="8" t="s">
        <v>48</v>
      </c>
      <c r="K1234" s="8" t="s">
        <v>55</v>
      </c>
      <c r="L1234" s="8" t="s">
        <v>49</v>
      </c>
      <c r="M1234" s="8" t="s">
        <v>45</v>
      </c>
      <c r="N1234" s="11">
        <v>131582</v>
      </c>
      <c r="O1234" s="11">
        <v>43256</v>
      </c>
      <c r="P1234" s="12">
        <v>85.7</v>
      </c>
      <c r="Q1234" s="9">
        <v>0</v>
      </c>
      <c r="R1234" s="13">
        <v>17</v>
      </c>
      <c r="S1234" s="13">
        <v>1</v>
      </c>
      <c r="T1234" s="9">
        <v>34</v>
      </c>
      <c r="U1234" s="13">
        <v>88</v>
      </c>
      <c r="V1234" s="8" t="s">
        <v>31</v>
      </c>
      <c r="W1234" s="8"/>
      <c r="X1234" s="22">
        <f>IF(V1234="Yes",1,0)</f>
        <v>0</v>
      </c>
      <c r="Y1234" s="22">
        <f>IF(H1234="Active",0,1)</f>
        <v>0</v>
      </c>
    </row>
    <row r="1235" spans="1:25" ht="18" customHeight="1" x14ac:dyDescent="0.35">
      <c r="A1235" s="8" t="s">
        <v>515</v>
      </c>
      <c r="B1235" s="8" t="s">
        <v>516</v>
      </c>
      <c r="C1235" s="8" t="s">
        <v>25</v>
      </c>
      <c r="D1235" s="9">
        <v>34</v>
      </c>
      <c r="E1235" s="8" t="s">
        <v>63</v>
      </c>
      <c r="F1235" s="8" t="s">
        <v>76</v>
      </c>
      <c r="G1235" s="10">
        <v>45567</v>
      </c>
      <c r="H1235" s="8" t="s">
        <v>26</v>
      </c>
      <c r="I1235" s="8" t="s">
        <v>27</v>
      </c>
      <c r="J1235" s="8" t="s">
        <v>2270</v>
      </c>
      <c r="K1235" s="8" t="s">
        <v>2271</v>
      </c>
      <c r="L1235" s="8" t="s">
        <v>87</v>
      </c>
      <c r="M1235" s="8" t="s">
        <v>60</v>
      </c>
      <c r="N1235" s="11">
        <v>89943</v>
      </c>
      <c r="O1235" s="11">
        <v>49910</v>
      </c>
      <c r="P1235" s="12">
        <v>85</v>
      </c>
      <c r="Q1235" s="9">
        <v>4</v>
      </c>
      <c r="R1235" s="13">
        <v>28</v>
      </c>
      <c r="S1235" s="13">
        <v>4</v>
      </c>
      <c r="T1235" s="9">
        <v>0</v>
      </c>
      <c r="U1235" s="13">
        <v>77</v>
      </c>
      <c r="V1235" s="8" t="s">
        <v>31</v>
      </c>
      <c r="W1235" s="8"/>
      <c r="X1235" s="22">
        <f>IF(V1235="Yes",1,0)</f>
        <v>0</v>
      </c>
      <c r="Y1235" s="22">
        <f>IF(H1235="Active",0,1)</f>
        <v>0</v>
      </c>
    </row>
    <row r="1236" spans="1:25" ht="18" customHeight="1" x14ac:dyDescent="0.35">
      <c r="A1236" s="8" t="s">
        <v>574</v>
      </c>
      <c r="B1236" s="8" t="s">
        <v>409</v>
      </c>
      <c r="C1236" s="8" t="s">
        <v>25</v>
      </c>
      <c r="D1236" s="9">
        <v>21</v>
      </c>
      <c r="E1236" s="8" t="s">
        <v>2303</v>
      </c>
      <c r="F1236" s="8" t="s">
        <v>12</v>
      </c>
      <c r="G1236" s="10">
        <v>45567</v>
      </c>
      <c r="H1236" s="8" t="s">
        <v>26</v>
      </c>
      <c r="I1236" s="8" t="s">
        <v>2267</v>
      </c>
      <c r="J1236" s="8" t="s">
        <v>80</v>
      </c>
      <c r="K1236" s="8" t="s">
        <v>73</v>
      </c>
      <c r="L1236" s="8" t="s">
        <v>68</v>
      </c>
      <c r="M1236" s="8" t="s">
        <v>30</v>
      </c>
      <c r="N1236" s="11">
        <v>121544</v>
      </c>
      <c r="O1236" s="11">
        <v>27096</v>
      </c>
      <c r="P1236" s="12">
        <v>94.9</v>
      </c>
      <c r="Q1236" s="9">
        <v>8</v>
      </c>
      <c r="R1236" s="13">
        <v>28</v>
      </c>
      <c r="S1236" s="13">
        <v>2</v>
      </c>
      <c r="T1236" s="9">
        <v>37</v>
      </c>
      <c r="U1236" s="13">
        <v>72</v>
      </c>
      <c r="V1236" s="8" t="s">
        <v>31</v>
      </c>
      <c r="W1236" s="8"/>
      <c r="X1236" s="22">
        <f>IF(V1236="Yes",1,0)</f>
        <v>0</v>
      </c>
      <c r="Y1236" s="22">
        <f>IF(H1236="Active",0,1)</f>
        <v>0</v>
      </c>
    </row>
    <row r="1237" spans="1:25" ht="18" customHeight="1" x14ac:dyDescent="0.35">
      <c r="A1237" s="14" t="s">
        <v>2200</v>
      </c>
      <c r="B1237" s="14" t="s">
        <v>461</v>
      </c>
      <c r="C1237" s="14" t="s">
        <v>25</v>
      </c>
      <c r="D1237" s="15">
        <v>46</v>
      </c>
      <c r="E1237" s="14" t="s">
        <v>93</v>
      </c>
      <c r="F1237" s="14" t="s">
        <v>43</v>
      </c>
      <c r="G1237" s="16">
        <v>45567</v>
      </c>
      <c r="H1237" s="14" t="s">
        <v>26</v>
      </c>
      <c r="I1237" s="14" t="s">
        <v>2267</v>
      </c>
      <c r="J1237" s="14" t="s">
        <v>80</v>
      </c>
      <c r="K1237" s="14" t="s">
        <v>73</v>
      </c>
      <c r="L1237" s="14" t="s">
        <v>29</v>
      </c>
      <c r="M1237" s="14" t="s">
        <v>60</v>
      </c>
      <c r="N1237" s="17">
        <v>51620</v>
      </c>
      <c r="O1237" s="17">
        <v>19867</v>
      </c>
      <c r="P1237" s="18">
        <v>97.1</v>
      </c>
      <c r="Q1237" s="15">
        <v>9</v>
      </c>
      <c r="R1237" s="19">
        <v>16</v>
      </c>
      <c r="S1237" s="19">
        <v>1</v>
      </c>
      <c r="T1237" s="15">
        <v>25</v>
      </c>
      <c r="U1237" s="19">
        <v>90</v>
      </c>
      <c r="V1237" s="14" t="s">
        <v>31</v>
      </c>
      <c r="W1237" s="14"/>
      <c r="X1237" s="14">
        <f>IF(V1237="Yes",1,0)</f>
        <v>0</v>
      </c>
      <c r="Y1237" s="14">
        <f>IF(H1237="Active",0,1)</f>
        <v>0</v>
      </c>
    </row>
    <row r="1238" spans="1:25" ht="18" customHeight="1" x14ac:dyDescent="0.35">
      <c r="A1238" s="14" t="s">
        <v>1026</v>
      </c>
      <c r="B1238" s="14" t="s">
        <v>516</v>
      </c>
      <c r="C1238" s="14" t="s">
        <v>25</v>
      </c>
      <c r="D1238" s="15">
        <v>29</v>
      </c>
      <c r="E1238" s="14" t="s">
        <v>63</v>
      </c>
      <c r="F1238" s="14" t="s">
        <v>72</v>
      </c>
      <c r="G1238" s="16">
        <v>45566</v>
      </c>
      <c r="H1238" s="14" t="s">
        <v>26</v>
      </c>
      <c r="I1238" s="14" t="s">
        <v>27</v>
      </c>
      <c r="J1238" s="14" t="s">
        <v>2270</v>
      </c>
      <c r="K1238" s="14" t="s">
        <v>37</v>
      </c>
      <c r="L1238" s="14" t="s">
        <v>116</v>
      </c>
      <c r="M1238" s="14" t="s">
        <v>60</v>
      </c>
      <c r="N1238" s="17">
        <v>41264</v>
      </c>
      <c r="O1238" s="17">
        <v>37288</v>
      </c>
      <c r="P1238" s="18">
        <v>98.8</v>
      </c>
      <c r="Q1238" s="15">
        <v>8</v>
      </c>
      <c r="R1238" s="19">
        <v>9</v>
      </c>
      <c r="S1238" s="19">
        <v>5</v>
      </c>
      <c r="T1238" s="15">
        <v>30</v>
      </c>
      <c r="U1238" s="19">
        <v>97</v>
      </c>
      <c r="V1238" s="14" t="s">
        <v>31</v>
      </c>
      <c r="W1238" s="14"/>
      <c r="X1238" s="14">
        <f>IF(V1238="Yes",1,0)</f>
        <v>0</v>
      </c>
      <c r="Y1238" s="14">
        <f>IF(H1238="Active",0,1)</f>
        <v>0</v>
      </c>
    </row>
    <row r="1239" spans="1:25" ht="18" customHeight="1" x14ac:dyDescent="0.35">
      <c r="A1239" s="14" t="s">
        <v>1240</v>
      </c>
      <c r="B1239" s="14" t="s">
        <v>125</v>
      </c>
      <c r="C1239" s="14" t="s">
        <v>25</v>
      </c>
      <c r="D1239" s="15">
        <v>50</v>
      </c>
      <c r="E1239" s="14" t="s">
        <v>2303</v>
      </c>
      <c r="F1239" s="14" t="s">
        <v>76</v>
      </c>
      <c r="G1239" s="16">
        <v>45566</v>
      </c>
      <c r="H1239" s="14" t="s">
        <v>26</v>
      </c>
      <c r="I1239" s="14" t="s">
        <v>2267</v>
      </c>
      <c r="J1239" s="14" t="s">
        <v>80</v>
      </c>
      <c r="K1239" s="14" t="s">
        <v>55</v>
      </c>
      <c r="L1239" s="14" t="s">
        <v>56</v>
      </c>
      <c r="M1239" s="14" t="s">
        <v>45</v>
      </c>
      <c r="N1239" s="17">
        <v>106325</v>
      </c>
      <c r="O1239" s="17">
        <v>34571</v>
      </c>
      <c r="P1239" s="18">
        <v>85.4</v>
      </c>
      <c r="Q1239" s="15">
        <v>6</v>
      </c>
      <c r="R1239" s="19">
        <v>7</v>
      </c>
      <c r="S1239" s="19">
        <v>2</v>
      </c>
      <c r="T1239" s="15">
        <v>24</v>
      </c>
      <c r="U1239" s="19">
        <v>85</v>
      </c>
      <c r="V1239" s="14" t="s">
        <v>69</v>
      </c>
      <c r="W1239" s="14"/>
      <c r="X1239" s="14">
        <f>IF(V1239="Yes",1,0)</f>
        <v>1</v>
      </c>
      <c r="Y1239" s="14">
        <f>IF(H1239="Active",0,1)</f>
        <v>0</v>
      </c>
    </row>
    <row r="1240" spans="1:25" ht="18" customHeight="1" x14ac:dyDescent="0.35">
      <c r="A1240" s="8" t="s">
        <v>1333</v>
      </c>
      <c r="B1240" s="8" t="s">
        <v>218</v>
      </c>
      <c r="C1240" s="8" t="s">
        <v>34</v>
      </c>
      <c r="D1240" s="9">
        <v>30</v>
      </c>
      <c r="E1240" s="8" t="s">
        <v>63</v>
      </c>
      <c r="F1240" s="8" t="s">
        <v>72</v>
      </c>
      <c r="G1240" s="10">
        <v>45565</v>
      </c>
      <c r="H1240" s="8" t="s">
        <v>26</v>
      </c>
      <c r="I1240" s="8" t="s">
        <v>2267</v>
      </c>
      <c r="J1240" s="8" t="s">
        <v>2270</v>
      </c>
      <c r="K1240" s="8" t="s">
        <v>73</v>
      </c>
      <c r="L1240" s="8" t="s">
        <v>56</v>
      </c>
      <c r="M1240" s="8" t="s">
        <v>39</v>
      </c>
      <c r="N1240" s="11">
        <v>194106</v>
      </c>
      <c r="O1240" s="11">
        <v>42079</v>
      </c>
      <c r="P1240" s="12">
        <v>93.6</v>
      </c>
      <c r="Q1240" s="9">
        <v>7</v>
      </c>
      <c r="R1240" s="13">
        <v>16</v>
      </c>
      <c r="S1240" s="13">
        <v>2</v>
      </c>
      <c r="T1240" s="9">
        <v>4</v>
      </c>
      <c r="U1240" s="13">
        <v>64</v>
      </c>
      <c r="V1240" s="8" t="s">
        <v>31</v>
      </c>
      <c r="W1240" s="8"/>
      <c r="X1240" s="22">
        <f>IF(V1240="Yes",1,0)</f>
        <v>0</v>
      </c>
      <c r="Y1240" s="22">
        <f>IF(H1240="Active",0,1)</f>
        <v>0</v>
      </c>
    </row>
    <row r="1241" spans="1:25" ht="18" customHeight="1" x14ac:dyDescent="0.35">
      <c r="A1241" s="8" t="s">
        <v>1515</v>
      </c>
      <c r="B1241" s="8" t="s">
        <v>100</v>
      </c>
      <c r="C1241" s="8" t="s">
        <v>25</v>
      </c>
      <c r="D1241" s="9">
        <v>59</v>
      </c>
      <c r="E1241" s="8" t="s">
        <v>52</v>
      </c>
      <c r="F1241" s="8" t="s">
        <v>12</v>
      </c>
      <c r="G1241" s="10">
        <v>45565</v>
      </c>
      <c r="H1241" s="8" t="s">
        <v>26</v>
      </c>
      <c r="I1241" s="8" t="s">
        <v>2267</v>
      </c>
      <c r="J1241" s="8" t="s">
        <v>2269</v>
      </c>
      <c r="K1241" s="8" t="s">
        <v>73</v>
      </c>
      <c r="L1241" s="8" t="s">
        <v>38</v>
      </c>
      <c r="M1241" s="8" t="s">
        <v>30</v>
      </c>
      <c r="N1241" s="11">
        <v>207770</v>
      </c>
      <c r="O1241" s="11">
        <v>16488</v>
      </c>
      <c r="P1241" s="12">
        <v>99.3</v>
      </c>
      <c r="Q1241" s="9">
        <v>9</v>
      </c>
      <c r="R1241" s="13">
        <v>6</v>
      </c>
      <c r="S1241" s="13">
        <v>1</v>
      </c>
      <c r="T1241" s="9">
        <v>12</v>
      </c>
      <c r="U1241" s="13">
        <v>67</v>
      </c>
      <c r="V1241" s="8" t="s">
        <v>31</v>
      </c>
      <c r="W1241" s="8"/>
      <c r="X1241" s="22">
        <f>IF(V1241="Yes",1,0)</f>
        <v>0</v>
      </c>
      <c r="Y1241" s="22">
        <f>IF(H1241="Active",0,1)</f>
        <v>0</v>
      </c>
    </row>
    <row r="1242" spans="1:25" ht="18" customHeight="1" x14ac:dyDescent="0.35">
      <c r="A1242" s="14" t="s">
        <v>1652</v>
      </c>
      <c r="B1242" s="14" t="s">
        <v>127</v>
      </c>
      <c r="C1242" s="14" t="s">
        <v>25</v>
      </c>
      <c r="D1242" s="15">
        <v>26</v>
      </c>
      <c r="E1242" s="14" t="s">
        <v>109</v>
      </c>
      <c r="F1242" s="14" t="s">
        <v>35</v>
      </c>
      <c r="G1242" s="16">
        <v>45565</v>
      </c>
      <c r="H1242" s="14" t="s">
        <v>26</v>
      </c>
      <c r="I1242" s="14" t="s">
        <v>36</v>
      </c>
      <c r="J1242" s="14" t="s">
        <v>2268</v>
      </c>
      <c r="K1242" s="14" t="s">
        <v>73</v>
      </c>
      <c r="L1242" s="14" t="s">
        <v>87</v>
      </c>
      <c r="M1242" s="14" t="s">
        <v>64</v>
      </c>
      <c r="N1242" s="17">
        <v>164246</v>
      </c>
      <c r="O1242" s="17">
        <v>29586</v>
      </c>
      <c r="P1242" s="18">
        <v>91.7</v>
      </c>
      <c r="Q1242" s="15">
        <v>7</v>
      </c>
      <c r="R1242" s="19">
        <v>9</v>
      </c>
      <c r="S1242" s="19">
        <v>1</v>
      </c>
      <c r="T1242" s="15">
        <v>27</v>
      </c>
      <c r="U1242" s="19">
        <v>84</v>
      </c>
      <c r="V1242" s="14" t="s">
        <v>31</v>
      </c>
      <c r="W1242" s="14"/>
      <c r="X1242" s="14">
        <f>IF(V1242="Yes",1,0)</f>
        <v>0</v>
      </c>
      <c r="Y1242" s="14">
        <f>IF(H1242="Active",0,1)</f>
        <v>0</v>
      </c>
    </row>
    <row r="1243" spans="1:25" ht="18" customHeight="1" x14ac:dyDescent="0.35">
      <c r="A1243" s="14" t="s">
        <v>1850</v>
      </c>
      <c r="B1243" s="14" t="s">
        <v>520</v>
      </c>
      <c r="C1243" s="14" t="s">
        <v>25</v>
      </c>
      <c r="D1243" s="15">
        <v>26</v>
      </c>
      <c r="E1243" s="14" t="s">
        <v>52</v>
      </c>
      <c r="F1243" s="14" t="s">
        <v>90</v>
      </c>
      <c r="G1243" s="16">
        <v>45565</v>
      </c>
      <c r="H1243" s="14" t="s">
        <v>26</v>
      </c>
      <c r="I1243" s="14" t="s">
        <v>27</v>
      </c>
      <c r="J1243" s="14" t="s">
        <v>2268</v>
      </c>
      <c r="K1243" s="14" t="s">
        <v>55</v>
      </c>
      <c r="L1243" s="14" t="s">
        <v>49</v>
      </c>
      <c r="M1243" s="14" t="s">
        <v>39</v>
      </c>
      <c r="N1243" s="17">
        <v>214813</v>
      </c>
      <c r="O1243" s="17">
        <v>13562</v>
      </c>
      <c r="P1243" s="18">
        <v>81.400000000000006</v>
      </c>
      <c r="Q1243" s="15">
        <v>7</v>
      </c>
      <c r="R1243" s="19">
        <v>5</v>
      </c>
      <c r="S1243" s="19">
        <v>3</v>
      </c>
      <c r="T1243" s="15">
        <v>23</v>
      </c>
      <c r="U1243" s="19">
        <v>85</v>
      </c>
      <c r="V1243" s="14" t="s">
        <v>69</v>
      </c>
      <c r="W1243" s="14"/>
      <c r="X1243" s="14">
        <f>IF(V1243="Yes",1,0)</f>
        <v>1</v>
      </c>
      <c r="Y1243" s="14">
        <f>IF(H1243="Active",0,1)</f>
        <v>0</v>
      </c>
    </row>
    <row r="1244" spans="1:25" ht="18" customHeight="1" x14ac:dyDescent="0.35">
      <c r="A1244" s="8" t="s">
        <v>1533</v>
      </c>
      <c r="B1244" s="8" t="s">
        <v>349</v>
      </c>
      <c r="C1244" s="8" t="s">
        <v>25</v>
      </c>
      <c r="D1244" s="9">
        <v>22</v>
      </c>
      <c r="E1244" s="8" t="s">
        <v>67</v>
      </c>
      <c r="F1244" s="8" t="s">
        <v>53</v>
      </c>
      <c r="G1244" s="10">
        <v>45564</v>
      </c>
      <c r="H1244" s="8" t="s">
        <v>54</v>
      </c>
      <c r="I1244" s="8" t="s">
        <v>2267</v>
      </c>
      <c r="J1244" s="8" t="s">
        <v>2268</v>
      </c>
      <c r="K1244" s="8" t="s">
        <v>2271</v>
      </c>
      <c r="L1244" s="8" t="s">
        <v>68</v>
      </c>
      <c r="M1244" s="8" t="s">
        <v>30</v>
      </c>
      <c r="N1244" s="11">
        <v>235199</v>
      </c>
      <c r="O1244" s="11">
        <v>47407</v>
      </c>
      <c r="P1244" s="12">
        <v>84</v>
      </c>
      <c r="Q1244" s="9">
        <v>5</v>
      </c>
      <c r="R1244" s="13">
        <v>6</v>
      </c>
      <c r="S1244" s="13">
        <v>3</v>
      </c>
      <c r="T1244" s="9">
        <v>28</v>
      </c>
      <c r="U1244" s="13">
        <v>78</v>
      </c>
      <c r="V1244" s="8" t="s">
        <v>69</v>
      </c>
      <c r="W1244" s="8" t="s">
        <v>205</v>
      </c>
      <c r="X1244" s="22">
        <f>IF(V1244="Yes",1,0)</f>
        <v>1</v>
      </c>
      <c r="Y1244" s="22">
        <f>IF(H1244="Active",0,1)</f>
        <v>1</v>
      </c>
    </row>
    <row r="1245" spans="1:25" ht="18" customHeight="1" x14ac:dyDescent="0.35">
      <c r="A1245" s="8" t="s">
        <v>2233</v>
      </c>
      <c r="B1245" s="8" t="s">
        <v>1010</v>
      </c>
      <c r="C1245" s="8" t="s">
        <v>34</v>
      </c>
      <c r="D1245" s="9">
        <v>27</v>
      </c>
      <c r="E1245" s="8" t="s">
        <v>86</v>
      </c>
      <c r="F1245" s="8" t="s">
        <v>90</v>
      </c>
      <c r="G1245" s="10">
        <v>45564</v>
      </c>
      <c r="H1245" s="8" t="s">
        <v>26</v>
      </c>
      <c r="I1245" s="8" t="s">
        <v>36</v>
      </c>
      <c r="J1245" s="8" t="s">
        <v>2269</v>
      </c>
      <c r="K1245" s="8" t="s">
        <v>55</v>
      </c>
      <c r="L1245" s="8" t="s">
        <v>49</v>
      </c>
      <c r="M1245" s="8" t="s">
        <v>30</v>
      </c>
      <c r="N1245" s="11">
        <v>137839</v>
      </c>
      <c r="O1245" s="11">
        <v>45119</v>
      </c>
      <c r="P1245" s="12">
        <v>96.9</v>
      </c>
      <c r="Q1245" s="9">
        <v>5</v>
      </c>
      <c r="R1245" s="13">
        <v>14</v>
      </c>
      <c r="S1245" s="13">
        <v>5</v>
      </c>
      <c r="T1245" s="9">
        <v>6</v>
      </c>
      <c r="U1245" s="13">
        <v>95</v>
      </c>
      <c r="V1245" s="8" t="s">
        <v>31</v>
      </c>
      <c r="W1245" s="8"/>
      <c r="X1245" s="22">
        <f>IF(V1245="Yes",1,0)</f>
        <v>0</v>
      </c>
      <c r="Y1245" s="22">
        <f>IF(H1245="Active",0,1)</f>
        <v>0</v>
      </c>
    </row>
    <row r="1246" spans="1:25" ht="18" customHeight="1" x14ac:dyDescent="0.35">
      <c r="A1246" s="14" t="s">
        <v>2238</v>
      </c>
      <c r="B1246" s="14" t="s">
        <v>548</v>
      </c>
      <c r="C1246" s="14" t="s">
        <v>25</v>
      </c>
      <c r="D1246" s="15">
        <v>28</v>
      </c>
      <c r="E1246" s="14" t="s">
        <v>63</v>
      </c>
      <c r="F1246" s="14" t="s">
        <v>76</v>
      </c>
      <c r="G1246" s="16">
        <v>45564</v>
      </c>
      <c r="H1246" s="14" t="s">
        <v>26</v>
      </c>
      <c r="I1246" s="14" t="s">
        <v>27</v>
      </c>
      <c r="J1246" s="14" t="s">
        <v>80</v>
      </c>
      <c r="K1246" s="14" t="s">
        <v>37</v>
      </c>
      <c r="L1246" s="14" t="s">
        <v>116</v>
      </c>
      <c r="M1246" s="14" t="s">
        <v>45</v>
      </c>
      <c r="N1246" s="17">
        <v>206906</v>
      </c>
      <c r="O1246" s="17">
        <v>36145</v>
      </c>
      <c r="P1246" s="18">
        <v>89.1</v>
      </c>
      <c r="Q1246" s="15">
        <v>3</v>
      </c>
      <c r="R1246" s="19">
        <v>9</v>
      </c>
      <c r="S1246" s="19">
        <v>5</v>
      </c>
      <c r="T1246" s="15">
        <v>14</v>
      </c>
      <c r="U1246" s="19">
        <v>91</v>
      </c>
      <c r="V1246" s="14" t="s">
        <v>31</v>
      </c>
      <c r="W1246" s="14"/>
      <c r="X1246" s="14">
        <f>IF(V1246="Yes",1,0)</f>
        <v>0</v>
      </c>
      <c r="Y1246" s="14">
        <f>IF(H1246="Active",0,1)</f>
        <v>0</v>
      </c>
    </row>
    <row r="1247" spans="1:25" ht="18" customHeight="1" x14ac:dyDescent="0.35">
      <c r="A1247" s="8" t="s">
        <v>1251</v>
      </c>
      <c r="B1247" s="8" t="s">
        <v>129</v>
      </c>
      <c r="C1247" s="8" t="s">
        <v>25</v>
      </c>
      <c r="D1247" s="9">
        <v>52</v>
      </c>
      <c r="E1247" s="8" t="s">
        <v>93</v>
      </c>
      <c r="F1247" s="8" t="s">
        <v>90</v>
      </c>
      <c r="G1247" s="10">
        <v>45562</v>
      </c>
      <c r="H1247" s="8" t="s">
        <v>26</v>
      </c>
      <c r="I1247" s="8" t="s">
        <v>27</v>
      </c>
      <c r="J1247" s="8" t="s">
        <v>2269</v>
      </c>
      <c r="K1247" s="8" t="s">
        <v>28</v>
      </c>
      <c r="L1247" s="8" t="s">
        <v>38</v>
      </c>
      <c r="M1247" s="8" t="s">
        <v>45</v>
      </c>
      <c r="N1247" s="11">
        <v>88946</v>
      </c>
      <c r="O1247" s="11">
        <v>34705</v>
      </c>
      <c r="P1247" s="12">
        <v>89.2</v>
      </c>
      <c r="Q1247" s="9">
        <v>7</v>
      </c>
      <c r="R1247" s="13">
        <v>16</v>
      </c>
      <c r="S1247" s="13">
        <v>4</v>
      </c>
      <c r="T1247" s="9">
        <v>25</v>
      </c>
      <c r="U1247" s="13">
        <v>77</v>
      </c>
      <c r="V1247" s="8" t="s">
        <v>31</v>
      </c>
      <c r="W1247" s="8"/>
      <c r="X1247" s="22">
        <f>IF(V1247="Yes",1,0)</f>
        <v>0</v>
      </c>
      <c r="Y1247" s="22">
        <f>IF(H1247="Active",0,1)</f>
        <v>0</v>
      </c>
    </row>
    <row r="1248" spans="1:25" ht="18" customHeight="1" x14ac:dyDescent="0.35">
      <c r="A1248" s="14" t="s">
        <v>1952</v>
      </c>
      <c r="B1248" s="14" t="s">
        <v>432</v>
      </c>
      <c r="C1248" s="14" t="s">
        <v>34</v>
      </c>
      <c r="D1248" s="15">
        <v>50</v>
      </c>
      <c r="E1248" s="14" t="s">
        <v>52</v>
      </c>
      <c r="F1248" s="14" t="s">
        <v>35</v>
      </c>
      <c r="G1248" s="16">
        <v>45562</v>
      </c>
      <c r="H1248" s="14" t="s">
        <v>26</v>
      </c>
      <c r="I1248" s="14" t="s">
        <v>36</v>
      </c>
      <c r="J1248" s="14" t="s">
        <v>2270</v>
      </c>
      <c r="K1248" s="14" t="s">
        <v>28</v>
      </c>
      <c r="L1248" s="14" t="s">
        <v>116</v>
      </c>
      <c r="M1248" s="14" t="s">
        <v>45</v>
      </c>
      <c r="N1248" s="17">
        <v>56323</v>
      </c>
      <c r="O1248" s="17">
        <v>29077</v>
      </c>
      <c r="P1248" s="18">
        <v>82</v>
      </c>
      <c r="Q1248" s="15">
        <v>1</v>
      </c>
      <c r="R1248" s="19">
        <v>23</v>
      </c>
      <c r="S1248" s="19">
        <v>4</v>
      </c>
      <c r="T1248" s="15">
        <v>35</v>
      </c>
      <c r="U1248" s="19">
        <v>93</v>
      </c>
      <c r="V1248" s="14" t="s">
        <v>31</v>
      </c>
      <c r="W1248" s="14"/>
      <c r="X1248" s="14">
        <f>IF(V1248="Yes",1,0)</f>
        <v>0</v>
      </c>
      <c r="Y1248" s="14">
        <f>IF(H1248="Active",0,1)</f>
        <v>0</v>
      </c>
    </row>
    <row r="1249" spans="1:25" ht="18" customHeight="1" x14ac:dyDescent="0.35">
      <c r="A1249" s="14" t="s">
        <v>2094</v>
      </c>
      <c r="B1249" s="14" t="s">
        <v>694</v>
      </c>
      <c r="C1249" s="14" t="s">
        <v>25</v>
      </c>
      <c r="D1249" s="15">
        <v>28</v>
      </c>
      <c r="E1249" s="14" t="s">
        <v>42</v>
      </c>
      <c r="F1249" s="14" t="s">
        <v>43</v>
      </c>
      <c r="G1249" s="16">
        <v>45562</v>
      </c>
      <c r="H1249" s="14" t="s">
        <v>26</v>
      </c>
      <c r="I1249" s="14" t="s">
        <v>2267</v>
      </c>
      <c r="J1249" s="14" t="s">
        <v>48</v>
      </c>
      <c r="K1249" s="14" t="s">
        <v>55</v>
      </c>
      <c r="L1249" s="14" t="s">
        <v>38</v>
      </c>
      <c r="M1249" s="14" t="s">
        <v>45</v>
      </c>
      <c r="N1249" s="17">
        <v>233526</v>
      </c>
      <c r="O1249" s="17">
        <v>49890</v>
      </c>
      <c r="P1249" s="18">
        <v>97.7</v>
      </c>
      <c r="Q1249" s="15">
        <v>0</v>
      </c>
      <c r="R1249" s="19">
        <v>25</v>
      </c>
      <c r="S1249" s="19">
        <v>5</v>
      </c>
      <c r="T1249" s="15">
        <v>40</v>
      </c>
      <c r="U1249" s="19">
        <v>79</v>
      </c>
      <c r="V1249" s="14" t="s">
        <v>31</v>
      </c>
      <c r="W1249" s="14"/>
      <c r="X1249" s="14">
        <f>IF(V1249="Yes",1,0)</f>
        <v>0</v>
      </c>
      <c r="Y1249" s="14">
        <f>IF(H1249="Active",0,1)</f>
        <v>0</v>
      </c>
    </row>
    <row r="1250" spans="1:25" ht="18" customHeight="1" x14ac:dyDescent="0.35">
      <c r="A1250" s="14" t="s">
        <v>2106</v>
      </c>
      <c r="B1250" s="14" t="s">
        <v>171</v>
      </c>
      <c r="C1250" s="14" t="s">
        <v>34</v>
      </c>
      <c r="D1250" s="15">
        <v>59</v>
      </c>
      <c r="E1250" s="14" t="s">
        <v>63</v>
      </c>
      <c r="F1250" s="14" t="s">
        <v>79</v>
      </c>
      <c r="G1250" s="16">
        <v>45562</v>
      </c>
      <c r="H1250" s="14" t="s">
        <v>26</v>
      </c>
      <c r="I1250" s="14" t="s">
        <v>36</v>
      </c>
      <c r="J1250" s="14" t="s">
        <v>2268</v>
      </c>
      <c r="K1250" s="14" t="s">
        <v>73</v>
      </c>
      <c r="L1250" s="14" t="s">
        <v>116</v>
      </c>
      <c r="M1250" s="14" t="s">
        <v>30</v>
      </c>
      <c r="N1250" s="17">
        <v>212118</v>
      </c>
      <c r="O1250" s="17">
        <v>16019</v>
      </c>
      <c r="P1250" s="18">
        <v>90.6</v>
      </c>
      <c r="Q1250" s="15">
        <v>7</v>
      </c>
      <c r="R1250" s="19">
        <v>25</v>
      </c>
      <c r="S1250" s="19">
        <v>4</v>
      </c>
      <c r="T1250" s="15">
        <v>1</v>
      </c>
      <c r="U1250" s="19">
        <v>71</v>
      </c>
      <c r="V1250" s="14" t="s">
        <v>31</v>
      </c>
      <c r="W1250" s="14"/>
      <c r="X1250" s="14">
        <f>IF(V1250="Yes",1,0)</f>
        <v>0</v>
      </c>
      <c r="Y1250" s="14">
        <f>IF(H1250="Active",0,1)</f>
        <v>0</v>
      </c>
    </row>
    <row r="1251" spans="1:25" ht="18" customHeight="1" x14ac:dyDescent="0.35">
      <c r="A1251" s="8" t="s">
        <v>97</v>
      </c>
      <c r="B1251" s="8" t="s">
        <v>98</v>
      </c>
      <c r="C1251" s="8" t="s">
        <v>34</v>
      </c>
      <c r="D1251" s="9">
        <v>54</v>
      </c>
      <c r="E1251" s="8" t="s">
        <v>86</v>
      </c>
      <c r="F1251" s="8" t="s">
        <v>43</v>
      </c>
      <c r="G1251" s="10">
        <v>45561</v>
      </c>
      <c r="H1251" s="8" t="s">
        <v>26</v>
      </c>
      <c r="I1251" s="8" t="s">
        <v>2267</v>
      </c>
      <c r="J1251" s="8" t="s">
        <v>2269</v>
      </c>
      <c r="K1251" s="8" t="s">
        <v>55</v>
      </c>
      <c r="L1251" s="8" t="s">
        <v>44</v>
      </c>
      <c r="M1251" s="8" t="s">
        <v>39</v>
      </c>
      <c r="N1251" s="11">
        <v>201041</v>
      </c>
      <c r="O1251" s="11">
        <v>41042</v>
      </c>
      <c r="P1251" s="12">
        <v>80</v>
      </c>
      <c r="Q1251" s="9">
        <v>1</v>
      </c>
      <c r="R1251" s="13">
        <v>30</v>
      </c>
      <c r="S1251" s="13">
        <v>5</v>
      </c>
      <c r="T1251" s="9">
        <v>11</v>
      </c>
      <c r="U1251" s="13">
        <v>100</v>
      </c>
      <c r="V1251" s="8" t="s">
        <v>31</v>
      </c>
      <c r="W1251" s="8"/>
      <c r="X1251" s="22">
        <f>IF(V1251="Yes",1,0)</f>
        <v>0</v>
      </c>
      <c r="Y1251" s="22">
        <f>IF(H1251="Active",0,1)</f>
        <v>0</v>
      </c>
    </row>
    <row r="1252" spans="1:25" ht="18" customHeight="1" x14ac:dyDescent="0.35">
      <c r="A1252" s="8" t="s">
        <v>348</v>
      </c>
      <c r="B1252" s="8" t="s">
        <v>349</v>
      </c>
      <c r="C1252" s="8" t="s">
        <v>34</v>
      </c>
      <c r="D1252" s="9">
        <v>51</v>
      </c>
      <c r="E1252" s="8" t="s">
        <v>109</v>
      </c>
      <c r="F1252" s="8" t="s">
        <v>35</v>
      </c>
      <c r="G1252" s="10">
        <v>45561</v>
      </c>
      <c r="H1252" s="8" t="s">
        <v>26</v>
      </c>
      <c r="I1252" s="8" t="s">
        <v>36</v>
      </c>
      <c r="J1252" s="8" t="s">
        <v>2270</v>
      </c>
      <c r="K1252" s="8" t="s">
        <v>2271</v>
      </c>
      <c r="L1252" s="8" t="s">
        <v>44</v>
      </c>
      <c r="M1252" s="8" t="s">
        <v>64</v>
      </c>
      <c r="N1252" s="11">
        <v>47837</v>
      </c>
      <c r="O1252" s="11">
        <v>8558</v>
      </c>
      <c r="P1252" s="12">
        <v>98.1</v>
      </c>
      <c r="Q1252" s="9">
        <v>7</v>
      </c>
      <c r="R1252" s="13">
        <v>0</v>
      </c>
      <c r="S1252" s="13">
        <v>2</v>
      </c>
      <c r="T1252" s="9">
        <v>32</v>
      </c>
      <c r="U1252" s="13">
        <v>90</v>
      </c>
      <c r="V1252" s="8" t="s">
        <v>69</v>
      </c>
      <c r="W1252" s="8"/>
      <c r="X1252" s="22">
        <f>IF(V1252="Yes",1,0)</f>
        <v>1</v>
      </c>
      <c r="Y1252" s="22">
        <f>IF(H1252="Active",0,1)</f>
        <v>0</v>
      </c>
    </row>
    <row r="1253" spans="1:25" ht="18" customHeight="1" x14ac:dyDescent="0.35">
      <c r="A1253" s="8" t="s">
        <v>391</v>
      </c>
      <c r="B1253" s="8" t="s">
        <v>210</v>
      </c>
      <c r="C1253" s="8" t="s">
        <v>25</v>
      </c>
      <c r="D1253" s="9">
        <v>51</v>
      </c>
      <c r="E1253" s="8" t="s">
        <v>67</v>
      </c>
      <c r="F1253" s="8" t="s">
        <v>53</v>
      </c>
      <c r="G1253" s="10">
        <v>45561</v>
      </c>
      <c r="H1253" s="8" t="s">
        <v>26</v>
      </c>
      <c r="I1253" s="8" t="s">
        <v>27</v>
      </c>
      <c r="J1253" s="8" t="s">
        <v>48</v>
      </c>
      <c r="K1253" s="8" t="s">
        <v>73</v>
      </c>
      <c r="L1253" s="8" t="s">
        <v>87</v>
      </c>
      <c r="M1253" s="8" t="s">
        <v>60</v>
      </c>
      <c r="N1253" s="11">
        <v>165890</v>
      </c>
      <c r="O1253" s="11">
        <v>18176</v>
      </c>
      <c r="P1253" s="12">
        <v>83.3</v>
      </c>
      <c r="Q1253" s="9">
        <v>7</v>
      </c>
      <c r="R1253" s="13">
        <v>11</v>
      </c>
      <c r="S1253" s="13">
        <v>5</v>
      </c>
      <c r="T1253" s="9">
        <v>39</v>
      </c>
      <c r="U1253" s="13">
        <v>83</v>
      </c>
      <c r="V1253" s="8" t="s">
        <v>31</v>
      </c>
      <c r="W1253" s="8"/>
      <c r="X1253" s="22">
        <f>IF(V1253="Yes",1,0)</f>
        <v>0</v>
      </c>
      <c r="Y1253" s="22">
        <f>IF(H1253="Active",0,1)</f>
        <v>0</v>
      </c>
    </row>
    <row r="1254" spans="1:25" ht="18" customHeight="1" x14ac:dyDescent="0.35">
      <c r="A1254" s="14" t="s">
        <v>1868</v>
      </c>
      <c r="B1254" s="14" t="s">
        <v>806</v>
      </c>
      <c r="C1254" s="14" t="s">
        <v>25</v>
      </c>
      <c r="D1254" s="15">
        <v>57</v>
      </c>
      <c r="E1254" s="14" t="s">
        <v>2304</v>
      </c>
      <c r="F1254" s="14" t="s">
        <v>12</v>
      </c>
      <c r="G1254" s="16">
        <v>45561</v>
      </c>
      <c r="H1254" s="14" t="s">
        <v>26</v>
      </c>
      <c r="I1254" s="14" t="s">
        <v>36</v>
      </c>
      <c r="J1254" s="14" t="s">
        <v>2269</v>
      </c>
      <c r="K1254" s="14" t="s">
        <v>73</v>
      </c>
      <c r="L1254" s="14" t="s">
        <v>68</v>
      </c>
      <c r="M1254" s="14" t="s">
        <v>30</v>
      </c>
      <c r="N1254" s="17">
        <v>237460</v>
      </c>
      <c r="O1254" s="17">
        <v>33154</v>
      </c>
      <c r="P1254" s="18">
        <v>84.6</v>
      </c>
      <c r="Q1254" s="15">
        <v>2</v>
      </c>
      <c r="R1254" s="19">
        <v>8</v>
      </c>
      <c r="S1254" s="19">
        <v>5</v>
      </c>
      <c r="T1254" s="15">
        <v>27</v>
      </c>
      <c r="U1254" s="19">
        <v>94</v>
      </c>
      <c r="V1254" s="14" t="s">
        <v>31</v>
      </c>
      <c r="W1254" s="14"/>
      <c r="X1254" s="14">
        <f>IF(V1254="Yes",1,0)</f>
        <v>0</v>
      </c>
      <c r="Y1254" s="14">
        <f>IF(H1254="Active",0,1)</f>
        <v>0</v>
      </c>
    </row>
    <row r="1255" spans="1:25" ht="18" customHeight="1" x14ac:dyDescent="0.35">
      <c r="A1255" s="8" t="s">
        <v>2071</v>
      </c>
      <c r="B1255" s="8" t="s">
        <v>111</v>
      </c>
      <c r="C1255" s="8" t="s">
        <v>25</v>
      </c>
      <c r="D1255" s="9">
        <v>49</v>
      </c>
      <c r="E1255" s="8" t="s">
        <v>67</v>
      </c>
      <c r="F1255" s="8" t="s">
        <v>72</v>
      </c>
      <c r="G1255" s="10">
        <v>45561</v>
      </c>
      <c r="H1255" s="8" t="s">
        <v>26</v>
      </c>
      <c r="I1255" s="8" t="s">
        <v>36</v>
      </c>
      <c r="J1255" s="8" t="s">
        <v>48</v>
      </c>
      <c r="K1255" s="8" t="s">
        <v>37</v>
      </c>
      <c r="L1255" s="8" t="s">
        <v>29</v>
      </c>
      <c r="M1255" s="8" t="s">
        <v>60</v>
      </c>
      <c r="N1255" s="11">
        <v>245801</v>
      </c>
      <c r="O1255" s="11">
        <v>14271</v>
      </c>
      <c r="P1255" s="12">
        <v>80.2</v>
      </c>
      <c r="Q1255" s="9">
        <v>4</v>
      </c>
      <c r="R1255" s="13">
        <v>29</v>
      </c>
      <c r="S1255" s="13">
        <v>2</v>
      </c>
      <c r="T1255" s="9">
        <v>16</v>
      </c>
      <c r="U1255" s="13">
        <v>86</v>
      </c>
      <c r="V1255" s="8" t="s">
        <v>31</v>
      </c>
      <c r="W1255" s="8"/>
      <c r="X1255" s="22">
        <f>IF(V1255="Yes",1,0)</f>
        <v>0</v>
      </c>
      <c r="Y1255" s="22">
        <f>IF(H1255="Active",0,1)</f>
        <v>0</v>
      </c>
    </row>
    <row r="1256" spans="1:25" ht="18" customHeight="1" x14ac:dyDescent="0.35">
      <c r="A1256" s="14" t="s">
        <v>1404</v>
      </c>
      <c r="B1256" s="14" t="s">
        <v>113</v>
      </c>
      <c r="C1256" s="14" t="s">
        <v>34</v>
      </c>
      <c r="D1256" s="15">
        <v>30</v>
      </c>
      <c r="E1256" s="14" t="s">
        <v>2304</v>
      </c>
      <c r="F1256" s="14" t="s">
        <v>43</v>
      </c>
      <c r="G1256" s="16">
        <v>45560</v>
      </c>
      <c r="H1256" s="14" t="s">
        <v>26</v>
      </c>
      <c r="I1256" s="14" t="s">
        <v>2267</v>
      </c>
      <c r="J1256" s="14" t="s">
        <v>80</v>
      </c>
      <c r="K1256" s="14" t="s">
        <v>2271</v>
      </c>
      <c r="L1256" s="14" t="s">
        <v>68</v>
      </c>
      <c r="M1256" s="14" t="s">
        <v>45</v>
      </c>
      <c r="N1256" s="17">
        <v>114818</v>
      </c>
      <c r="O1256" s="17">
        <v>18231</v>
      </c>
      <c r="P1256" s="18">
        <v>95.7</v>
      </c>
      <c r="Q1256" s="15">
        <v>8</v>
      </c>
      <c r="R1256" s="19">
        <v>3</v>
      </c>
      <c r="S1256" s="19">
        <v>5</v>
      </c>
      <c r="T1256" s="15">
        <v>16</v>
      </c>
      <c r="U1256" s="19">
        <v>91</v>
      </c>
      <c r="V1256" s="14" t="s">
        <v>31</v>
      </c>
      <c r="W1256" s="14"/>
      <c r="X1256" s="14">
        <f>IF(V1256="Yes",1,0)</f>
        <v>0</v>
      </c>
      <c r="Y1256" s="14">
        <f>IF(H1256="Active",0,1)</f>
        <v>0</v>
      </c>
    </row>
    <row r="1257" spans="1:25" ht="18" customHeight="1" x14ac:dyDescent="0.35">
      <c r="A1257" s="14" t="s">
        <v>147</v>
      </c>
      <c r="B1257" s="14" t="s">
        <v>144</v>
      </c>
      <c r="C1257" s="14" t="s">
        <v>25</v>
      </c>
      <c r="D1257" s="15">
        <v>48</v>
      </c>
      <c r="E1257" s="14" t="s">
        <v>42</v>
      </c>
      <c r="F1257" s="14" t="s">
        <v>35</v>
      </c>
      <c r="G1257" s="16">
        <v>45559</v>
      </c>
      <c r="H1257" s="14" t="s">
        <v>26</v>
      </c>
      <c r="I1257" s="14" t="s">
        <v>36</v>
      </c>
      <c r="J1257" s="14" t="s">
        <v>2268</v>
      </c>
      <c r="K1257" s="14" t="s">
        <v>55</v>
      </c>
      <c r="L1257" s="14" t="s">
        <v>87</v>
      </c>
      <c r="M1257" s="14" t="s">
        <v>39</v>
      </c>
      <c r="N1257" s="17">
        <v>190023</v>
      </c>
      <c r="O1257" s="17">
        <v>14821</v>
      </c>
      <c r="P1257" s="18">
        <v>89.1</v>
      </c>
      <c r="Q1257" s="15">
        <v>3</v>
      </c>
      <c r="R1257" s="19">
        <v>0</v>
      </c>
      <c r="S1257" s="19">
        <v>5</v>
      </c>
      <c r="T1257" s="15">
        <v>31</v>
      </c>
      <c r="U1257" s="19">
        <v>72</v>
      </c>
      <c r="V1257" s="14" t="s">
        <v>31</v>
      </c>
      <c r="W1257" s="14"/>
      <c r="X1257" s="14">
        <f>IF(V1257="Yes",1,0)</f>
        <v>0</v>
      </c>
      <c r="Y1257" s="14">
        <f>IF(H1257="Active",0,1)</f>
        <v>0</v>
      </c>
    </row>
    <row r="1258" spans="1:25" ht="18" customHeight="1" x14ac:dyDescent="0.35">
      <c r="A1258" s="8" t="s">
        <v>1025</v>
      </c>
      <c r="B1258" s="8" t="s">
        <v>458</v>
      </c>
      <c r="C1258" s="8" t="s">
        <v>25</v>
      </c>
      <c r="D1258" s="9">
        <v>26</v>
      </c>
      <c r="E1258" s="8" t="s">
        <v>86</v>
      </c>
      <c r="F1258" s="8" t="s">
        <v>72</v>
      </c>
      <c r="G1258" s="10">
        <v>45559</v>
      </c>
      <c r="H1258" s="8" t="s">
        <v>26</v>
      </c>
      <c r="I1258" s="8" t="s">
        <v>27</v>
      </c>
      <c r="J1258" s="8" t="s">
        <v>48</v>
      </c>
      <c r="K1258" s="8" t="s">
        <v>28</v>
      </c>
      <c r="L1258" s="8" t="s">
        <v>68</v>
      </c>
      <c r="M1258" s="8" t="s">
        <v>64</v>
      </c>
      <c r="N1258" s="11">
        <v>217041</v>
      </c>
      <c r="O1258" s="11">
        <v>39195</v>
      </c>
      <c r="P1258" s="12">
        <v>96.3</v>
      </c>
      <c r="Q1258" s="9">
        <v>5</v>
      </c>
      <c r="R1258" s="13">
        <v>11</v>
      </c>
      <c r="S1258" s="13">
        <v>2</v>
      </c>
      <c r="T1258" s="9">
        <v>6</v>
      </c>
      <c r="U1258" s="13">
        <v>86</v>
      </c>
      <c r="V1258" s="8" t="s">
        <v>31</v>
      </c>
      <c r="W1258" s="8"/>
      <c r="X1258" s="22">
        <f>IF(V1258="Yes",1,0)</f>
        <v>0</v>
      </c>
      <c r="Y1258" s="22">
        <f>IF(H1258="Active",0,1)</f>
        <v>0</v>
      </c>
    </row>
    <row r="1259" spans="1:25" ht="18" customHeight="1" x14ac:dyDescent="0.35">
      <c r="A1259" s="14" t="s">
        <v>1108</v>
      </c>
      <c r="B1259" s="14" t="s">
        <v>47</v>
      </c>
      <c r="C1259" s="14" t="s">
        <v>25</v>
      </c>
      <c r="D1259" s="15">
        <v>35</v>
      </c>
      <c r="E1259" s="14" t="s">
        <v>2303</v>
      </c>
      <c r="F1259" s="14" t="s">
        <v>12</v>
      </c>
      <c r="G1259" s="16">
        <v>45559</v>
      </c>
      <c r="H1259" s="14" t="s">
        <v>26</v>
      </c>
      <c r="I1259" s="14" t="s">
        <v>2267</v>
      </c>
      <c r="J1259" s="14" t="s">
        <v>2270</v>
      </c>
      <c r="K1259" s="14" t="s">
        <v>37</v>
      </c>
      <c r="L1259" s="14" t="s">
        <v>44</v>
      </c>
      <c r="M1259" s="14" t="s">
        <v>60</v>
      </c>
      <c r="N1259" s="17">
        <v>231055</v>
      </c>
      <c r="O1259" s="17">
        <v>37768</v>
      </c>
      <c r="P1259" s="18">
        <v>96.1</v>
      </c>
      <c r="Q1259" s="15">
        <v>8</v>
      </c>
      <c r="R1259" s="19">
        <v>26</v>
      </c>
      <c r="S1259" s="19">
        <v>5</v>
      </c>
      <c r="T1259" s="15">
        <v>39</v>
      </c>
      <c r="U1259" s="19">
        <v>78</v>
      </c>
      <c r="V1259" s="14" t="s">
        <v>31</v>
      </c>
      <c r="W1259" s="14"/>
      <c r="X1259" s="14">
        <f>IF(V1259="Yes",1,0)</f>
        <v>0</v>
      </c>
      <c r="Y1259" s="14">
        <f>IF(H1259="Active",0,1)</f>
        <v>0</v>
      </c>
    </row>
    <row r="1260" spans="1:25" ht="18" customHeight="1" x14ac:dyDescent="0.35">
      <c r="A1260" s="14" t="s">
        <v>1286</v>
      </c>
      <c r="B1260" s="14" t="s">
        <v>390</v>
      </c>
      <c r="C1260" s="14" t="s">
        <v>25</v>
      </c>
      <c r="D1260" s="15">
        <v>34</v>
      </c>
      <c r="E1260" s="14" t="s">
        <v>63</v>
      </c>
      <c r="F1260" s="14" t="s">
        <v>90</v>
      </c>
      <c r="G1260" s="16">
        <v>45559</v>
      </c>
      <c r="H1260" s="14" t="s">
        <v>26</v>
      </c>
      <c r="I1260" s="14" t="s">
        <v>27</v>
      </c>
      <c r="J1260" s="14" t="s">
        <v>2269</v>
      </c>
      <c r="K1260" s="14" t="s">
        <v>73</v>
      </c>
      <c r="L1260" s="14" t="s">
        <v>44</v>
      </c>
      <c r="M1260" s="14" t="s">
        <v>60</v>
      </c>
      <c r="N1260" s="17">
        <v>160959</v>
      </c>
      <c r="O1260" s="17">
        <v>13156</v>
      </c>
      <c r="P1260" s="18">
        <v>91.7</v>
      </c>
      <c r="Q1260" s="15">
        <v>5</v>
      </c>
      <c r="R1260" s="19">
        <v>27</v>
      </c>
      <c r="S1260" s="19">
        <v>5</v>
      </c>
      <c r="T1260" s="15">
        <v>34</v>
      </c>
      <c r="U1260" s="19">
        <v>73</v>
      </c>
      <c r="V1260" s="14" t="s">
        <v>31</v>
      </c>
      <c r="W1260" s="14"/>
      <c r="X1260" s="14">
        <f>IF(V1260="Yes",1,0)</f>
        <v>0</v>
      </c>
      <c r="Y1260" s="14">
        <f>IF(H1260="Active",0,1)</f>
        <v>0</v>
      </c>
    </row>
    <row r="1261" spans="1:25" ht="18" customHeight="1" x14ac:dyDescent="0.35">
      <c r="A1261" s="8" t="s">
        <v>679</v>
      </c>
      <c r="B1261" s="8" t="s">
        <v>278</v>
      </c>
      <c r="C1261" s="8" t="s">
        <v>34</v>
      </c>
      <c r="D1261" s="9">
        <v>25</v>
      </c>
      <c r="E1261" s="8" t="s">
        <v>42</v>
      </c>
      <c r="F1261" s="8" t="s">
        <v>76</v>
      </c>
      <c r="G1261" s="10">
        <v>45558</v>
      </c>
      <c r="H1261" s="8" t="s">
        <v>26</v>
      </c>
      <c r="I1261" s="8" t="s">
        <v>2267</v>
      </c>
      <c r="J1261" s="8" t="s">
        <v>48</v>
      </c>
      <c r="K1261" s="8" t="s">
        <v>37</v>
      </c>
      <c r="L1261" s="8" t="s">
        <v>44</v>
      </c>
      <c r="M1261" s="8" t="s">
        <v>60</v>
      </c>
      <c r="N1261" s="11">
        <v>47870</v>
      </c>
      <c r="O1261" s="11">
        <v>9961</v>
      </c>
      <c r="P1261" s="12">
        <v>97.1</v>
      </c>
      <c r="Q1261" s="9">
        <v>5</v>
      </c>
      <c r="R1261" s="13">
        <v>9</v>
      </c>
      <c r="S1261" s="13">
        <v>4</v>
      </c>
      <c r="T1261" s="9">
        <v>2</v>
      </c>
      <c r="U1261" s="13">
        <v>91</v>
      </c>
      <c r="V1261" s="8" t="s">
        <v>31</v>
      </c>
      <c r="W1261" s="8"/>
      <c r="X1261" s="22">
        <f>IF(V1261="Yes",1,0)</f>
        <v>0</v>
      </c>
      <c r="Y1261" s="22">
        <f>IF(H1261="Active",0,1)</f>
        <v>0</v>
      </c>
    </row>
    <row r="1262" spans="1:25" ht="18" customHeight="1" x14ac:dyDescent="0.35">
      <c r="A1262" s="8" t="s">
        <v>243</v>
      </c>
      <c r="B1262" s="8" t="s">
        <v>244</v>
      </c>
      <c r="C1262" s="8" t="s">
        <v>25</v>
      </c>
      <c r="D1262" s="9">
        <v>57</v>
      </c>
      <c r="E1262" s="8" t="s">
        <v>86</v>
      </c>
      <c r="F1262" s="8" t="s">
        <v>12</v>
      </c>
      <c r="G1262" s="10">
        <v>45557</v>
      </c>
      <c r="H1262" s="8" t="s">
        <v>26</v>
      </c>
      <c r="I1262" s="8" t="s">
        <v>27</v>
      </c>
      <c r="J1262" s="8" t="s">
        <v>2269</v>
      </c>
      <c r="K1262" s="8" t="s">
        <v>28</v>
      </c>
      <c r="L1262" s="8" t="s">
        <v>87</v>
      </c>
      <c r="M1262" s="8" t="s">
        <v>64</v>
      </c>
      <c r="N1262" s="11">
        <v>83173</v>
      </c>
      <c r="O1262" s="11">
        <v>6027</v>
      </c>
      <c r="P1262" s="12">
        <v>97.1</v>
      </c>
      <c r="Q1262" s="9">
        <v>4</v>
      </c>
      <c r="R1262" s="13">
        <v>14</v>
      </c>
      <c r="S1262" s="13">
        <v>2</v>
      </c>
      <c r="T1262" s="9">
        <v>16</v>
      </c>
      <c r="U1262" s="13">
        <v>61</v>
      </c>
      <c r="V1262" s="8" t="s">
        <v>31</v>
      </c>
      <c r="W1262" s="8"/>
      <c r="X1262" s="22">
        <f>IF(V1262="Yes",1,0)</f>
        <v>0</v>
      </c>
      <c r="Y1262" s="22">
        <f>IF(H1262="Active",0,1)</f>
        <v>0</v>
      </c>
    </row>
    <row r="1263" spans="1:25" ht="18" customHeight="1" x14ac:dyDescent="0.35">
      <c r="A1263" s="8" t="s">
        <v>989</v>
      </c>
      <c r="B1263" s="8" t="s">
        <v>274</v>
      </c>
      <c r="C1263" s="8" t="s">
        <v>34</v>
      </c>
      <c r="D1263" s="9">
        <v>51</v>
      </c>
      <c r="E1263" s="8" t="s">
        <v>109</v>
      </c>
      <c r="F1263" s="8" t="s">
        <v>53</v>
      </c>
      <c r="G1263" s="10">
        <v>45557</v>
      </c>
      <c r="H1263" s="8" t="s">
        <v>26</v>
      </c>
      <c r="I1263" s="8" t="s">
        <v>27</v>
      </c>
      <c r="J1263" s="8" t="s">
        <v>2268</v>
      </c>
      <c r="K1263" s="8" t="s">
        <v>73</v>
      </c>
      <c r="L1263" s="8" t="s">
        <v>38</v>
      </c>
      <c r="M1263" s="8" t="s">
        <v>30</v>
      </c>
      <c r="N1263" s="11">
        <v>35662</v>
      </c>
      <c r="O1263" s="11">
        <v>26909</v>
      </c>
      <c r="P1263" s="12">
        <v>85.7</v>
      </c>
      <c r="Q1263" s="9">
        <v>2</v>
      </c>
      <c r="R1263" s="13">
        <v>23</v>
      </c>
      <c r="S1263" s="13">
        <v>2</v>
      </c>
      <c r="T1263" s="9">
        <v>3</v>
      </c>
      <c r="U1263" s="13">
        <v>93</v>
      </c>
      <c r="V1263" s="8" t="s">
        <v>31</v>
      </c>
      <c r="W1263" s="8"/>
      <c r="X1263" s="22">
        <f>IF(V1263="Yes",1,0)</f>
        <v>0</v>
      </c>
      <c r="Y1263" s="22">
        <f>IF(H1263="Active",0,1)</f>
        <v>0</v>
      </c>
    </row>
    <row r="1264" spans="1:25" ht="18" customHeight="1" x14ac:dyDescent="0.35">
      <c r="A1264" s="14" t="s">
        <v>2148</v>
      </c>
      <c r="B1264" s="14" t="s">
        <v>974</v>
      </c>
      <c r="C1264" s="14" t="s">
        <v>25</v>
      </c>
      <c r="D1264" s="15">
        <v>26</v>
      </c>
      <c r="E1264" s="14" t="s">
        <v>93</v>
      </c>
      <c r="F1264" s="14" t="s">
        <v>76</v>
      </c>
      <c r="G1264" s="16">
        <v>45557</v>
      </c>
      <c r="H1264" s="14" t="s">
        <v>26</v>
      </c>
      <c r="I1264" s="14" t="s">
        <v>27</v>
      </c>
      <c r="J1264" s="14" t="s">
        <v>48</v>
      </c>
      <c r="K1264" s="14" t="s">
        <v>37</v>
      </c>
      <c r="L1264" s="14" t="s">
        <v>68</v>
      </c>
      <c r="M1264" s="14" t="s">
        <v>39</v>
      </c>
      <c r="N1264" s="17">
        <v>243172</v>
      </c>
      <c r="O1264" s="17">
        <v>36060</v>
      </c>
      <c r="P1264" s="18">
        <v>80.099999999999994</v>
      </c>
      <c r="Q1264" s="15">
        <v>9</v>
      </c>
      <c r="R1264" s="19">
        <v>8</v>
      </c>
      <c r="S1264" s="19">
        <v>1</v>
      </c>
      <c r="T1264" s="15">
        <v>31</v>
      </c>
      <c r="U1264" s="19">
        <v>72</v>
      </c>
      <c r="V1264" s="14" t="s">
        <v>31</v>
      </c>
      <c r="W1264" s="14"/>
      <c r="X1264" s="14">
        <f>IF(V1264="Yes",1,0)</f>
        <v>0</v>
      </c>
      <c r="Y1264" s="14">
        <f>IF(H1264="Active",0,1)</f>
        <v>0</v>
      </c>
    </row>
    <row r="1265" spans="1:25" ht="18" customHeight="1" x14ac:dyDescent="0.35">
      <c r="A1265" s="8" t="s">
        <v>700</v>
      </c>
      <c r="B1265" s="8" t="s">
        <v>701</v>
      </c>
      <c r="C1265" s="8" t="s">
        <v>25</v>
      </c>
      <c r="D1265" s="9">
        <v>23</v>
      </c>
      <c r="E1265" s="8" t="s">
        <v>52</v>
      </c>
      <c r="F1265" s="8" t="s">
        <v>76</v>
      </c>
      <c r="G1265" s="10">
        <v>45556</v>
      </c>
      <c r="H1265" s="8" t="s">
        <v>26</v>
      </c>
      <c r="I1265" s="8" t="s">
        <v>27</v>
      </c>
      <c r="J1265" s="8" t="s">
        <v>2270</v>
      </c>
      <c r="K1265" s="8" t="s">
        <v>28</v>
      </c>
      <c r="L1265" s="8" t="s">
        <v>68</v>
      </c>
      <c r="M1265" s="8" t="s">
        <v>39</v>
      </c>
      <c r="N1265" s="11">
        <v>39978</v>
      </c>
      <c r="O1265" s="11">
        <v>43114</v>
      </c>
      <c r="P1265" s="12">
        <v>88.7</v>
      </c>
      <c r="Q1265" s="9">
        <v>6</v>
      </c>
      <c r="R1265" s="13">
        <v>2</v>
      </c>
      <c r="S1265" s="13">
        <v>2</v>
      </c>
      <c r="T1265" s="9">
        <v>2</v>
      </c>
      <c r="U1265" s="13">
        <v>82</v>
      </c>
      <c r="V1265" s="8" t="s">
        <v>31</v>
      </c>
      <c r="W1265" s="8"/>
      <c r="X1265" s="22">
        <f>IF(V1265="Yes",1,0)</f>
        <v>0</v>
      </c>
      <c r="Y1265" s="22">
        <f>IF(H1265="Active",0,1)</f>
        <v>0</v>
      </c>
    </row>
    <row r="1266" spans="1:25" ht="18" customHeight="1" x14ac:dyDescent="0.35">
      <c r="A1266" s="14" t="s">
        <v>925</v>
      </c>
      <c r="B1266" s="14" t="s">
        <v>445</v>
      </c>
      <c r="C1266" s="14" t="s">
        <v>25</v>
      </c>
      <c r="D1266" s="15">
        <v>54</v>
      </c>
      <c r="E1266" s="14" t="s">
        <v>86</v>
      </c>
      <c r="F1266" s="14" t="s">
        <v>35</v>
      </c>
      <c r="G1266" s="16">
        <v>45556</v>
      </c>
      <c r="H1266" s="14" t="s">
        <v>26</v>
      </c>
      <c r="I1266" s="14" t="s">
        <v>36</v>
      </c>
      <c r="J1266" s="14" t="s">
        <v>80</v>
      </c>
      <c r="K1266" s="14" t="s">
        <v>2271</v>
      </c>
      <c r="L1266" s="14" t="s">
        <v>29</v>
      </c>
      <c r="M1266" s="14" t="s">
        <v>64</v>
      </c>
      <c r="N1266" s="17">
        <v>187740</v>
      </c>
      <c r="O1266" s="17">
        <v>43818</v>
      </c>
      <c r="P1266" s="18">
        <v>94.1</v>
      </c>
      <c r="Q1266" s="15">
        <v>2</v>
      </c>
      <c r="R1266" s="19">
        <v>15</v>
      </c>
      <c r="S1266" s="19">
        <v>4</v>
      </c>
      <c r="T1266" s="15">
        <v>39</v>
      </c>
      <c r="U1266" s="19">
        <v>78</v>
      </c>
      <c r="V1266" s="14" t="s">
        <v>31</v>
      </c>
      <c r="W1266" s="14"/>
      <c r="X1266" s="14">
        <f>IF(V1266="Yes",1,0)</f>
        <v>0</v>
      </c>
      <c r="Y1266" s="14">
        <f>IF(H1266="Active",0,1)</f>
        <v>0</v>
      </c>
    </row>
    <row r="1267" spans="1:25" ht="18" customHeight="1" x14ac:dyDescent="0.35">
      <c r="A1267" s="14" t="s">
        <v>1052</v>
      </c>
      <c r="B1267" s="14" t="s">
        <v>78</v>
      </c>
      <c r="C1267" s="14" t="s">
        <v>34</v>
      </c>
      <c r="D1267" s="15">
        <v>27</v>
      </c>
      <c r="E1267" s="14" t="s">
        <v>63</v>
      </c>
      <c r="F1267" s="14" t="s">
        <v>76</v>
      </c>
      <c r="G1267" s="16">
        <v>45556</v>
      </c>
      <c r="H1267" s="14" t="s">
        <v>26</v>
      </c>
      <c r="I1267" s="14" t="s">
        <v>27</v>
      </c>
      <c r="J1267" s="14" t="s">
        <v>48</v>
      </c>
      <c r="K1267" s="14" t="s">
        <v>73</v>
      </c>
      <c r="L1267" s="14" t="s">
        <v>38</v>
      </c>
      <c r="M1267" s="14" t="s">
        <v>64</v>
      </c>
      <c r="N1267" s="17">
        <v>184612</v>
      </c>
      <c r="O1267" s="17">
        <v>6095</v>
      </c>
      <c r="P1267" s="18">
        <v>92.3</v>
      </c>
      <c r="Q1267" s="15">
        <v>7</v>
      </c>
      <c r="R1267" s="19">
        <v>7</v>
      </c>
      <c r="S1267" s="19">
        <v>2</v>
      </c>
      <c r="T1267" s="15">
        <v>39</v>
      </c>
      <c r="U1267" s="19">
        <v>98</v>
      </c>
      <c r="V1267" s="14" t="s">
        <v>31</v>
      </c>
      <c r="W1267" s="14"/>
      <c r="X1267" s="14">
        <f>IF(V1267="Yes",1,0)</f>
        <v>0</v>
      </c>
      <c r="Y1267" s="14">
        <f>IF(H1267="Active",0,1)</f>
        <v>0</v>
      </c>
    </row>
    <row r="1268" spans="1:25" ht="18" customHeight="1" x14ac:dyDescent="0.35">
      <c r="A1268" s="8" t="s">
        <v>1117</v>
      </c>
      <c r="B1268" s="8" t="s">
        <v>250</v>
      </c>
      <c r="C1268" s="8" t="s">
        <v>25</v>
      </c>
      <c r="D1268" s="9">
        <v>32</v>
      </c>
      <c r="E1268" s="8" t="s">
        <v>2304</v>
      </c>
      <c r="F1268" s="8" t="s">
        <v>12</v>
      </c>
      <c r="G1268" s="10">
        <v>45556</v>
      </c>
      <c r="H1268" s="8" t="s">
        <v>54</v>
      </c>
      <c r="I1268" s="8" t="s">
        <v>2267</v>
      </c>
      <c r="J1268" s="8" t="s">
        <v>48</v>
      </c>
      <c r="K1268" s="8" t="s">
        <v>2271</v>
      </c>
      <c r="L1268" s="8" t="s">
        <v>44</v>
      </c>
      <c r="M1268" s="8" t="s">
        <v>30</v>
      </c>
      <c r="N1268" s="11">
        <v>128160</v>
      </c>
      <c r="O1268" s="11">
        <v>47353</v>
      </c>
      <c r="P1268" s="12">
        <v>82.6</v>
      </c>
      <c r="Q1268" s="9">
        <v>8</v>
      </c>
      <c r="R1268" s="13">
        <v>6</v>
      </c>
      <c r="S1268" s="13">
        <v>4</v>
      </c>
      <c r="T1268" s="9">
        <v>28</v>
      </c>
      <c r="U1268" s="13">
        <v>79</v>
      </c>
      <c r="V1268" s="8" t="s">
        <v>31</v>
      </c>
      <c r="W1268" s="8" t="s">
        <v>57</v>
      </c>
      <c r="X1268" s="22">
        <f>IF(V1268="Yes",1,0)</f>
        <v>0</v>
      </c>
      <c r="Y1268" s="22">
        <f>IF(H1268="Active",0,1)</f>
        <v>1</v>
      </c>
    </row>
    <row r="1269" spans="1:25" ht="18" customHeight="1" x14ac:dyDescent="0.35">
      <c r="A1269" s="14" t="s">
        <v>1632</v>
      </c>
      <c r="B1269" s="14" t="s">
        <v>142</v>
      </c>
      <c r="C1269" s="14" t="s">
        <v>25</v>
      </c>
      <c r="D1269" s="15">
        <v>25</v>
      </c>
      <c r="E1269" s="14" t="s">
        <v>86</v>
      </c>
      <c r="F1269" s="14" t="s">
        <v>72</v>
      </c>
      <c r="G1269" s="16">
        <v>45556</v>
      </c>
      <c r="H1269" s="14" t="s">
        <v>26</v>
      </c>
      <c r="I1269" s="14" t="s">
        <v>27</v>
      </c>
      <c r="J1269" s="14" t="s">
        <v>48</v>
      </c>
      <c r="K1269" s="14" t="s">
        <v>73</v>
      </c>
      <c r="L1269" s="14" t="s">
        <v>49</v>
      </c>
      <c r="M1269" s="14" t="s">
        <v>60</v>
      </c>
      <c r="N1269" s="17">
        <v>166440</v>
      </c>
      <c r="O1269" s="17">
        <v>5136</v>
      </c>
      <c r="P1269" s="18">
        <v>90.6</v>
      </c>
      <c r="Q1269" s="15">
        <v>1</v>
      </c>
      <c r="R1269" s="19">
        <v>20</v>
      </c>
      <c r="S1269" s="19">
        <v>4</v>
      </c>
      <c r="T1269" s="15">
        <v>12</v>
      </c>
      <c r="U1269" s="19">
        <v>73</v>
      </c>
      <c r="V1269" s="14" t="s">
        <v>31</v>
      </c>
      <c r="W1269" s="14"/>
      <c r="X1269" s="14">
        <f>IF(V1269="Yes",1,0)</f>
        <v>0</v>
      </c>
      <c r="Y1269" s="14">
        <f>IF(H1269="Active",0,1)</f>
        <v>0</v>
      </c>
    </row>
    <row r="1270" spans="1:25" ht="18" customHeight="1" x14ac:dyDescent="0.35">
      <c r="A1270" s="14" t="s">
        <v>1800</v>
      </c>
      <c r="B1270" s="14" t="s">
        <v>619</v>
      </c>
      <c r="C1270" s="14" t="s">
        <v>25</v>
      </c>
      <c r="D1270" s="15">
        <v>24</v>
      </c>
      <c r="E1270" s="14" t="s">
        <v>52</v>
      </c>
      <c r="F1270" s="14" t="s">
        <v>72</v>
      </c>
      <c r="G1270" s="16">
        <v>45556</v>
      </c>
      <c r="H1270" s="14" t="s">
        <v>26</v>
      </c>
      <c r="I1270" s="14" t="s">
        <v>27</v>
      </c>
      <c r="J1270" s="14" t="s">
        <v>80</v>
      </c>
      <c r="K1270" s="14" t="s">
        <v>28</v>
      </c>
      <c r="L1270" s="14" t="s">
        <v>68</v>
      </c>
      <c r="M1270" s="14" t="s">
        <v>45</v>
      </c>
      <c r="N1270" s="17">
        <v>84981</v>
      </c>
      <c r="O1270" s="17">
        <v>45243</v>
      </c>
      <c r="P1270" s="18">
        <v>90.8</v>
      </c>
      <c r="Q1270" s="15">
        <v>7</v>
      </c>
      <c r="R1270" s="19">
        <v>10</v>
      </c>
      <c r="S1270" s="19">
        <v>3</v>
      </c>
      <c r="T1270" s="15">
        <v>4</v>
      </c>
      <c r="U1270" s="19">
        <v>72</v>
      </c>
      <c r="V1270" s="14" t="s">
        <v>31</v>
      </c>
      <c r="W1270" s="14"/>
      <c r="X1270" s="14">
        <f>IF(V1270="Yes",1,0)</f>
        <v>0</v>
      </c>
      <c r="Y1270" s="14">
        <f>IF(H1270="Active",0,1)</f>
        <v>0</v>
      </c>
    </row>
    <row r="1271" spans="1:25" ht="18" customHeight="1" x14ac:dyDescent="0.35">
      <c r="A1271" s="14" t="s">
        <v>99</v>
      </c>
      <c r="B1271" s="14" t="s">
        <v>100</v>
      </c>
      <c r="C1271" s="14" t="s">
        <v>34</v>
      </c>
      <c r="D1271" s="15">
        <v>25</v>
      </c>
      <c r="E1271" s="14" t="s">
        <v>52</v>
      </c>
      <c r="F1271" s="14" t="s">
        <v>72</v>
      </c>
      <c r="G1271" s="16">
        <v>45555</v>
      </c>
      <c r="H1271" s="14" t="s">
        <v>26</v>
      </c>
      <c r="I1271" s="14" t="s">
        <v>27</v>
      </c>
      <c r="J1271" s="14" t="s">
        <v>2270</v>
      </c>
      <c r="K1271" s="14" t="s">
        <v>2271</v>
      </c>
      <c r="L1271" s="14" t="s">
        <v>29</v>
      </c>
      <c r="M1271" s="14" t="s">
        <v>30</v>
      </c>
      <c r="N1271" s="17">
        <v>105877</v>
      </c>
      <c r="O1271" s="17">
        <v>29400</v>
      </c>
      <c r="P1271" s="18">
        <v>95</v>
      </c>
      <c r="Q1271" s="15">
        <v>10</v>
      </c>
      <c r="R1271" s="19">
        <v>25</v>
      </c>
      <c r="S1271" s="19">
        <v>5</v>
      </c>
      <c r="T1271" s="15">
        <v>8</v>
      </c>
      <c r="U1271" s="19">
        <v>89</v>
      </c>
      <c r="V1271" s="14" t="s">
        <v>31</v>
      </c>
      <c r="W1271" s="14"/>
      <c r="X1271" s="14">
        <f>IF(V1271="Yes",1,0)</f>
        <v>0</v>
      </c>
      <c r="Y1271" s="14">
        <f>IF(H1271="Active",0,1)</f>
        <v>0</v>
      </c>
    </row>
    <row r="1272" spans="1:25" ht="18" customHeight="1" x14ac:dyDescent="0.35">
      <c r="A1272" s="8" t="s">
        <v>675</v>
      </c>
      <c r="B1272" s="8" t="s">
        <v>127</v>
      </c>
      <c r="C1272" s="8" t="s">
        <v>34</v>
      </c>
      <c r="D1272" s="9">
        <v>25</v>
      </c>
      <c r="E1272" s="8" t="s">
        <v>2304</v>
      </c>
      <c r="F1272" s="8" t="s">
        <v>76</v>
      </c>
      <c r="G1272" s="10">
        <v>45555</v>
      </c>
      <c r="H1272" s="8" t="s">
        <v>26</v>
      </c>
      <c r="I1272" s="8" t="s">
        <v>2267</v>
      </c>
      <c r="J1272" s="8" t="s">
        <v>2269</v>
      </c>
      <c r="K1272" s="8" t="s">
        <v>55</v>
      </c>
      <c r="L1272" s="8" t="s">
        <v>87</v>
      </c>
      <c r="M1272" s="8" t="s">
        <v>60</v>
      </c>
      <c r="N1272" s="11">
        <v>243309</v>
      </c>
      <c r="O1272" s="11">
        <v>28938</v>
      </c>
      <c r="P1272" s="12">
        <v>95.6</v>
      </c>
      <c r="Q1272" s="9">
        <v>1</v>
      </c>
      <c r="R1272" s="13">
        <v>5</v>
      </c>
      <c r="S1272" s="13">
        <v>2</v>
      </c>
      <c r="T1272" s="9">
        <v>6</v>
      </c>
      <c r="U1272" s="13">
        <v>67</v>
      </c>
      <c r="V1272" s="8" t="s">
        <v>31</v>
      </c>
      <c r="W1272" s="8"/>
      <c r="X1272" s="22">
        <f>IF(V1272="Yes",1,0)</f>
        <v>0</v>
      </c>
      <c r="Y1272" s="22">
        <f>IF(H1272="Active",0,1)</f>
        <v>0</v>
      </c>
    </row>
    <row r="1273" spans="1:25" ht="18" customHeight="1" x14ac:dyDescent="0.35">
      <c r="A1273" s="14" t="s">
        <v>1074</v>
      </c>
      <c r="B1273" s="14" t="s">
        <v>356</v>
      </c>
      <c r="C1273" s="14" t="s">
        <v>34</v>
      </c>
      <c r="D1273" s="15">
        <v>23</v>
      </c>
      <c r="E1273" s="14" t="s">
        <v>109</v>
      </c>
      <c r="F1273" s="14" t="s">
        <v>79</v>
      </c>
      <c r="G1273" s="16">
        <v>45555</v>
      </c>
      <c r="H1273" s="14" t="s">
        <v>26</v>
      </c>
      <c r="I1273" s="14" t="s">
        <v>27</v>
      </c>
      <c r="J1273" s="14" t="s">
        <v>2268</v>
      </c>
      <c r="K1273" s="14" t="s">
        <v>55</v>
      </c>
      <c r="L1273" s="14" t="s">
        <v>116</v>
      </c>
      <c r="M1273" s="14" t="s">
        <v>60</v>
      </c>
      <c r="N1273" s="17">
        <v>170134</v>
      </c>
      <c r="O1273" s="17">
        <v>25604</v>
      </c>
      <c r="P1273" s="18">
        <v>80</v>
      </c>
      <c r="Q1273" s="15">
        <v>2</v>
      </c>
      <c r="R1273" s="19">
        <v>26</v>
      </c>
      <c r="S1273" s="19">
        <v>5</v>
      </c>
      <c r="T1273" s="15">
        <v>26</v>
      </c>
      <c r="U1273" s="19">
        <v>90</v>
      </c>
      <c r="V1273" s="14" t="s">
        <v>69</v>
      </c>
      <c r="W1273" s="14"/>
      <c r="X1273" s="14">
        <f>IF(V1273="Yes",1,0)</f>
        <v>1</v>
      </c>
      <c r="Y1273" s="14">
        <f>IF(H1273="Active",0,1)</f>
        <v>0</v>
      </c>
    </row>
    <row r="1274" spans="1:25" ht="18" customHeight="1" x14ac:dyDescent="0.35">
      <c r="A1274" s="8" t="s">
        <v>1737</v>
      </c>
      <c r="B1274" s="8" t="s">
        <v>353</v>
      </c>
      <c r="C1274" s="8" t="s">
        <v>34</v>
      </c>
      <c r="D1274" s="9">
        <v>21</v>
      </c>
      <c r="E1274" s="8" t="s">
        <v>67</v>
      </c>
      <c r="F1274" s="8" t="s">
        <v>79</v>
      </c>
      <c r="G1274" s="10">
        <v>45555</v>
      </c>
      <c r="H1274" s="8" t="s">
        <v>26</v>
      </c>
      <c r="I1274" s="8" t="s">
        <v>27</v>
      </c>
      <c r="J1274" s="8" t="s">
        <v>48</v>
      </c>
      <c r="K1274" s="8" t="s">
        <v>37</v>
      </c>
      <c r="L1274" s="8" t="s">
        <v>49</v>
      </c>
      <c r="M1274" s="8" t="s">
        <v>39</v>
      </c>
      <c r="N1274" s="11">
        <v>93166</v>
      </c>
      <c r="O1274" s="11">
        <v>6384</v>
      </c>
      <c r="P1274" s="12">
        <v>89.2</v>
      </c>
      <c r="Q1274" s="9">
        <v>7</v>
      </c>
      <c r="R1274" s="13">
        <v>18</v>
      </c>
      <c r="S1274" s="13">
        <v>5</v>
      </c>
      <c r="T1274" s="9">
        <v>17</v>
      </c>
      <c r="U1274" s="13">
        <v>70</v>
      </c>
      <c r="V1274" s="8" t="s">
        <v>31</v>
      </c>
      <c r="W1274" s="8"/>
      <c r="X1274" s="22">
        <f>IF(V1274="Yes",1,0)</f>
        <v>0</v>
      </c>
      <c r="Y1274" s="22">
        <f>IF(H1274="Active",0,1)</f>
        <v>0</v>
      </c>
    </row>
    <row r="1275" spans="1:25" ht="18" customHeight="1" x14ac:dyDescent="0.35">
      <c r="A1275" s="8" t="s">
        <v>1749</v>
      </c>
      <c r="B1275" s="8" t="s">
        <v>186</v>
      </c>
      <c r="C1275" s="8" t="s">
        <v>34</v>
      </c>
      <c r="D1275" s="9">
        <v>22</v>
      </c>
      <c r="E1275" s="8" t="s">
        <v>42</v>
      </c>
      <c r="F1275" s="8" t="s">
        <v>90</v>
      </c>
      <c r="G1275" s="10">
        <v>45555</v>
      </c>
      <c r="H1275" s="8" t="s">
        <v>54</v>
      </c>
      <c r="I1275" s="8" t="s">
        <v>2267</v>
      </c>
      <c r="J1275" s="8" t="s">
        <v>2270</v>
      </c>
      <c r="K1275" s="8" t="s">
        <v>28</v>
      </c>
      <c r="L1275" s="8" t="s">
        <v>38</v>
      </c>
      <c r="M1275" s="8" t="s">
        <v>64</v>
      </c>
      <c r="N1275" s="11">
        <v>81367</v>
      </c>
      <c r="O1275" s="11">
        <v>40288</v>
      </c>
      <c r="P1275" s="12">
        <v>99.2</v>
      </c>
      <c r="Q1275" s="9">
        <v>9</v>
      </c>
      <c r="R1275" s="13">
        <v>28</v>
      </c>
      <c r="S1275" s="13">
        <v>4</v>
      </c>
      <c r="T1275" s="9">
        <v>6</v>
      </c>
      <c r="U1275" s="13">
        <v>78</v>
      </c>
      <c r="V1275" s="8" t="s">
        <v>31</v>
      </c>
      <c r="W1275" s="8" t="s">
        <v>96</v>
      </c>
      <c r="X1275" s="22">
        <f>IF(V1275="Yes",1,0)</f>
        <v>0</v>
      </c>
      <c r="Y1275" s="22">
        <f>IF(H1275="Active",0,1)</f>
        <v>1</v>
      </c>
    </row>
    <row r="1276" spans="1:25" ht="18" customHeight="1" x14ac:dyDescent="0.35">
      <c r="A1276" s="14" t="s">
        <v>1656</v>
      </c>
      <c r="B1276" s="14" t="s">
        <v>167</v>
      </c>
      <c r="C1276" s="14" t="s">
        <v>34</v>
      </c>
      <c r="D1276" s="15">
        <v>43</v>
      </c>
      <c r="E1276" s="14" t="s">
        <v>42</v>
      </c>
      <c r="F1276" s="14" t="s">
        <v>79</v>
      </c>
      <c r="G1276" s="16">
        <v>45554</v>
      </c>
      <c r="H1276" s="14" t="s">
        <v>26</v>
      </c>
      <c r="I1276" s="14" t="s">
        <v>27</v>
      </c>
      <c r="J1276" s="14" t="s">
        <v>2268</v>
      </c>
      <c r="K1276" s="14" t="s">
        <v>2271</v>
      </c>
      <c r="L1276" s="14" t="s">
        <v>68</v>
      </c>
      <c r="M1276" s="14" t="s">
        <v>64</v>
      </c>
      <c r="N1276" s="17">
        <v>52710</v>
      </c>
      <c r="O1276" s="17">
        <v>46931</v>
      </c>
      <c r="P1276" s="18">
        <v>96</v>
      </c>
      <c r="Q1276" s="15">
        <v>8</v>
      </c>
      <c r="R1276" s="19">
        <v>12</v>
      </c>
      <c r="S1276" s="19">
        <v>5</v>
      </c>
      <c r="T1276" s="15">
        <v>17</v>
      </c>
      <c r="U1276" s="19">
        <v>77</v>
      </c>
      <c r="V1276" s="14" t="s">
        <v>31</v>
      </c>
      <c r="W1276" s="14"/>
      <c r="X1276" s="14">
        <f>IF(V1276="Yes",1,0)</f>
        <v>0</v>
      </c>
      <c r="Y1276" s="14">
        <f>IF(H1276="Active",0,1)</f>
        <v>0</v>
      </c>
    </row>
    <row r="1277" spans="1:25" ht="18" customHeight="1" x14ac:dyDescent="0.35">
      <c r="A1277" s="14" t="s">
        <v>257</v>
      </c>
      <c r="B1277" s="14" t="s">
        <v>258</v>
      </c>
      <c r="C1277" s="14" t="s">
        <v>25</v>
      </c>
      <c r="D1277" s="15">
        <v>21</v>
      </c>
      <c r="E1277" s="14" t="s">
        <v>2304</v>
      </c>
      <c r="F1277" s="14" t="s">
        <v>79</v>
      </c>
      <c r="G1277" s="16">
        <v>45553</v>
      </c>
      <c r="H1277" s="14" t="s">
        <v>26</v>
      </c>
      <c r="I1277" s="14" t="s">
        <v>27</v>
      </c>
      <c r="J1277" s="14" t="s">
        <v>2270</v>
      </c>
      <c r="K1277" s="14" t="s">
        <v>73</v>
      </c>
      <c r="L1277" s="14" t="s">
        <v>56</v>
      </c>
      <c r="M1277" s="14" t="s">
        <v>30</v>
      </c>
      <c r="N1277" s="17">
        <v>241748</v>
      </c>
      <c r="O1277" s="17">
        <v>24515</v>
      </c>
      <c r="P1277" s="18">
        <v>82</v>
      </c>
      <c r="Q1277" s="15">
        <v>8</v>
      </c>
      <c r="R1277" s="19">
        <v>20</v>
      </c>
      <c r="S1277" s="19">
        <v>1</v>
      </c>
      <c r="T1277" s="15">
        <v>34</v>
      </c>
      <c r="U1277" s="19">
        <v>60</v>
      </c>
      <c r="V1277" s="14" t="s">
        <v>31</v>
      </c>
      <c r="W1277" s="14"/>
      <c r="X1277" s="14">
        <f>IF(V1277="Yes",1,0)</f>
        <v>0</v>
      </c>
      <c r="Y1277" s="14">
        <f>IF(H1277="Active",0,1)</f>
        <v>0</v>
      </c>
    </row>
    <row r="1278" spans="1:25" ht="18" customHeight="1" x14ac:dyDescent="0.35">
      <c r="A1278" s="14" t="s">
        <v>645</v>
      </c>
      <c r="B1278" s="14" t="s">
        <v>646</v>
      </c>
      <c r="C1278" s="14" t="s">
        <v>25</v>
      </c>
      <c r="D1278" s="15">
        <v>48</v>
      </c>
      <c r="E1278" s="14" t="s">
        <v>93</v>
      </c>
      <c r="F1278" s="14" t="s">
        <v>72</v>
      </c>
      <c r="G1278" s="16">
        <v>45553</v>
      </c>
      <c r="H1278" s="14" t="s">
        <v>26</v>
      </c>
      <c r="I1278" s="14" t="s">
        <v>36</v>
      </c>
      <c r="J1278" s="14" t="s">
        <v>2268</v>
      </c>
      <c r="K1278" s="14" t="s">
        <v>37</v>
      </c>
      <c r="L1278" s="14" t="s">
        <v>44</v>
      </c>
      <c r="M1278" s="14" t="s">
        <v>64</v>
      </c>
      <c r="N1278" s="17">
        <v>210972</v>
      </c>
      <c r="O1278" s="17">
        <v>35604</v>
      </c>
      <c r="P1278" s="18">
        <v>85.5</v>
      </c>
      <c r="Q1278" s="15">
        <v>2</v>
      </c>
      <c r="R1278" s="19">
        <v>0</v>
      </c>
      <c r="S1278" s="19">
        <v>5</v>
      </c>
      <c r="T1278" s="15">
        <v>27</v>
      </c>
      <c r="U1278" s="19">
        <v>77</v>
      </c>
      <c r="V1278" s="14" t="s">
        <v>31</v>
      </c>
      <c r="W1278" s="14"/>
      <c r="X1278" s="14">
        <f>IF(V1278="Yes",1,0)</f>
        <v>0</v>
      </c>
      <c r="Y1278" s="14">
        <f>IF(H1278="Active",0,1)</f>
        <v>0</v>
      </c>
    </row>
    <row r="1279" spans="1:25" ht="18" customHeight="1" x14ac:dyDescent="0.35">
      <c r="A1279" s="8" t="s">
        <v>1507</v>
      </c>
      <c r="B1279" s="8" t="s">
        <v>136</v>
      </c>
      <c r="C1279" s="8" t="s">
        <v>34</v>
      </c>
      <c r="D1279" s="9">
        <v>21</v>
      </c>
      <c r="E1279" s="8" t="s">
        <v>93</v>
      </c>
      <c r="F1279" s="8" t="s">
        <v>72</v>
      </c>
      <c r="G1279" s="10">
        <v>45553</v>
      </c>
      <c r="H1279" s="8" t="s">
        <v>26</v>
      </c>
      <c r="I1279" s="8" t="s">
        <v>2267</v>
      </c>
      <c r="J1279" s="8" t="s">
        <v>2268</v>
      </c>
      <c r="K1279" s="8" t="s">
        <v>28</v>
      </c>
      <c r="L1279" s="8" t="s">
        <v>38</v>
      </c>
      <c r="M1279" s="8" t="s">
        <v>45</v>
      </c>
      <c r="N1279" s="11">
        <v>149110</v>
      </c>
      <c r="O1279" s="11">
        <v>43474</v>
      </c>
      <c r="P1279" s="12">
        <v>97.1</v>
      </c>
      <c r="Q1279" s="9">
        <v>10</v>
      </c>
      <c r="R1279" s="13">
        <v>11</v>
      </c>
      <c r="S1279" s="13">
        <v>4</v>
      </c>
      <c r="T1279" s="9">
        <v>18</v>
      </c>
      <c r="U1279" s="13">
        <v>85</v>
      </c>
      <c r="V1279" s="8" t="s">
        <v>31</v>
      </c>
      <c r="W1279" s="8"/>
      <c r="X1279" s="22">
        <f>IF(V1279="Yes",1,0)</f>
        <v>0</v>
      </c>
      <c r="Y1279" s="22">
        <f>IF(H1279="Active",0,1)</f>
        <v>0</v>
      </c>
    </row>
    <row r="1280" spans="1:25" ht="18" customHeight="1" x14ac:dyDescent="0.35">
      <c r="A1280" s="14" t="s">
        <v>813</v>
      </c>
      <c r="B1280" s="14" t="s">
        <v>274</v>
      </c>
      <c r="C1280" s="14" t="s">
        <v>25</v>
      </c>
      <c r="D1280" s="15">
        <v>48</v>
      </c>
      <c r="E1280" s="14" t="s">
        <v>93</v>
      </c>
      <c r="F1280" s="14" t="s">
        <v>76</v>
      </c>
      <c r="G1280" s="16">
        <v>45552</v>
      </c>
      <c r="H1280" s="14" t="s">
        <v>26</v>
      </c>
      <c r="I1280" s="14" t="s">
        <v>2267</v>
      </c>
      <c r="J1280" s="14" t="s">
        <v>2269</v>
      </c>
      <c r="K1280" s="14" t="s">
        <v>37</v>
      </c>
      <c r="L1280" s="14" t="s">
        <v>116</v>
      </c>
      <c r="M1280" s="14" t="s">
        <v>45</v>
      </c>
      <c r="N1280" s="17">
        <v>196445</v>
      </c>
      <c r="O1280" s="17">
        <v>24688</v>
      </c>
      <c r="P1280" s="18">
        <v>88.8</v>
      </c>
      <c r="Q1280" s="15">
        <v>3</v>
      </c>
      <c r="R1280" s="19">
        <v>30</v>
      </c>
      <c r="S1280" s="19">
        <v>3</v>
      </c>
      <c r="T1280" s="15">
        <v>28</v>
      </c>
      <c r="U1280" s="19">
        <v>79</v>
      </c>
      <c r="V1280" s="14" t="s">
        <v>31</v>
      </c>
      <c r="W1280" s="14"/>
      <c r="X1280" s="14">
        <f>IF(V1280="Yes",1,0)</f>
        <v>0</v>
      </c>
      <c r="Y1280" s="14">
        <f>IF(H1280="Active",0,1)</f>
        <v>0</v>
      </c>
    </row>
    <row r="1281" spans="1:25" ht="18" customHeight="1" x14ac:dyDescent="0.35">
      <c r="A1281" s="8" t="s">
        <v>1289</v>
      </c>
      <c r="B1281" s="8" t="s">
        <v>661</v>
      </c>
      <c r="C1281" s="8" t="s">
        <v>25</v>
      </c>
      <c r="D1281" s="9">
        <v>48</v>
      </c>
      <c r="E1281" s="8" t="s">
        <v>67</v>
      </c>
      <c r="F1281" s="8" t="s">
        <v>35</v>
      </c>
      <c r="G1281" s="10">
        <v>45552</v>
      </c>
      <c r="H1281" s="8" t="s">
        <v>54</v>
      </c>
      <c r="I1281" s="8" t="s">
        <v>2267</v>
      </c>
      <c r="J1281" s="8" t="s">
        <v>2269</v>
      </c>
      <c r="K1281" s="8" t="s">
        <v>28</v>
      </c>
      <c r="L1281" s="8" t="s">
        <v>116</v>
      </c>
      <c r="M1281" s="8" t="s">
        <v>45</v>
      </c>
      <c r="N1281" s="11">
        <v>63681</v>
      </c>
      <c r="O1281" s="11">
        <v>44274</v>
      </c>
      <c r="P1281" s="12">
        <v>94.7</v>
      </c>
      <c r="Q1281" s="9">
        <v>5</v>
      </c>
      <c r="R1281" s="13">
        <v>0</v>
      </c>
      <c r="S1281" s="13">
        <v>1</v>
      </c>
      <c r="T1281" s="9">
        <v>15</v>
      </c>
      <c r="U1281" s="13">
        <v>68</v>
      </c>
      <c r="V1281" s="8" t="s">
        <v>31</v>
      </c>
      <c r="W1281" s="8" t="s">
        <v>83</v>
      </c>
      <c r="X1281" s="22">
        <f>IF(V1281="Yes",1,0)</f>
        <v>0</v>
      </c>
      <c r="Y1281" s="22">
        <f>IF(H1281="Active",0,1)</f>
        <v>1</v>
      </c>
    </row>
    <row r="1282" spans="1:25" ht="18" customHeight="1" x14ac:dyDescent="0.35">
      <c r="A1282" s="8" t="s">
        <v>1993</v>
      </c>
      <c r="B1282" s="8" t="s">
        <v>619</v>
      </c>
      <c r="C1282" s="8" t="s">
        <v>25</v>
      </c>
      <c r="D1282" s="9">
        <v>36</v>
      </c>
      <c r="E1282" s="8" t="s">
        <v>2303</v>
      </c>
      <c r="F1282" s="8" t="s">
        <v>53</v>
      </c>
      <c r="G1282" s="10">
        <v>45552</v>
      </c>
      <c r="H1282" s="8" t="s">
        <v>26</v>
      </c>
      <c r="I1282" s="8" t="s">
        <v>2267</v>
      </c>
      <c r="J1282" s="8" t="s">
        <v>48</v>
      </c>
      <c r="K1282" s="8" t="s">
        <v>37</v>
      </c>
      <c r="L1282" s="8" t="s">
        <v>87</v>
      </c>
      <c r="M1282" s="8" t="s">
        <v>39</v>
      </c>
      <c r="N1282" s="11">
        <v>89878</v>
      </c>
      <c r="O1282" s="11">
        <v>11940</v>
      </c>
      <c r="P1282" s="12">
        <v>97.5</v>
      </c>
      <c r="Q1282" s="9">
        <v>0</v>
      </c>
      <c r="R1282" s="13">
        <v>10</v>
      </c>
      <c r="S1282" s="13">
        <v>5</v>
      </c>
      <c r="T1282" s="9">
        <v>32</v>
      </c>
      <c r="U1282" s="13">
        <v>80</v>
      </c>
      <c r="V1282" s="8" t="s">
        <v>31</v>
      </c>
      <c r="W1282" s="8"/>
      <c r="X1282" s="22">
        <f>IF(V1282="Yes",1,0)</f>
        <v>0</v>
      </c>
      <c r="Y1282" s="22">
        <f>IF(H1282="Active",0,1)</f>
        <v>0</v>
      </c>
    </row>
    <row r="1283" spans="1:25" ht="18" customHeight="1" x14ac:dyDescent="0.35">
      <c r="A1283" s="14" t="s">
        <v>937</v>
      </c>
      <c r="B1283" s="14" t="s">
        <v>877</v>
      </c>
      <c r="C1283" s="14" t="s">
        <v>25</v>
      </c>
      <c r="D1283" s="15">
        <v>21</v>
      </c>
      <c r="E1283" s="14" t="s">
        <v>63</v>
      </c>
      <c r="F1283" s="14" t="s">
        <v>90</v>
      </c>
      <c r="G1283" s="16">
        <v>45551</v>
      </c>
      <c r="H1283" s="14" t="s">
        <v>26</v>
      </c>
      <c r="I1283" s="14" t="s">
        <v>27</v>
      </c>
      <c r="J1283" s="14" t="s">
        <v>2270</v>
      </c>
      <c r="K1283" s="14" t="s">
        <v>37</v>
      </c>
      <c r="L1283" s="14" t="s">
        <v>29</v>
      </c>
      <c r="M1283" s="14" t="s">
        <v>64</v>
      </c>
      <c r="N1283" s="17">
        <v>59924</v>
      </c>
      <c r="O1283" s="17">
        <v>14433</v>
      </c>
      <c r="P1283" s="18">
        <v>88.4</v>
      </c>
      <c r="Q1283" s="15">
        <v>4</v>
      </c>
      <c r="R1283" s="19">
        <v>1</v>
      </c>
      <c r="S1283" s="19">
        <v>4</v>
      </c>
      <c r="T1283" s="15">
        <v>23</v>
      </c>
      <c r="U1283" s="19">
        <v>82</v>
      </c>
      <c r="V1283" s="14" t="s">
        <v>31</v>
      </c>
      <c r="W1283" s="14"/>
      <c r="X1283" s="14">
        <f>IF(V1283="Yes",1,0)</f>
        <v>0</v>
      </c>
      <c r="Y1283" s="14">
        <f>IF(H1283="Active",0,1)</f>
        <v>0</v>
      </c>
    </row>
    <row r="1284" spans="1:25" ht="18" customHeight="1" x14ac:dyDescent="0.35">
      <c r="A1284" s="8" t="s">
        <v>1295</v>
      </c>
      <c r="B1284" s="8" t="s">
        <v>215</v>
      </c>
      <c r="C1284" s="8" t="s">
        <v>34</v>
      </c>
      <c r="D1284" s="9">
        <v>57</v>
      </c>
      <c r="E1284" s="8" t="s">
        <v>93</v>
      </c>
      <c r="F1284" s="8" t="s">
        <v>12</v>
      </c>
      <c r="G1284" s="10">
        <v>45550</v>
      </c>
      <c r="H1284" s="8" t="s">
        <v>26</v>
      </c>
      <c r="I1284" s="8" t="s">
        <v>2267</v>
      </c>
      <c r="J1284" s="8" t="s">
        <v>2268</v>
      </c>
      <c r="K1284" s="8" t="s">
        <v>37</v>
      </c>
      <c r="L1284" s="8" t="s">
        <v>29</v>
      </c>
      <c r="M1284" s="8" t="s">
        <v>64</v>
      </c>
      <c r="N1284" s="11">
        <v>190916</v>
      </c>
      <c r="O1284" s="11">
        <v>34523</v>
      </c>
      <c r="P1284" s="12">
        <v>91</v>
      </c>
      <c r="Q1284" s="9">
        <v>10</v>
      </c>
      <c r="R1284" s="13">
        <v>22</v>
      </c>
      <c r="S1284" s="13">
        <v>2</v>
      </c>
      <c r="T1284" s="9">
        <v>23</v>
      </c>
      <c r="U1284" s="13">
        <v>94</v>
      </c>
      <c r="V1284" s="8" t="s">
        <v>31</v>
      </c>
      <c r="W1284" s="8"/>
      <c r="X1284" s="22">
        <f>IF(V1284="Yes",1,0)</f>
        <v>0</v>
      </c>
      <c r="Y1284" s="22">
        <f>IF(H1284="Active",0,1)</f>
        <v>0</v>
      </c>
    </row>
    <row r="1285" spans="1:25" ht="18" customHeight="1" x14ac:dyDescent="0.35">
      <c r="A1285" s="8" t="s">
        <v>1313</v>
      </c>
      <c r="B1285" s="8" t="s">
        <v>432</v>
      </c>
      <c r="C1285" s="8" t="s">
        <v>34</v>
      </c>
      <c r="D1285" s="9">
        <v>24</v>
      </c>
      <c r="E1285" s="8" t="s">
        <v>93</v>
      </c>
      <c r="F1285" s="8" t="s">
        <v>72</v>
      </c>
      <c r="G1285" s="10">
        <v>45550</v>
      </c>
      <c r="H1285" s="8" t="s">
        <v>26</v>
      </c>
      <c r="I1285" s="8" t="s">
        <v>27</v>
      </c>
      <c r="J1285" s="8" t="s">
        <v>80</v>
      </c>
      <c r="K1285" s="8" t="s">
        <v>37</v>
      </c>
      <c r="L1285" s="8" t="s">
        <v>116</v>
      </c>
      <c r="M1285" s="8" t="s">
        <v>39</v>
      </c>
      <c r="N1285" s="11">
        <v>48999</v>
      </c>
      <c r="O1285" s="11">
        <v>15210</v>
      </c>
      <c r="P1285" s="12">
        <v>98</v>
      </c>
      <c r="Q1285" s="9">
        <v>7</v>
      </c>
      <c r="R1285" s="13">
        <v>5</v>
      </c>
      <c r="S1285" s="13">
        <v>2</v>
      </c>
      <c r="T1285" s="9">
        <v>33</v>
      </c>
      <c r="U1285" s="13">
        <v>67</v>
      </c>
      <c r="V1285" s="8" t="s">
        <v>31</v>
      </c>
      <c r="W1285" s="8"/>
      <c r="X1285" s="22">
        <f>IF(V1285="Yes",1,0)</f>
        <v>0</v>
      </c>
      <c r="Y1285" s="22">
        <f>IF(H1285="Active",0,1)</f>
        <v>0</v>
      </c>
    </row>
    <row r="1286" spans="1:25" ht="18" customHeight="1" x14ac:dyDescent="0.35">
      <c r="A1286" s="8" t="s">
        <v>1541</v>
      </c>
      <c r="B1286" s="8" t="s">
        <v>228</v>
      </c>
      <c r="C1286" s="8" t="s">
        <v>34</v>
      </c>
      <c r="D1286" s="9">
        <v>60</v>
      </c>
      <c r="E1286" s="8" t="s">
        <v>93</v>
      </c>
      <c r="F1286" s="8" t="s">
        <v>90</v>
      </c>
      <c r="G1286" s="10">
        <v>45550</v>
      </c>
      <c r="H1286" s="8" t="s">
        <v>26</v>
      </c>
      <c r="I1286" s="8" t="s">
        <v>36</v>
      </c>
      <c r="J1286" s="8" t="s">
        <v>2269</v>
      </c>
      <c r="K1286" s="8" t="s">
        <v>2271</v>
      </c>
      <c r="L1286" s="8" t="s">
        <v>68</v>
      </c>
      <c r="M1286" s="8" t="s">
        <v>64</v>
      </c>
      <c r="N1286" s="11">
        <v>36266</v>
      </c>
      <c r="O1286" s="11">
        <v>5837</v>
      </c>
      <c r="P1286" s="12">
        <v>86.9</v>
      </c>
      <c r="Q1286" s="9">
        <v>3</v>
      </c>
      <c r="R1286" s="13">
        <v>18</v>
      </c>
      <c r="S1286" s="13">
        <v>2</v>
      </c>
      <c r="T1286" s="9">
        <v>11</v>
      </c>
      <c r="U1286" s="13">
        <v>80</v>
      </c>
      <c r="V1286" s="8" t="s">
        <v>31</v>
      </c>
      <c r="W1286" s="8"/>
      <c r="X1286" s="22">
        <f>IF(V1286="Yes",1,0)</f>
        <v>0</v>
      </c>
      <c r="Y1286" s="22">
        <f>IF(H1286="Active",0,1)</f>
        <v>0</v>
      </c>
    </row>
    <row r="1287" spans="1:25" ht="18" customHeight="1" x14ac:dyDescent="0.35">
      <c r="A1287" s="14" t="s">
        <v>660</v>
      </c>
      <c r="B1287" s="14" t="s">
        <v>661</v>
      </c>
      <c r="C1287" s="14" t="s">
        <v>34</v>
      </c>
      <c r="D1287" s="15">
        <v>58</v>
      </c>
      <c r="E1287" s="14" t="s">
        <v>109</v>
      </c>
      <c r="F1287" s="14" t="s">
        <v>35</v>
      </c>
      <c r="G1287" s="16">
        <v>45549</v>
      </c>
      <c r="H1287" s="14" t="s">
        <v>26</v>
      </c>
      <c r="I1287" s="14" t="s">
        <v>2267</v>
      </c>
      <c r="J1287" s="14" t="s">
        <v>80</v>
      </c>
      <c r="K1287" s="14" t="s">
        <v>55</v>
      </c>
      <c r="L1287" s="14" t="s">
        <v>68</v>
      </c>
      <c r="M1287" s="14" t="s">
        <v>45</v>
      </c>
      <c r="N1287" s="17">
        <v>76387</v>
      </c>
      <c r="O1287" s="17">
        <v>16448</v>
      </c>
      <c r="P1287" s="18">
        <v>85.5</v>
      </c>
      <c r="Q1287" s="15">
        <v>5</v>
      </c>
      <c r="R1287" s="19">
        <v>1</v>
      </c>
      <c r="S1287" s="19">
        <v>5</v>
      </c>
      <c r="T1287" s="15">
        <v>1</v>
      </c>
      <c r="U1287" s="19">
        <v>95</v>
      </c>
      <c r="V1287" s="14" t="s">
        <v>31</v>
      </c>
      <c r="W1287" s="14"/>
      <c r="X1287" s="14">
        <f>IF(V1287="Yes",1,0)</f>
        <v>0</v>
      </c>
      <c r="Y1287" s="14">
        <f>IF(H1287="Active",0,1)</f>
        <v>0</v>
      </c>
    </row>
    <row r="1288" spans="1:25" ht="18" customHeight="1" x14ac:dyDescent="0.35">
      <c r="A1288" s="14" t="s">
        <v>1229</v>
      </c>
      <c r="B1288" s="14" t="s">
        <v>422</v>
      </c>
      <c r="C1288" s="14" t="s">
        <v>34</v>
      </c>
      <c r="D1288" s="15">
        <v>53</v>
      </c>
      <c r="E1288" s="14" t="s">
        <v>2303</v>
      </c>
      <c r="F1288" s="14" t="s">
        <v>35</v>
      </c>
      <c r="G1288" s="16">
        <v>45549</v>
      </c>
      <c r="H1288" s="14" t="s">
        <v>26</v>
      </c>
      <c r="I1288" s="14" t="s">
        <v>2267</v>
      </c>
      <c r="J1288" s="14" t="s">
        <v>2268</v>
      </c>
      <c r="K1288" s="14" t="s">
        <v>73</v>
      </c>
      <c r="L1288" s="14" t="s">
        <v>87</v>
      </c>
      <c r="M1288" s="14" t="s">
        <v>30</v>
      </c>
      <c r="N1288" s="17">
        <v>194428</v>
      </c>
      <c r="O1288" s="17">
        <v>33533</v>
      </c>
      <c r="P1288" s="18">
        <v>80.7</v>
      </c>
      <c r="Q1288" s="15">
        <v>10</v>
      </c>
      <c r="R1288" s="19">
        <v>27</v>
      </c>
      <c r="S1288" s="19">
        <v>4</v>
      </c>
      <c r="T1288" s="15">
        <v>21</v>
      </c>
      <c r="U1288" s="19">
        <v>64</v>
      </c>
      <c r="V1288" s="14" t="s">
        <v>31</v>
      </c>
      <c r="W1288" s="14"/>
      <c r="X1288" s="14">
        <f>IF(V1288="Yes",1,0)</f>
        <v>0</v>
      </c>
      <c r="Y1288" s="14">
        <f>IF(H1288="Active",0,1)</f>
        <v>0</v>
      </c>
    </row>
    <row r="1289" spans="1:25" ht="18" customHeight="1" x14ac:dyDescent="0.35">
      <c r="A1289" s="8" t="s">
        <v>1545</v>
      </c>
      <c r="B1289" s="8" t="s">
        <v>263</v>
      </c>
      <c r="C1289" s="8" t="s">
        <v>34</v>
      </c>
      <c r="D1289" s="9">
        <v>52</v>
      </c>
      <c r="E1289" s="8" t="s">
        <v>63</v>
      </c>
      <c r="F1289" s="8" t="s">
        <v>72</v>
      </c>
      <c r="G1289" s="10">
        <v>45549</v>
      </c>
      <c r="H1289" s="8" t="s">
        <v>54</v>
      </c>
      <c r="I1289" s="8" t="s">
        <v>27</v>
      </c>
      <c r="J1289" s="8" t="s">
        <v>2269</v>
      </c>
      <c r="K1289" s="8" t="s">
        <v>55</v>
      </c>
      <c r="L1289" s="8" t="s">
        <v>56</v>
      </c>
      <c r="M1289" s="8" t="s">
        <v>60</v>
      </c>
      <c r="N1289" s="11">
        <v>178630</v>
      </c>
      <c r="O1289" s="11">
        <v>9642</v>
      </c>
      <c r="P1289" s="12">
        <v>89.8</v>
      </c>
      <c r="Q1289" s="9">
        <v>9</v>
      </c>
      <c r="R1289" s="13">
        <v>14</v>
      </c>
      <c r="S1289" s="13">
        <v>2</v>
      </c>
      <c r="T1289" s="9">
        <v>14</v>
      </c>
      <c r="U1289" s="13">
        <v>64</v>
      </c>
      <c r="V1289" s="8" t="s">
        <v>31</v>
      </c>
      <c r="W1289" s="8" t="s">
        <v>205</v>
      </c>
      <c r="X1289" s="22">
        <f>IF(V1289="Yes",1,0)</f>
        <v>0</v>
      </c>
      <c r="Y1289" s="22">
        <f>IF(H1289="Active",0,1)</f>
        <v>1</v>
      </c>
    </row>
    <row r="1290" spans="1:25" ht="18" customHeight="1" x14ac:dyDescent="0.35">
      <c r="A1290" s="8" t="s">
        <v>2223</v>
      </c>
      <c r="B1290" s="8" t="s">
        <v>184</v>
      </c>
      <c r="C1290" s="8" t="s">
        <v>34</v>
      </c>
      <c r="D1290" s="9">
        <v>40</v>
      </c>
      <c r="E1290" s="8" t="s">
        <v>93</v>
      </c>
      <c r="F1290" s="8" t="s">
        <v>35</v>
      </c>
      <c r="G1290" s="10">
        <v>45549</v>
      </c>
      <c r="H1290" s="8" t="s">
        <v>54</v>
      </c>
      <c r="I1290" s="8" t="s">
        <v>36</v>
      </c>
      <c r="J1290" s="8" t="s">
        <v>80</v>
      </c>
      <c r="K1290" s="8" t="s">
        <v>55</v>
      </c>
      <c r="L1290" s="8" t="s">
        <v>29</v>
      </c>
      <c r="M1290" s="8" t="s">
        <v>39</v>
      </c>
      <c r="N1290" s="11">
        <v>68458</v>
      </c>
      <c r="O1290" s="11">
        <v>32646</v>
      </c>
      <c r="P1290" s="12">
        <v>94.7</v>
      </c>
      <c r="Q1290" s="9">
        <v>6</v>
      </c>
      <c r="R1290" s="13">
        <v>14</v>
      </c>
      <c r="S1290" s="13">
        <v>3</v>
      </c>
      <c r="T1290" s="9">
        <v>19</v>
      </c>
      <c r="U1290" s="13">
        <v>70</v>
      </c>
      <c r="V1290" s="8" t="s">
        <v>69</v>
      </c>
      <c r="W1290" s="8" t="s">
        <v>57</v>
      </c>
      <c r="X1290" s="22">
        <f>IF(V1290="Yes",1,0)</f>
        <v>1</v>
      </c>
      <c r="Y1290" s="22">
        <f>IF(H1290="Active",0,1)</f>
        <v>1</v>
      </c>
    </row>
    <row r="1291" spans="1:25" ht="18" customHeight="1" x14ac:dyDescent="0.35">
      <c r="A1291" s="14" t="s">
        <v>998</v>
      </c>
      <c r="B1291" s="14" t="s">
        <v>100</v>
      </c>
      <c r="C1291" s="14" t="s">
        <v>34</v>
      </c>
      <c r="D1291" s="15">
        <v>22</v>
      </c>
      <c r="E1291" s="14" t="s">
        <v>93</v>
      </c>
      <c r="F1291" s="14" t="s">
        <v>79</v>
      </c>
      <c r="G1291" s="16">
        <v>45548</v>
      </c>
      <c r="H1291" s="14" t="s">
        <v>26</v>
      </c>
      <c r="I1291" s="14" t="s">
        <v>2267</v>
      </c>
      <c r="J1291" s="14" t="s">
        <v>48</v>
      </c>
      <c r="K1291" s="14" t="s">
        <v>37</v>
      </c>
      <c r="L1291" s="14" t="s">
        <v>56</v>
      </c>
      <c r="M1291" s="14" t="s">
        <v>39</v>
      </c>
      <c r="N1291" s="17">
        <v>105556</v>
      </c>
      <c r="O1291" s="17">
        <v>20988</v>
      </c>
      <c r="P1291" s="18">
        <v>94.6</v>
      </c>
      <c r="Q1291" s="15">
        <v>3</v>
      </c>
      <c r="R1291" s="19">
        <v>14</v>
      </c>
      <c r="S1291" s="19">
        <v>3</v>
      </c>
      <c r="T1291" s="15">
        <v>16</v>
      </c>
      <c r="U1291" s="19">
        <v>72</v>
      </c>
      <c r="V1291" s="14" t="s">
        <v>31</v>
      </c>
      <c r="W1291" s="14"/>
      <c r="X1291" s="14">
        <f>IF(V1291="Yes",1,0)</f>
        <v>0</v>
      </c>
      <c r="Y1291" s="14">
        <f>IF(H1291="Active",0,1)</f>
        <v>0</v>
      </c>
    </row>
    <row r="1292" spans="1:25" ht="18" customHeight="1" x14ac:dyDescent="0.35">
      <c r="A1292" s="8" t="s">
        <v>1349</v>
      </c>
      <c r="B1292" s="8" t="s">
        <v>207</v>
      </c>
      <c r="C1292" s="8" t="s">
        <v>25</v>
      </c>
      <c r="D1292" s="9">
        <v>29</v>
      </c>
      <c r="E1292" s="8" t="s">
        <v>67</v>
      </c>
      <c r="F1292" s="8" t="s">
        <v>90</v>
      </c>
      <c r="G1292" s="10">
        <v>45548</v>
      </c>
      <c r="H1292" s="8" t="s">
        <v>54</v>
      </c>
      <c r="I1292" s="8" t="s">
        <v>27</v>
      </c>
      <c r="J1292" s="8" t="s">
        <v>2270</v>
      </c>
      <c r="K1292" s="8" t="s">
        <v>37</v>
      </c>
      <c r="L1292" s="8" t="s">
        <v>116</v>
      </c>
      <c r="M1292" s="8" t="s">
        <v>60</v>
      </c>
      <c r="N1292" s="11">
        <v>180457</v>
      </c>
      <c r="O1292" s="11">
        <v>13383</v>
      </c>
      <c r="P1292" s="12">
        <v>87.6</v>
      </c>
      <c r="Q1292" s="9">
        <v>8</v>
      </c>
      <c r="R1292" s="13">
        <v>21</v>
      </c>
      <c r="S1292" s="13">
        <v>2</v>
      </c>
      <c r="T1292" s="9">
        <v>21</v>
      </c>
      <c r="U1292" s="13">
        <v>68</v>
      </c>
      <c r="V1292" s="8" t="s">
        <v>69</v>
      </c>
      <c r="W1292" s="8" t="s">
        <v>205</v>
      </c>
      <c r="X1292" s="22">
        <f>IF(V1292="Yes",1,0)</f>
        <v>1</v>
      </c>
      <c r="Y1292" s="22">
        <f>IF(H1292="Active",0,1)</f>
        <v>1</v>
      </c>
    </row>
    <row r="1293" spans="1:25" ht="18" customHeight="1" x14ac:dyDescent="0.35">
      <c r="A1293" s="8" t="s">
        <v>2079</v>
      </c>
      <c r="B1293" s="8" t="s">
        <v>207</v>
      </c>
      <c r="C1293" s="8" t="s">
        <v>34</v>
      </c>
      <c r="D1293" s="9">
        <v>44</v>
      </c>
      <c r="E1293" s="8" t="s">
        <v>93</v>
      </c>
      <c r="F1293" s="8" t="s">
        <v>35</v>
      </c>
      <c r="G1293" s="10">
        <v>45548</v>
      </c>
      <c r="H1293" s="8" t="s">
        <v>26</v>
      </c>
      <c r="I1293" s="8" t="s">
        <v>36</v>
      </c>
      <c r="J1293" s="8" t="s">
        <v>2269</v>
      </c>
      <c r="K1293" s="8" t="s">
        <v>2271</v>
      </c>
      <c r="L1293" s="8" t="s">
        <v>56</v>
      </c>
      <c r="M1293" s="8" t="s">
        <v>60</v>
      </c>
      <c r="N1293" s="11">
        <v>79623</v>
      </c>
      <c r="O1293" s="11">
        <v>30855</v>
      </c>
      <c r="P1293" s="12">
        <v>96.7</v>
      </c>
      <c r="Q1293" s="9">
        <v>1</v>
      </c>
      <c r="R1293" s="13">
        <v>12</v>
      </c>
      <c r="S1293" s="13">
        <v>3</v>
      </c>
      <c r="T1293" s="9">
        <v>16</v>
      </c>
      <c r="U1293" s="13">
        <v>87</v>
      </c>
      <c r="V1293" s="8" t="s">
        <v>31</v>
      </c>
      <c r="W1293" s="8"/>
      <c r="X1293" s="22">
        <f>IF(V1293="Yes",1,0)</f>
        <v>0</v>
      </c>
      <c r="Y1293" s="22">
        <f>IF(H1293="Active",0,1)</f>
        <v>0</v>
      </c>
    </row>
    <row r="1294" spans="1:25" ht="18" customHeight="1" x14ac:dyDescent="0.35">
      <c r="A1294" s="8" t="s">
        <v>427</v>
      </c>
      <c r="B1294" s="8" t="s">
        <v>30</v>
      </c>
      <c r="C1294" s="8" t="s">
        <v>25</v>
      </c>
      <c r="D1294" s="9">
        <v>45</v>
      </c>
      <c r="E1294" s="8" t="s">
        <v>67</v>
      </c>
      <c r="F1294" s="8" t="s">
        <v>72</v>
      </c>
      <c r="G1294" s="10">
        <v>45547</v>
      </c>
      <c r="H1294" s="8" t="s">
        <v>26</v>
      </c>
      <c r="I1294" s="8" t="s">
        <v>2267</v>
      </c>
      <c r="J1294" s="8" t="s">
        <v>2268</v>
      </c>
      <c r="K1294" s="8" t="s">
        <v>2271</v>
      </c>
      <c r="L1294" s="8" t="s">
        <v>29</v>
      </c>
      <c r="M1294" s="8" t="s">
        <v>30</v>
      </c>
      <c r="N1294" s="11">
        <v>239113</v>
      </c>
      <c r="O1294" s="11">
        <v>5351</v>
      </c>
      <c r="P1294" s="12">
        <v>97.6</v>
      </c>
      <c r="Q1294" s="9">
        <v>8</v>
      </c>
      <c r="R1294" s="13">
        <v>12</v>
      </c>
      <c r="S1294" s="13">
        <v>2</v>
      </c>
      <c r="T1294" s="9">
        <v>26</v>
      </c>
      <c r="U1294" s="13">
        <v>95</v>
      </c>
      <c r="V1294" s="8" t="s">
        <v>31</v>
      </c>
      <c r="W1294" s="8"/>
      <c r="X1294" s="22">
        <f>IF(V1294="Yes",1,0)</f>
        <v>0</v>
      </c>
      <c r="Y1294" s="22">
        <f>IF(H1294="Active",0,1)</f>
        <v>0</v>
      </c>
    </row>
    <row r="1295" spans="1:25" ht="18" customHeight="1" x14ac:dyDescent="0.35">
      <c r="A1295" s="8" t="s">
        <v>707</v>
      </c>
      <c r="B1295" s="8" t="s">
        <v>646</v>
      </c>
      <c r="C1295" s="8" t="s">
        <v>25</v>
      </c>
      <c r="D1295" s="9">
        <v>55</v>
      </c>
      <c r="E1295" s="8" t="s">
        <v>93</v>
      </c>
      <c r="F1295" s="8" t="s">
        <v>12</v>
      </c>
      <c r="G1295" s="10">
        <v>45547</v>
      </c>
      <c r="H1295" s="8" t="s">
        <v>26</v>
      </c>
      <c r="I1295" s="8" t="s">
        <v>2267</v>
      </c>
      <c r="J1295" s="8" t="s">
        <v>80</v>
      </c>
      <c r="K1295" s="8" t="s">
        <v>28</v>
      </c>
      <c r="L1295" s="8" t="s">
        <v>38</v>
      </c>
      <c r="M1295" s="8" t="s">
        <v>64</v>
      </c>
      <c r="N1295" s="11">
        <v>172543</v>
      </c>
      <c r="O1295" s="11">
        <v>46567</v>
      </c>
      <c r="P1295" s="12">
        <v>94</v>
      </c>
      <c r="Q1295" s="9">
        <v>0</v>
      </c>
      <c r="R1295" s="13">
        <v>6</v>
      </c>
      <c r="S1295" s="13">
        <v>3</v>
      </c>
      <c r="T1295" s="9">
        <v>36</v>
      </c>
      <c r="U1295" s="13">
        <v>74</v>
      </c>
      <c r="V1295" s="8" t="s">
        <v>69</v>
      </c>
      <c r="W1295" s="8"/>
      <c r="X1295" s="22">
        <f>IF(V1295="Yes",1,0)</f>
        <v>1</v>
      </c>
      <c r="Y1295" s="22">
        <f>IF(H1295="Active",0,1)</f>
        <v>0</v>
      </c>
    </row>
    <row r="1296" spans="1:25" ht="18" customHeight="1" x14ac:dyDescent="0.35">
      <c r="A1296" s="14" t="s">
        <v>1416</v>
      </c>
      <c r="B1296" s="14" t="s">
        <v>265</v>
      </c>
      <c r="C1296" s="14" t="s">
        <v>25</v>
      </c>
      <c r="D1296" s="15">
        <v>39</v>
      </c>
      <c r="E1296" s="14" t="s">
        <v>2303</v>
      </c>
      <c r="F1296" s="14" t="s">
        <v>43</v>
      </c>
      <c r="G1296" s="16">
        <v>45547</v>
      </c>
      <c r="H1296" s="14" t="s">
        <v>26</v>
      </c>
      <c r="I1296" s="14" t="s">
        <v>2267</v>
      </c>
      <c r="J1296" s="14" t="s">
        <v>2269</v>
      </c>
      <c r="K1296" s="14" t="s">
        <v>37</v>
      </c>
      <c r="L1296" s="14" t="s">
        <v>49</v>
      </c>
      <c r="M1296" s="14" t="s">
        <v>64</v>
      </c>
      <c r="N1296" s="17">
        <v>58544</v>
      </c>
      <c r="O1296" s="17">
        <v>48603</v>
      </c>
      <c r="P1296" s="18">
        <v>87.4</v>
      </c>
      <c r="Q1296" s="15">
        <v>9</v>
      </c>
      <c r="R1296" s="19">
        <v>3</v>
      </c>
      <c r="S1296" s="19">
        <v>3</v>
      </c>
      <c r="T1296" s="15">
        <v>27</v>
      </c>
      <c r="U1296" s="19">
        <v>73</v>
      </c>
      <c r="V1296" s="14" t="s">
        <v>69</v>
      </c>
      <c r="W1296" s="14"/>
      <c r="X1296" s="14">
        <f>IF(V1296="Yes",1,0)</f>
        <v>1</v>
      </c>
      <c r="Y1296" s="14">
        <f>IF(H1296="Active",0,1)</f>
        <v>0</v>
      </c>
    </row>
    <row r="1297" spans="1:25" ht="18" customHeight="1" x14ac:dyDescent="0.35">
      <c r="A1297" s="14" t="s">
        <v>1494</v>
      </c>
      <c r="B1297" s="14" t="s">
        <v>136</v>
      </c>
      <c r="C1297" s="14" t="s">
        <v>25</v>
      </c>
      <c r="D1297" s="15">
        <v>31</v>
      </c>
      <c r="E1297" s="14" t="s">
        <v>42</v>
      </c>
      <c r="F1297" s="14" t="s">
        <v>12</v>
      </c>
      <c r="G1297" s="16">
        <v>45547</v>
      </c>
      <c r="H1297" s="14" t="s">
        <v>26</v>
      </c>
      <c r="I1297" s="14" t="s">
        <v>36</v>
      </c>
      <c r="J1297" s="14" t="s">
        <v>2270</v>
      </c>
      <c r="K1297" s="14" t="s">
        <v>2271</v>
      </c>
      <c r="L1297" s="14" t="s">
        <v>29</v>
      </c>
      <c r="M1297" s="14" t="s">
        <v>45</v>
      </c>
      <c r="N1297" s="17">
        <v>210054</v>
      </c>
      <c r="O1297" s="17">
        <v>24747</v>
      </c>
      <c r="P1297" s="18">
        <v>86.3</v>
      </c>
      <c r="Q1297" s="15">
        <v>5</v>
      </c>
      <c r="R1297" s="19">
        <v>11</v>
      </c>
      <c r="S1297" s="19">
        <v>2</v>
      </c>
      <c r="T1297" s="15">
        <v>18</v>
      </c>
      <c r="U1297" s="19">
        <v>64</v>
      </c>
      <c r="V1297" s="14" t="s">
        <v>31</v>
      </c>
      <c r="W1297" s="14"/>
      <c r="X1297" s="14">
        <f>IF(V1297="Yes",1,0)</f>
        <v>0</v>
      </c>
      <c r="Y1297" s="14">
        <f>IF(H1297="Active",0,1)</f>
        <v>0</v>
      </c>
    </row>
    <row r="1298" spans="1:25" ht="18" customHeight="1" x14ac:dyDescent="0.35">
      <c r="A1298" s="14" t="s">
        <v>1934</v>
      </c>
      <c r="B1298" s="14" t="s">
        <v>880</v>
      </c>
      <c r="C1298" s="14" t="s">
        <v>34</v>
      </c>
      <c r="D1298" s="15">
        <v>31</v>
      </c>
      <c r="E1298" s="14" t="s">
        <v>93</v>
      </c>
      <c r="F1298" s="14" t="s">
        <v>72</v>
      </c>
      <c r="G1298" s="16">
        <v>45547</v>
      </c>
      <c r="H1298" s="14" t="s">
        <v>26</v>
      </c>
      <c r="I1298" s="14" t="s">
        <v>2267</v>
      </c>
      <c r="J1298" s="14" t="s">
        <v>2269</v>
      </c>
      <c r="K1298" s="14" t="s">
        <v>55</v>
      </c>
      <c r="L1298" s="14" t="s">
        <v>56</v>
      </c>
      <c r="M1298" s="14" t="s">
        <v>39</v>
      </c>
      <c r="N1298" s="17">
        <v>164244</v>
      </c>
      <c r="O1298" s="17">
        <v>26715</v>
      </c>
      <c r="P1298" s="18">
        <v>80</v>
      </c>
      <c r="Q1298" s="15">
        <v>1</v>
      </c>
      <c r="R1298" s="19">
        <v>16</v>
      </c>
      <c r="S1298" s="19">
        <v>4</v>
      </c>
      <c r="T1298" s="15">
        <v>11</v>
      </c>
      <c r="U1298" s="19">
        <v>75</v>
      </c>
      <c r="V1298" s="14" t="s">
        <v>31</v>
      </c>
      <c r="W1298" s="14"/>
      <c r="X1298" s="14">
        <f>IF(V1298="Yes",1,0)</f>
        <v>0</v>
      </c>
      <c r="Y1298" s="14">
        <f>IF(H1298="Active",0,1)</f>
        <v>0</v>
      </c>
    </row>
    <row r="1299" spans="1:25" ht="18" customHeight="1" x14ac:dyDescent="0.35">
      <c r="A1299" s="8" t="s">
        <v>640</v>
      </c>
      <c r="B1299" s="8" t="s">
        <v>278</v>
      </c>
      <c r="C1299" s="8" t="s">
        <v>25</v>
      </c>
      <c r="D1299" s="9">
        <v>42</v>
      </c>
      <c r="E1299" s="8" t="s">
        <v>2303</v>
      </c>
      <c r="F1299" s="8" t="s">
        <v>35</v>
      </c>
      <c r="G1299" s="10">
        <v>45546</v>
      </c>
      <c r="H1299" s="8" t="s">
        <v>26</v>
      </c>
      <c r="I1299" s="8" t="s">
        <v>27</v>
      </c>
      <c r="J1299" s="8" t="s">
        <v>2268</v>
      </c>
      <c r="K1299" s="8" t="s">
        <v>2271</v>
      </c>
      <c r="L1299" s="8" t="s">
        <v>49</v>
      </c>
      <c r="M1299" s="8" t="s">
        <v>45</v>
      </c>
      <c r="N1299" s="11">
        <v>76869</v>
      </c>
      <c r="O1299" s="11">
        <v>31321</v>
      </c>
      <c r="P1299" s="12">
        <v>89.4</v>
      </c>
      <c r="Q1299" s="9">
        <v>8</v>
      </c>
      <c r="R1299" s="13">
        <v>29</v>
      </c>
      <c r="S1299" s="13">
        <v>5</v>
      </c>
      <c r="T1299" s="9">
        <v>28</v>
      </c>
      <c r="U1299" s="13">
        <v>60</v>
      </c>
      <c r="V1299" s="8" t="s">
        <v>31</v>
      </c>
      <c r="W1299" s="8"/>
      <c r="X1299" s="22">
        <f>IF(V1299="Yes",1,0)</f>
        <v>0</v>
      </c>
      <c r="Y1299" s="22">
        <f>IF(H1299="Active",0,1)</f>
        <v>0</v>
      </c>
    </row>
    <row r="1300" spans="1:25" ht="18" customHeight="1" x14ac:dyDescent="0.35">
      <c r="A1300" s="14" t="s">
        <v>856</v>
      </c>
      <c r="B1300" s="14" t="s">
        <v>458</v>
      </c>
      <c r="C1300" s="14" t="s">
        <v>25</v>
      </c>
      <c r="D1300" s="15">
        <v>58</v>
      </c>
      <c r="E1300" s="14" t="s">
        <v>109</v>
      </c>
      <c r="F1300" s="14" t="s">
        <v>43</v>
      </c>
      <c r="G1300" s="16">
        <v>45546</v>
      </c>
      <c r="H1300" s="14" t="s">
        <v>26</v>
      </c>
      <c r="I1300" s="14" t="s">
        <v>27</v>
      </c>
      <c r="J1300" s="14" t="s">
        <v>2269</v>
      </c>
      <c r="K1300" s="14" t="s">
        <v>28</v>
      </c>
      <c r="L1300" s="14" t="s">
        <v>87</v>
      </c>
      <c r="M1300" s="14" t="s">
        <v>45</v>
      </c>
      <c r="N1300" s="17">
        <v>100462</v>
      </c>
      <c r="O1300" s="17">
        <v>28265</v>
      </c>
      <c r="P1300" s="18">
        <v>87.9</v>
      </c>
      <c r="Q1300" s="15">
        <v>6</v>
      </c>
      <c r="R1300" s="19">
        <v>3</v>
      </c>
      <c r="S1300" s="19">
        <v>1</v>
      </c>
      <c r="T1300" s="15">
        <v>10</v>
      </c>
      <c r="U1300" s="19">
        <v>100</v>
      </c>
      <c r="V1300" s="14" t="s">
        <v>31</v>
      </c>
      <c r="W1300" s="14"/>
      <c r="X1300" s="14">
        <f>IF(V1300="Yes",1,0)</f>
        <v>0</v>
      </c>
      <c r="Y1300" s="14">
        <f>IF(H1300="Active",0,1)</f>
        <v>0</v>
      </c>
    </row>
    <row r="1301" spans="1:25" ht="18" customHeight="1" x14ac:dyDescent="0.35">
      <c r="A1301" s="14" t="s">
        <v>1203</v>
      </c>
      <c r="B1301" s="14" t="s">
        <v>432</v>
      </c>
      <c r="C1301" s="14" t="s">
        <v>25</v>
      </c>
      <c r="D1301" s="15">
        <v>53</v>
      </c>
      <c r="E1301" s="14" t="s">
        <v>52</v>
      </c>
      <c r="F1301" s="14" t="s">
        <v>76</v>
      </c>
      <c r="G1301" s="16">
        <v>45546</v>
      </c>
      <c r="H1301" s="14" t="s">
        <v>26</v>
      </c>
      <c r="I1301" s="14" t="s">
        <v>2267</v>
      </c>
      <c r="J1301" s="14" t="s">
        <v>80</v>
      </c>
      <c r="K1301" s="14" t="s">
        <v>37</v>
      </c>
      <c r="L1301" s="14" t="s">
        <v>68</v>
      </c>
      <c r="M1301" s="14" t="s">
        <v>60</v>
      </c>
      <c r="N1301" s="17">
        <v>163686</v>
      </c>
      <c r="O1301" s="17">
        <v>17521</v>
      </c>
      <c r="P1301" s="18">
        <v>94.1</v>
      </c>
      <c r="Q1301" s="15">
        <v>0</v>
      </c>
      <c r="R1301" s="19">
        <v>21</v>
      </c>
      <c r="S1301" s="19">
        <v>2</v>
      </c>
      <c r="T1301" s="15">
        <v>36</v>
      </c>
      <c r="U1301" s="19">
        <v>71</v>
      </c>
      <c r="V1301" s="14" t="s">
        <v>69</v>
      </c>
      <c r="W1301" s="14"/>
      <c r="X1301" s="14">
        <f>IF(V1301="Yes",1,0)</f>
        <v>1</v>
      </c>
      <c r="Y1301" s="14">
        <f>IF(H1301="Active",0,1)</f>
        <v>0</v>
      </c>
    </row>
    <row r="1302" spans="1:25" ht="18" customHeight="1" x14ac:dyDescent="0.35">
      <c r="A1302" s="14" t="s">
        <v>1628</v>
      </c>
      <c r="B1302" s="14" t="s">
        <v>71</v>
      </c>
      <c r="C1302" s="14" t="s">
        <v>34</v>
      </c>
      <c r="D1302" s="15">
        <v>23</v>
      </c>
      <c r="E1302" s="14" t="s">
        <v>93</v>
      </c>
      <c r="F1302" s="14" t="s">
        <v>79</v>
      </c>
      <c r="G1302" s="16">
        <v>45546</v>
      </c>
      <c r="H1302" s="14" t="s">
        <v>26</v>
      </c>
      <c r="I1302" s="14" t="s">
        <v>36</v>
      </c>
      <c r="J1302" s="14" t="s">
        <v>48</v>
      </c>
      <c r="K1302" s="14" t="s">
        <v>37</v>
      </c>
      <c r="L1302" s="14" t="s">
        <v>44</v>
      </c>
      <c r="M1302" s="14" t="s">
        <v>45</v>
      </c>
      <c r="N1302" s="17">
        <v>182171</v>
      </c>
      <c r="O1302" s="17">
        <v>17901</v>
      </c>
      <c r="P1302" s="18">
        <v>84.9</v>
      </c>
      <c r="Q1302" s="15">
        <v>3</v>
      </c>
      <c r="R1302" s="19">
        <v>25</v>
      </c>
      <c r="S1302" s="19">
        <v>4</v>
      </c>
      <c r="T1302" s="15">
        <v>25</v>
      </c>
      <c r="U1302" s="19">
        <v>92</v>
      </c>
      <c r="V1302" s="14" t="s">
        <v>31</v>
      </c>
      <c r="W1302" s="14"/>
      <c r="X1302" s="14">
        <f>IF(V1302="Yes",1,0)</f>
        <v>0</v>
      </c>
      <c r="Y1302" s="14">
        <f>IF(H1302="Active",0,1)</f>
        <v>0</v>
      </c>
    </row>
    <row r="1303" spans="1:25" ht="18" customHeight="1" x14ac:dyDescent="0.35">
      <c r="A1303" s="14" t="s">
        <v>375</v>
      </c>
      <c r="B1303" s="14" t="s">
        <v>169</v>
      </c>
      <c r="C1303" s="14" t="s">
        <v>25</v>
      </c>
      <c r="D1303" s="15">
        <v>44</v>
      </c>
      <c r="E1303" s="14" t="s">
        <v>42</v>
      </c>
      <c r="F1303" s="14" t="s">
        <v>90</v>
      </c>
      <c r="G1303" s="16">
        <v>45545</v>
      </c>
      <c r="H1303" s="14" t="s">
        <v>26</v>
      </c>
      <c r="I1303" s="14" t="s">
        <v>36</v>
      </c>
      <c r="J1303" s="14" t="s">
        <v>80</v>
      </c>
      <c r="K1303" s="14" t="s">
        <v>37</v>
      </c>
      <c r="L1303" s="14" t="s">
        <v>87</v>
      </c>
      <c r="M1303" s="14" t="s">
        <v>39</v>
      </c>
      <c r="N1303" s="17">
        <v>140636</v>
      </c>
      <c r="O1303" s="17">
        <v>10947</v>
      </c>
      <c r="P1303" s="18">
        <v>90.9</v>
      </c>
      <c r="Q1303" s="15">
        <v>8</v>
      </c>
      <c r="R1303" s="19">
        <v>2</v>
      </c>
      <c r="S1303" s="19">
        <v>1</v>
      </c>
      <c r="T1303" s="15">
        <v>35</v>
      </c>
      <c r="U1303" s="19">
        <v>75</v>
      </c>
      <c r="V1303" s="14" t="s">
        <v>69</v>
      </c>
      <c r="W1303" s="14"/>
      <c r="X1303" s="14">
        <f>IF(V1303="Yes",1,0)</f>
        <v>1</v>
      </c>
      <c r="Y1303" s="14">
        <f>IF(H1303="Active",0,1)</f>
        <v>0</v>
      </c>
    </row>
    <row r="1304" spans="1:25" ht="18" customHeight="1" x14ac:dyDescent="0.35">
      <c r="A1304" s="14" t="s">
        <v>835</v>
      </c>
      <c r="B1304" s="14" t="s">
        <v>815</v>
      </c>
      <c r="C1304" s="14" t="s">
        <v>34</v>
      </c>
      <c r="D1304" s="15">
        <v>47</v>
      </c>
      <c r="E1304" s="14" t="s">
        <v>109</v>
      </c>
      <c r="F1304" s="14" t="s">
        <v>12</v>
      </c>
      <c r="G1304" s="16">
        <v>45545</v>
      </c>
      <c r="H1304" s="14" t="s">
        <v>26</v>
      </c>
      <c r="I1304" s="14" t="s">
        <v>36</v>
      </c>
      <c r="J1304" s="14" t="s">
        <v>2269</v>
      </c>
      <c r="K1304" s="14" t="s">
        <v>73</v>
      </c>
      <c r="L1304" s="14" t="s">
        <v>29</v>
      </c>
      <c r="M1304" s="14" t="s">
        <v>60</v>
      </c>
      <c r="N1304" s="17">
        <v>168417</v>
      </c>
      <c r="O1304" s="17">
        <v>28323</v>
      </c>
      <c r="P1304" s="18">
        <v>87</v>
      </c>
      <c r="Q1304" s="15">
        <v>8</v>
      </c>
      <c r="R1304" s="19">
        <v>4</v>
      </c>
      <c r="S1304" s="19">
        <v>5</v>
      </c>
      <c r="T1304" s="15">
        <v>31</v>
      </c>
      <c r="U1304" s="19">
        <v>81</v>
      </c>
      <c r="V1304" s="14" t="s">
        <v>31</v>
      </c>
      <c r="W1304" s="14"/>
      <c r="X1304" s="14">
        <f>IF(V1304="Yes",1,0)</f>
        <v>0</v>
      </c>
      <c r="Y1304" s="14">
        <f>IF(H1304="Active",0,1)</f>
        <v>0</v>
      </c>
    </row>
    <row r="1305" spans="1:25" ht="18" customHeight="1" x14ac:dyDescent="0.35">
      <c r="A1305" s="8" t="s">
        <v>1085</v>
      </c>
      <c r="B1305" s="8" t="s">
        <v>167</v>
      </c>
      <c r="C1305" s="8" t="s">
        <v>34</v>
      </c>
      <c r="D1305" s="9">
        <v>57</v>
      </c>
      <c r="E1305" s="8" t="s">
        <v>2304</v>
      </c>
      <c r="F1305" s="8" t="s">
        <v>53</v>
      </c>
      <c r="G1305" s="10">
        <v>45544</v>
      </c>
      <c r="H1305" s="8" t="s">
        <v>26</v>
      </c>
      <c r="I1305" s="8" t="s">
        <v>36</v>
      </c>
      <c r="J1305" s="8" t="s">
        <v>80</v>
      </c>
      <c r="K1305" s="8" t="s">
        <v>2271</v>
      </c>
      <c r="L1305" s="8" t="s">
        <v>116</v>
      </c>
      <c r="M1305" s="8" t="s">
        <v>64</v>
      </c>
      <c r="N1305" s="11">
        <v>113390</v>
      </c>
      <c r="O1305" s="11">
        <v>25253</v>
      </c>
      <c r="P1305" s="12">
        <v>80.400000000000006</v>
      </c>
      <c r="Q1305" s="9">
        <v>9</v>
      </c>
      <c r="R1305" s="13">
        <v>28</v>
      </c>
      <c r="S1305" s="13">
        <v>5</v>
      </c>
      <c r="T1305" s="9">
        <v>29</v>
      </c>
      <c r="U1305" s="13">
        <v>92</v>
      </c>
      <c r="V1305" s="8" t="s">
        <v>31</v>
      </c>
      <c r="W1305" s="8"/>
      <c r="X1305" s="22">
        <f>IF(V1305="Yes",1,0)</f>
        <v>0</v>
      </c>
      <c r="Y1305" s="22">
        <f>IF(H1305="Active",0,1)</f>
        <v>0</v>
      </c>
    </row>
    <row r="1306" spans="1:25" ht="18" customHeight="1" x14ac:dyDescent="0.35">
      <c r="A1306" s="8" t="s">
        <v>1675</v>
      </c>
      <c r="B1306" s="8" t="s">
        <v>806</v>
      </c>
      <c r="C1306" s="8" t="s">
        <v>34</v>
      </c>
      <c r="D1306" s="9">
        <v>39</v>
      </c>
      <c r="E1306" s="8" t="s">
        <v>67</v>
      </c>
      <c r="F1306" s="8" t="s">
        <v>76</v>
      </c>
      <c r="G1306" s="10">
        <v>45544</v>
      </c>
      <c r="H1306" s="8" t="s">
        <v>26</v>
      </c>
      <c r="I1306" s="8" t="s">
        <v>27</v>
      </c>
      <c r="J1306" s="8" t="s">
        <v>2268</v>
      </c>
      <c r="K1306" s="8" t="s">
        <v>73</v>
      </c>
      <c r="L1306" s="8" t="s">
        <v>44</v>
      </c>
      <c r="M1306" s="8" t="s">
        <v>45</v>
      </c>
      <c r="N1306" s="11">
        <v>55772</v>
      </c>
      <c r="O1306" s="11">
        <v>24140</v>
      </c>
      <c r="P1306" s="12">
        <v>98.6</v>
      </c>
      <c r="Q1306" s="9">
        <v>1</v>
      </c>
      <c r="R1306" s="13">
        <v>17</v>
      </c>
      <c r="S1306" s="13">
        <v>2</v>
      </c>
      <c r="T1306" s="9">
        <v>15</v>
      </c>
      <c r="U1306" s="13">
        <v>94</v>
      </c>
      <c r="V1306" s="8" t="s">
        <v>69</v>
      </c>
      <c r="W1306" s="8"/>
      <c r="X1306" s="22">
        <f>IF(V1306="Yes",1,0)</f>
        <v>1</v>
      </c>
      <c r="Y1306" s="22">
        <f>IF(H1306="Active",0,1)</f>
        <v>0</v>
      </c>
    </row>
    <row r="1307" spans="1:25" ht="18" customHeight="1" x14ac:dyDescent="0.35">
      <c r="A1307" s="8" t="s">
        <v>1719</v>
      </c>
      <c r="B1307" s="8" t="s">
        <v>694</v>
      </c>
      <c r="C1307" s="8" t="s">
        <v>34</v>
      </c>
      <c r="D1307" s="9">
        <v>46</v>
      </c>
      <c r="E1307" s="8" t="s">
        <v>2304</v>
      </c>
      <c r="F1307" s="8" t="s">
        <v>79</v>
      </c>
      <c r="G1307" s="10">
        <v>45544</v>
      </c>
      <c r="H1307" s="8" t="s">
        <v>26</v>
      </c>
      <c r="I1307" s="8" t="s">
        <v>27</v>
      </c>
      <c r="J1307" s="8" t="s">
        <v>2268</v>
      </c>
      <c r="K1307" s="8" t="s">
        <v>55</v>
      </c>
      <c r="L1307" s="8" t="s">
        <v>116</v>
      </c>
      <c r="M1307" s="8" t="s">
        <v>39</v>
      </c>
      <c r="N1307" s="11">
        <v>236556</v>
      </c>
      <c r="O1307" s="11">
        <v>42713</v>
      </c>
      <c r="P1307" s="12">
        <v>90.5</v>
      </c>
      <c r="Q1307" s="9">
        <v>10</v>
      </c>
      <c r="R1307" s="13">
        <v>11</v>
      </c>
      <c r="S1307" s="13">
        <v>2</v>
      </c>
      <c r="T1307" s="9">
        <v>9</v>
      </c>
      <c r="U1307" s="13">
        <v>76</v>
      </c>
      <c r="V1307" s="8" t="s">
        <v>69</v>
      </c>
      <c r="W1307" s="8"/>
      <c r="X1307" s="22">
        <f>IF(V1307="Yes",1,0)</f>
        <v>1</v>
      </c>
      <c r="Y1307" s="22">
        <f>IF(H1307="Active",0,1)</f>
        <v>0</v>
      </c>
    </row>
    <row r="1308" spans="1:25" ht="18" customHeight="1" x14ac:dyDescent="0.35">
      <c r="A1308" s="8" t="s">
        <v>561</v>
      </c>
      <c r="B1308" s="8" t="s">
        <v>370</v>
      </c>
      <c r="C1308" s="8" t="s">
        <v>25</v>
      </c>
      <c r="D1308" s="9">
        <v>29</v>
      </c>
      <c r="E1308" s="8" t="s">
        <v>63</v>
      </c>
      <c r="F1308" s="8" t="s">
        <v>90</v>
      </c>
      <c r="G1308" s="10">
        <v>45543</v>
      </c>
      <c r="H1308" s="8" t="s">
        <v>26</v>
      </c>
      <c r="I1308" s="8" t="s">
        <v>2267</v>
      </c>
      <c r="J1308" s="8" t="s">
        <v>2269</v>
      </c>
      <c r="K1308" s="8" t="s">
        <v>37</v>
      </c>
      <c r="L1308" s="8" t="s">
        <v>87</v>
      </c>
      <c r="M1308" s="8" t="s">
        <v>39</v>
      </c>
      <c r="N1308" s="11">
        <v>93750</v>
      </c>
      <c r="O1308" s="11">
        <v>10838</v>
      </c>
      <c r="P1308" s="12">
        <v>82.7</v>
      </c>
      <c r="Q1308" s="9">
        <v>2</v>
      </c>
      <c r="R1308" s="13">
        <v>1</v>
      </c>
      <c r="S1308" s="13">
        <v>2</v>
      </c>
      <c r="T1308" s="9">
        <v>37</v>
      </c>
      <c r="U1308" s="13">
        <v>85</v>
      </c>
      <c r="V1308" s="8" t="s">
        <v>31</v>
      </c>
      <c r="W1308" s="8"/>
      <c r="X1308" s="22">
        <f>IF(V1308="Yes",1,0)</f>
        <v>0</v>
      </c>
      <c r="Y1308" s="22">
        <f>IF(H1308="Active",0,1)</f>
        <v>0</v>
      </c>
    </row>
    <row r="1309" spans="1:25" ht="18" customHeight="1" x14ac:dyDescent="0.35">
      <c r="A1309" s="8" t="s">
        <v>1479</v>
      </c>
      <c r="B1309" s="8" t="s">
        <v>162</v>
      </c>
      <c r="C1309" s="8" t="s">
        <v>25</v>
      </c>
      <c r="D1309" s="9">
        <v>45</v>
      </c>
      <c r="E1309" s="8" t="s">
        <v>52</v>
      </c>
      <c r="F1309" s="8" t="s">
        <v>12</v>
      </c>
      <c r="G1309" s="10">
        <v>45543</v>
      </c>
      <c r="H1309" s="8" t="s">
        <v>26</v>
      </c>
      <c r="I1309" s="8" t="s">
        <v>36</v>
      </c>
      <c r="J1309" s="8" t="s">
        <v>80</v>
      </c>
      <c r="K1309" s="8" t="s">
        <v>73</v>
      </c>
      <c r="L1309" s="8" t="s">
        <v>38</v>
      </c>
      <c r="M1309" s="8" t="s">
        <v>39</v>
      </c>
      <c r="N1309" s="11">
        <v>236189</v>
      </c>
      <c r="O1309" s="11">
        <v>44390</v>
      </c>
      <c r="P1309" s="12">
        <v>94.1</v>
      </c>
      <c r="Q1309" s="9">
        <v>10</v>
      </c>
      <c r="R1309" s="13">
        <v>23</v>
      </c>
      <c r="S1309" s="13">
        <v>1</v>
      </c>
      <c r="T1309" s="9">
        <v>32</v>
      </c>
      <c r="U1309" s="13">
        <v>86</v>
      </c>
      <c r="V1309" s="8" t="s">
        <v>31</v>
      </c>
      <c r="W1309" s="8"/>
      <c r="X1309" s="22">
        <f>IF(V1309="Yes",1,0)</f>
        <v>0</v>
      </c>
      <c r="Y1309" s="22">
        <f>IF(H1309="Active",0,1)</f>
        <v>0</v>
      </c>
    </row>
    <row r="1310" spans="1:25" ht="18" customHeight="1" x14ac:dyDescent="0.35">
      <c r="A1310" s="8" t="s">
        <v>1901</v>
      </c>
      <c r="B1310" s="8" t="s">
        <v>144</v>
      </c>
      <c r="C1310" s="8" t="s">
        <v>34</v>
      </c>
      <c r="D1310" s="9">
        <v>34</v>
      </c>
      <c r="E1310" s="8" t="s">
        <v>109</v>
      </c>
      <c r="F1310" s="8" t="s">
        <v>76</v>
      </c>
      <c r="G1310" s="10">
        <v>45543</v>
      </c>
      <c r="H1310" s="8" t="s">
        <v>26</v>
      </c>
      <c r="I1310" s="8" t="s">
        <v>36</v>
      </c>
      <c r="J1310" s="8" t="s">
        <v>48</v>
      </c>
      <c r="K1310" s="8" t="s">
        <v>2271</v>
      </c>
      <c r="L1310" s="8" t="s">
        <v>49</v>
      </c>
      <c r="M1310" s="8" t="s">
        <v>60</v>
      </c>
      <c r="N1310" s="11">
        <v>230680</v>
      </c>
      <c r="O1310" s="11">
        <v>31047</v>
      </c>
      <c r="P1310" s="12">
        <v>88.2</v>
      </c>
      <c r="Q1310" s="9">
        <v>4</v>
      </c>
      <c r="R1310" s="13">
        <v>13</v>
      </c>
      <c r="S1310" s="13">
        <v>3</v>
      </c>
      <c r="T1310" s="9">
        <v>35</v>
      </c>
      <c r="U1310" s="13">
        <v>100</v>
      </c>
      <c r="V1310" s="8" t="s">
        <v>31</v>
      </c>
      <c r="W1310" s="8"/>
      <c r="X1310" s="22">
        <f>IF(V1310="Yes",1,0)</f>
        <v>0</v>
      </c>
      <c r="Y1310" s="22">
        <f>IF(H1310="Active",0,1)</f>
        <v>0</v>
      </c>
    </row>
    <row r="1311" spans="1:25" ht="18" customHeight="1" x14ac:dyDescent="0.35">
      <c r="A1311" s="8" t="s">
        <v>1757</v>
      </c>
      <c r="B1311" s="8" t="s">
        <v>393</v>
      </c>
      <c r="C1311" s="8" t="s">
        <v>25</v>
      </c>
      <c r="D1311" s="9">
        <v>58</v>
      </c>
      <c r="E1311" s="8" t="s">
        <v>109</v>
      </c>
      <c r="F1311" s="8" t="s">
        <v>43</v>
      </c>
      <c r="G1311" s="10">
        <v>45542</v>
      </c>
      <c r="H1311" s="8" t="s">
        <v>26</v>
      </c>
      <c r="I1311" s="8" t="s">
        <v>36</v>
      </c>
      <c r="J1311" s="8" t="s">
        <v>80</v>
      </c>
      <c r="K1311" s="8" t="s">
        <v>28</v>
      </c>
      <c r="L1311" s="8" t="s">
        <v>56</v>
      </c>
      <c r="M1311" s="8" t="s">
        <v>60</v>
      </c>
      <c r="N1311" s="11">
        <v>60064</v>
      </c>
      <c r="O1311" s="11">
        <v>12414</v>
      </c>
      <c r="P1311" s="12">
        <v>87.7</v>
      </c>
      <c r="Q1311" s="9">
        <v>7</v>
      </c>
      <c r="R1311" s="13">
        <v>10</v>
      </c>
      <c r="S1311" s="13">
        <v>5</v>
      </c>
      <c r="T1311" s="9">
        <v>32</v>
      </c>
      <c r="U1311" s="13">
        <v>70</v>
      </c>
      <c r="V1311" s="8" t="s">
        <v>31</v>
      </c>
      <c r="W1311" s="8"/>
      <c r="X1311" s="22">
        <f>IF(V1311="Yes",1,0)</f>
        <v>0</v>
      </c>
      <c r="Y1311" s="22">
        <f>IF(H1311="Active",0,1)</f>
        <v>0</v>
      </c>
    </row>
    <row r="1312" spans="1:25" ht="18" customHeight="1" x14ac:dyDescent="0.35">
      <c r="A1312" s="8" t="s">
        <v>1991</v>
      </c>
      <c r="B1312" s="8" t="s">
        <v>358</v>
      </c>
      <c r="C1312" s="8" t="s">
        <v>25</v>
      </c>
      <c r="D1312" s="9">
        <v>52</v>
      </c>
      <c r="E1312" s="8" t="s">
        <v>86</v>
      </c>
      <c r="F1312" s="8" t="s">
        <v>72</v>
      </c>
      <c r="G1312" s="10">
        <v>45542</v>
      </c>
      <c r="H1312" s="8" t="s">
        <v>26</v>
      </c>
      <c r="I1312" s="8" t="s">
        <v>2267</v>
      </c>
      <c r="J1312" s="8" t="s">
        <v>80</v>
      </c>
      <c r="K1312" s="8" t="s">
        <v>28</v>
      </c>
      <c r="L1312" s="8" t="s">
        <v>116</v>
      </c>
      <c r="M1312" s="8" t="s">
        <v>64</v>
      </c>
      <c r="N1312" s="11">
        <v>143220</v>
      </c>
      <c r="O1312" s="11">
        <v>5191</v>
      </c>
      <c r="P1312" s="12">
        <v>93.5</v>
      </c>
      <c r="Q1312" s="9">
        <v>7</v>
      </c>
      <c r="R1312" s="13">
        <v>20</v>
      </c>
      <c r="S1312" s="13">
        <v>5</v>
      </c>
      <c r="T1312" s="9">
        <v>36</v>
      </c>
      <c r="U1312" s="13">
        <v>72</v>
      </c>
      <c r="V1312" s="8" t="s">
        <v>31</v>
      </c>
      <c r="W1312" s="8"/>
      <c r="X1312" s="22">
        <f>IF(V1312="Yes",1,0)</f>
        <v>0</v>
      </c>
      <c r="Y1312" s="22">
        <f>IF(H1312="Active",0,1)</f>
        <v>0</v>
      </c>
    </row>
    <row r="1313" spans="1:25" ht="18" customHeight="1" x14ac:dyDescent="0.35">
      <c r="A1313" s="14" t="s">
        <v>1706</v>
      </c>
      <c r="B1313" s="14" t="s">
        <v>136</v>
      </c>
      <c r="C1313" s="14" t="s">
        <v>25</v>
      </c>
      <c r="D1313" s="15">
        <v>32</v>
      </c>
      <c r="E1313" s="14" t="s">
        <v>52</v>
      </c>
      <c r="F1313" s="14" t="s">
        <v>72</v>
      </c>
      <c r="G1313" s="16">
        <v>45541</v>
      </c>
      <c r="H1313" s="14" t="s">
        <v>26</v>
      </c>
      <c r="I1313" s="14" t="s">
        <v>36</v>
      </c>
      <c r="J1313" s="14" t="s">
        <v>48</v>
      </c>
      <c r="K1313" s="14" t="s">
        <v>37</v>
      </c>
      <c r="L1313" s="14" t="s">
        <v>116</v>
      </c>
      <c r="M1313" s="14" t="s">
        <v>39</v>
      </c>
      <c r="N1313" s="17">
        <v>93815</v>
      </c>
      <c r="O1313" s="17">
        <v>13206</v>
      </c>
      <c r="P1313" s="18">
        <v>84.1</v>
      </c>
      <c r="Q1313" s="15">
        <v>8</v>
      </c>
      <c r="R1313" s="19">
        <v>3</v>
      </c>
      <c r="S1313" s="19">
        <v>5</v>
      </c>
      <c r="T1313" s="15">
        <v>38</v>
      </c>
      <c r="U1313" s="19">
        <v>65</v>
      </c>
      <c r="V1313" s="14" t="s">
        <v>31</v>
      </c>
      <c r="W1313" s="14"/>
      <c r="X1313" s="14">
        <f>IF(V1313="Yes",1,0)</f>
        <v>0</v>
      </c>
      <c r="Y1313" s="14">
        <f>IF(H1313="Active",0,1)</f>
        <v>0</v>
      </c>
    </row>
    <row r="1314" spans="1:25" ht="18" customHeight="1" x14ac:dyDescent="0.35">
      <c r="A1314" s="14" t="s">
        <v>1818</v>
      </c>
      <c r="B1314" s="14" t="s">
        <v>108</v>
      </c>
      <c r="C1314" s="14" t="s">
        <v>34</v>
      </c>
      <c r="D1314" s="15">
        <v>26</v>
      </c>
      <c r="E1314" s="14" t="s">
        <v>63</v>
      </c>
      <c r="F1314" s="14" t="s">
        <v>76</v>
      </c>
      <c r="G1314" s="16">
        <v>45540</v>
      </c>
      <c r="H1314" s="14" t="s">
        <v>26</v>
      </c>
      <c r="I1314" s="14" t="s">
        <v>36</v>
      </c>
      <c r="J1314" s="14" t="s">
        <v>2269</v>
      </c>
      <c r="K1314" s="14" t="s">
        <v>28</v>
      </c>
      <c r="L1314" s="14" t="s">
        <v>56</v>
      </c>
      <c r="M1314" s="14" t="s">
        <v>45</v>
      </c>
      <c r="N1314" s="17">
        <v>83960</v>
      </c>
      <c r="O1314" s="17">
        <v>38732</v>
      </c>
      <c r="P1314" s="18">
        <v>96.5</v>
      </c>
      <c r="Q1314" s="15">
        <v>4</v>
      </c>
      <c r="R1314" s="19">
        <v>7</v>
      </c>
      <c r="S1314" s="19">
        <v>2</v>
      </c>
      <c r="T1314" s="15">
        <v>27</v>
      </c>
      <c r="U1314" s="19">
        <v>86</v>
      </c>
      <c r="V1314" s="14" t="s">
        <v>69</v>
      </c>
      <c r="W1314" s="14"/>
      <c r="X1314" s="14">
        <f>IF(V1314="Yes",1,0)</f>
        <v>1</v>
      </c>
      <c r="Y1314" s="14">
        <f>IF(H1314="Active",0,1)</f>
        <v>0</v>
      </c>
    </row>
    <row r="1315" spans="1:25" ht="18" customHeight="1" x14ac:dyDescent="0.35">
      <c r="A1315" s="14" t="s">
        <v>2044</v>
      </c>
      <c r="B1315" s="14" t="s">
        <v>197</v>
      </c>
      <c r="C1315" s="14" t="s">
        <v>34</v>
      </c>
      <c r="D1315" s="15">
        <v>54</v>
      </c>
      <c r="E1315" s="14" t="s">
        <v>2304</v>
      </c>
      <c r="F1315" s="14" t="s">
        <v>90</v>
      </c>
      <c r="G1315" s="16">
        <v>45540</v>
      </c>
      <c r="H1315" s="14" t="s">
        <v>26</v>
      </c>
      <c r="I1315" s="14" t="s">
        <v>2267</v>
      </c>
      <c r="J1315" s="14" t="s">
        <v>2268</v>
      </c>
      <c r="K1315" s="14" t="s">
        <v>28</v>
      </c>
      <c r="L1315" s="14" t="s">
        <v>116</v>
      </c>
      <c r="M1315" s="14" t="s">
        <v>45</v>
      </c>
      <c r="N1315" s="17">
        <v>135347</v>
      </c>
      <c r="O1315" s="17">
        <v>45271</v>
      </c>
      <c r="P1315" s="18">
        <v>93.2</v>
      </c>
      <c r="Q1315" s="15">
        <v>10</v>
      </c>
      <c r="R1315" s="19">
        <v>30</v>
      </c>
      <c r="S1315" s="19">
        <v>1</v>
      </c>
      <c r="T1315" s="15">
        <v>10</v>
      </c>
      <c r="U1315" s="19">
        <v>86</v>
      </c>
      <c r="V1315" s="14" t="s">
        <v>31</v>
      </c>
      <c r="W1315" s="14"/>
      <c r="X1315" s="14">
        <f>IF(V1315="Yes",1,0)</f>
        <v>0</v>
      </c>
      <c r="Y1315" s="14">
        <f>IF(H1315="Active",0,1)</f>
        <v>0</v>
      </c>
    </row>
    <row r="1316" spans="1:25" ht="18" customHeight="1" x14ac:dyDescent="0.35">
      <c r="A1316" s="14" t="s">
        <v>1822</v>
      </c>
      <c r="B1316" s="14" t="s">
        <v>85</v>
      </c>
      <c r="C1316" s="14" t="s">
        <v>25</v>
      </c>
      <c r="D1316" s="15">
        <v>44</v>
      </c>
      <c r="E1316" s="14" t="s">
        <v>42</v>
      </c>
      <c r="F1316" s="14" t="s">
        <v>43</v>
      </c>
      <c r="G1316" s="16">
        <v>45539</v>
      </c>
      <c r="H1316" s="14" t="s">
        <v>26</v>
      </c>
      <c r="I1316" s="14" t="s">
        <v>27</v>
      </c>
      <c r="J1316" s="14" t="s">
        <v>80</v>
      </c>
      <c r="K1316" s="14" t="s">
        <v>73</v>
      </c>
      <c r="L1316" s="14" t="s">
        <v>29</v>
      </c>
      <c r="M1316" s="14" t="s">
        <v>39</v>
      </c>
      <c r="N1316" s="17">
        <v>75119</v>
      </c>
      <c r="O1316" s="17">
        <v>23792</v>
      </c>
      <c r="P1316" s="18">
        <v>97</v>
      </c>
      <c r="Q1316" s="15">
        <v>2</v>
      </c>
      <c r="R1316" s="19">
        <v>7</v>
      </c>
      <c r="S1316" s="19">
        <v>1</v>
      </c>
      <c r="T1316" s="15">
        <v>8</v>
      </c>
      <c r="U1316" s="19">
        <v>72</v>
      </c>
      <c r="V1316" s="14" t="s">
        <v>31</v>
      </c>
      <c r="W1316" s="14"/>
      <c r="X1316" s="14">
        <f>IF(V1316="Yes",1,0)</f>
        <v>0</v>
      </c>
      <c r="Y1316" s="14">
        <f>IF(H1316="Active",0,1)</f>
        <v>0</v>
      </c>
    </row>
    <row r="1317" spans="1:25" ht="18" customHeight="1" x14ac:dyDescent="0.35">
      <c r="A1317" s="14" t="s">
        <v>1916</v>
      </c>
      <c r="B1317" s="14" t="s">
        <v>815</v>
      </c>
      <c r="C1317" s="14" t="s">
        <v>34</v>
      </c>
      <c r="D1317" s="15">
        <v>60</v>
      </c>
      <c r="E1317" s="14" t="s">
        <v>2303</v>
      </c>
      <c r="F1317" s="14" t="s">
        <v>76</v>
      </c>
      <c r="G1317" s="16">
        <v>45539</v>
      </c>
      <c r="H1317" s="14" t="s">
        <v>26</v>
      </c>
      <c r="I1317" s="14" t="s">
        <v>36</v>
      </c>
      <c r="J1317" s="14" t="s">
        <v>48</v>
      </c>
      <c r="K1317" s="14" t="s">
        <v>73</v>
      </c>
      <c r="L1317" s="14" t="s">
        <v>29</v>
      </c>
      <c r="M1317" s="14" t="s">
        <v>64</v>
      </c>
      <c r="N1317" s="17">
        <v>59708</v>
      </c>
      <c r="O1317" s="17">
        <v>42670</v>
      </c>
      <c r="P1317" s="18">
        <v>97.8</v>
      </c>
      <c r="Q1317" s="15">
        <v>3</v>
      </c>
      <c r="R1317" s="19">
        <v>19</v>
      </c>
      <c r="S1317" s="19">
        <v>1</v>
      </c>
      <c r="T1317" s="15">
        <v>38</v>
      </c>
      <c r="U1317" s="19">
        <v>100</v>
      </c>
      <c r="V1317" s="14" t="s">
        <v>31</v>
      </c>
      <c r="W1317" s="14"/>
      <c r="X1317" s="14">
        <f>IF(V1317="Yes",1,0)</f>
        <v>0</v>
      </c>
      <c r="Y1317" s="14">
        <f>IF(H1317="Active",0,1)</f>
        <v>0</v>
      </c>
    </row>
    <row r="1318" spans="1:25" ht="18" customHeight="1" x14ac:dyDescent="0.35">
      <c r="A1318" s="8" t="s">
        <v>1961</v>
      </c>
      <c r="B1318" s="8" t="s">
        <v>619</v>
      </c>
      <c r="C1318" s="8" t="s">
        <v>25</v>
      </c>
      <c r="D1318" s="9">
        <v>60</v>
      </c>
      <c r="E1318" s="8" t="s">
        <v>2303</v>
      </c>
      <c r="F1318" s="8" t="s">
        <v>12</v>
      </c>
      <c r="G1318" s="10">
        <v>45539</v>
      </c>
      <c r="H1318" s="8" t="s">
        <v>26</v>
      </c>
      <c r="I1318" s="8" t="s">
        <v>36</v>
      </c>
      <c r="J1318" s="8" t="s">
        <v>48</v>
      </c>
      <c r="K1318" s="8" t="s">
        <v>2271</v>
      </c>
      <c r="L1318" s="8" t="s">
        <v>68</v>
      </c>
      <c r="M1318" s="8" t="s">
        <v>45</v>
      </c>
      <c r="N1318" s="11">
        <v>78178</v>
      </c>
      <c r="O1318" s="11">
        <v>29266</v>
      </c>
      <c r="P1318" s="12">
        <v>95.8</v>
      </c>
      <c r="Q1318" s="9">
        <v>6</v>
      </c>
      <c r="R1318" s="13">
        <v>1</v>
      </c>
      <c r="S1318" s="13">
        <v>4</v>
      </c>
      <c r="T1318" s="9">
        <v>19</v>
      </c>
      <c r="U1318" s="13">
        <v>61</v>
      </c>
      <c r="V1318" s="8" t="s">
        <v>31</v>
      </c>
      <c r="W1318" s="8"/>
      <c r="X1318" s="22">
        <f>IF(V1318="Yes",1,0)</f>
        <v>0</v>
      </c>
      <c r="Y1318" s="22">
        <f>IF(H1318="Active",0,1)</f>
        <v>0</v>
      </c>
    </row>
    <row r="1319" spans="1:25" ht="18" customHeight="1" x14ac:dyDescent="0.35">
      <c r="A1319" s="8" t="s">
        <v>2203</v>
      </c>
      <c r="B1319" s="8" t="s">
        <v>136</v>
      </c>
      <c r="C1319" s="8" t="s">
        <v>34</v>
      </c>
      <c r="D1319" s="9">
        <v>29</v>
      </c>
      <c r="E1319" s="8" t="s">
        <v>93</v>
      </c>
      <c r="F1319" s="8" t="s">
        <v>72</v>
      </c>
      <c r="G1319" s="10">
        <v>45539</v>
      </c>
      <c r="H1319" s="8" t="s">
        <v>54</v>
      </c>
      <c r="I1319" s="8" t="s">
        <v>2267</v>
      </c>
      <c r="J1319" s="8" t="s">
        <v>80</v>
      </c>
      <c r="K1319" s="8" t="s">
        <v>37</v>
      </c>
      <c r="L1319" s="8" t="s">
        <v>38</v>
      </c>
      <c r="M1319" s="8" t="s">
        <v>45</v>
      </c>
      <c r="N1319" s="11">
        <v>86621</v>
      </c>
      <c r="O1319" s="11">
        <v>37096</v>
      </c>
      <c r="P1319" s="12">
        <v>86.8</v>
      </c>
      <c r="Q1319" s="9">
        <v>9</v>
      </c>
      <c r="R1319" s="13">
        <v>7</v>
      </c>
      <c r="S1319" s="13">
        <v>3</v>
      </c>
      <c r="T1319" s="9">
        <v>25</v>
      </c>
      <c r="U1319" s="13">
        <v>77</v>
      </c>
      <c r="V1319" s="8" t="s">
        <v>69</v>
      </c>
      <c r="W1319" s="8" t="s">
        <v>123</v>
      </c>
      <c r="X1319" s="22">
        <f>IF(V1319="Yes",1,0)</f>
        <v>1</v>
      </c>
      <c r="Y1319" s="22">
        <f>IF(H1319="Active",0,1)</f>
        <v>1</v>
      </c>
    </row>
    <row r="1320" spans="1:25" ht="18" customHeight="1" x14ac:dyDescent="0.35">
      <c r="A1320" s="14" t="s">
        <v>268</v>
      </c>
      <c r="B1320" s="14" t="s">
        <v>256</v>
      </c>
      <c r="C1320" s="14" t="s">
        <v>25</v>
      </c>
      <c r="D1320" s="15">
        <v>39</v>
      </c>
      <c r="E1320" s="14" t="s">
        <v>42</v>
      </c>
      <c r="F1320" s="14" t="s">
        <v>53</v>
      </c>
      <c r="G1320" s="16">
        <v>45537</v>
      </c>
      <c r="H1320" s="14" t="s">
        <v>26</v>
      </c>
      <c r="I1320" s="14" t="s">
        <v>2267</v>
      </c>
      <c r="J1320" s="14" t="s">
        <v>2270</v>
      </c>
      <c r="K1320" s="14" t="s">
        <v>28</v>
      </c>
      <c r="L1320" s="14" t="s">
        <v>29</v>
      </c>
      <c r="M1320" s="14" t="s">
        <v>39</v>
      </c>
      <c r="N1320" s="17">
        <v>78221</v>
      </c>
      <c r="O1320" s="17">
        <v>41857</v>
      </c>
      <c r="P1320" s="18">
        <v>89.3</v>
      </c>
      <c r="Q1320" s="15">
        <v>3</v>
      </c>
      <c r="R1320" s="19">
        <v>19</v>
      </c>
      <c r="S1320" s="19">
        <v>5</v>
      </c>
      <c r="T1320" s="15">
        <v>13</v>
      </c>
      <c r="U1320" s="19">
        <v>75</v>
      </c>
      <c r="V1320" s="14" t="s">
        <v>31</v>
      </c>
      <c r="W1320" s="14"/>
      <c r="X1320" s="14">
        <f>IF(V1320="Yes",1,0)</f>
        <v>0</v>
      </c>
      <c r="Y1320" s="14">
        <f>IF(H1320="Active",0,1)</f>
        <v>0</v>
      </c>
    </row>
    <row r="1321" spans="1:25" ht="18" customHeight="1" x14ac:dyDescent="0.35">
      <c r="A1321" s="14" t="s">
        <v>943</v>
      </c>
      <c r="B1321" s="14" t="s">
        <v>201</v>
      </c>
      <c r="C1321" s="14" t="s">
        <v>25</v>
      </c>
      <c r="D1321" s="15">
        <v>29</v>
      </c>
      <c r="E1321" s="14" t="s">
        <v>2304</v>
      </c>
      <c r="F1321" s="14" t="s">
        <v>35</v>
      </c>
      <c r="G1321" s="16">
        <v>45537</v>
      </c>
      <c r="H1321" s="14" t="s">
        <v>26</v>
      </c>
      <c r="I1321" s="14" t="s">
        <v>2267</v>
      </c>
      <c r="J1321" s="14" t="s">
        <v>2270</v>
      </c>
      <c r="K1321" s="14" t="s">
        <v>28</v>
      </c>
      <c r="L1321" s="14" t="s">
        <v>116</v>
      </c>
      <c r="M1321" s="14" t="s">
        <v>64</v>
      </c>
      <c r="N1321" s="17">
        <v>207808</v>
      </c>
      <c r="O1321" s="17">
        <v>25171</v>
      </c>
      <c r="P1321" s="18">
        <v>99.9</v>
      </c>
      <c r="Q1321" s="15">
        <v>4</v>
      </c>
      <c r="R1321" s="19">
        <v>11</v>
      </c>
      <c r="S1321" s="19">
        <v>5</v>
      </c>
      <c r="T1321" s="15">
        <v>26</v>
      </c>
      <c r="U1321" s="19">
        <v>94</v>
      </c>
      <c r="V1321" s="14" t="s">
        <v>69</v>
      </c>
      <c r="W1321" s="14"/>
      <c r="X1321" s="14">
        <f>IF(V1321="Yes",1,0)</f>
        <v>1</v>
      </c>
      <c r="Y1321" s="14">
        <f>IF(H1321="Active",0,1)</f>
        <v>0</v>
      </c>
    </row>
    <row r="1322" spans="1:25" ht="18" customHeight="1" x14ac:dyDescent="0.35">
      <c r="A1322" s="8" t="s">
        <v>1184</v>
      </c>
      <c r="B1322" s="8" t="s">
        <v>742</v>
      </c>
      <c r="C1322" s="8" t="s">
        <v>25</v>
      </c>
      <c r="D1322" s="9">
        <v>34</v>
      </c>
      <c r="E1322" s="8" t="s">
        <v>93</v>
      </c>
      <c r="F1322" s="8" t="s">
        <v>53</v>
      </c>
      <c r="G1322" s="10">
        <v>45537</v>
      </c>
      <c r="H1322" s="8" t="s">
        <v>26</v>
      </c>
      <c r="I1322" s="8" t="s">
        <v>27</v>
      </c>
      <c r="J1322" s="8" t="s">
        <v>80</v>
      </c>
      <c r="K1322" s="8" t="s">
        <v>73</v>
      </c>
      <c r="L1322" s="8" t="s">
        <v>68</v>
      </c>
      <c r="M1322" s="8" t="s">
        <v>64</v>
      </c>
      <c r="N1322" s="11">
        <v>120225</v>
      </c>
      <c r="O1322" s="11">
        <v>18324</v>
      </c>
      <c r="P1322" s="12">
        <v>86.1</v>
      </c>
      <c r="Q1322" s="9">
        <v>10</v>
      </c>
      <c r="R1322" s="13">
        <v>3</v>
      </c>
      <c r="S1322" s="13">
        <v>3</v>
      </c>
      <c r="T1322" s="9">
        <v>14</v>
      </c>
      <c r="U1322" s="13">
        <v>95</v>
      </c>
      <c r="V1322" s="8" t="s">
        <v>69</v>
      </c>
      <c r="W1322" s="8"/>
      <c r="X1322" s="22">
        <f>IF(V1322="Yes",1,0)</f>
        <v>1</v>
      </c>
      <c r="Y1322" s="22">
        <f>IF(H1322="Active",0,1)</f>
        <v>0</v>
      </c>
    </row>
    <row r="1323" spans="1:25" ht="18" customHeight="1" x14ac:dyDescent="0.35">
      <c r="A1323" s="14" t="s">
        <v>2082</v>
      </c>
      <c r="B1323" s="14" t="s">
        <v>184</v>
      </c>
      <c r="C1323" s="14" t="s">
        <v>25</v>
      </c>
      <c r="D1323" s="15">
        <v>34</v>
      </c>
      <c r="E1323" s="14" t="s">
        <v>93</v>
      </c>
      <c r="F1323" s="14" t="s">
        <v>53</v>
      </c>
      <c r="G1323" s="16">
        <v>45537</v>
      </c>
      <c r="H1323" s="14" t="s">
        <v>26</v>
      </c>
      <c r="I1323" s="14" t="s">
        <v>2267</v>
      </c>
      <c r="J1323" s="14" t="s">
        <v>2270</v>
      </c>
      <c r="K1323" s="14" t="s">
        <v>73</v>
      </c>
      <c r="L1323" s="14" t="s">
        <v>38</v>
      </c>
      <c r="M1323" s="14" t="s">
        <v>45</v>
      </c>
      <c r="N1323" s="17">
        <v>72190</v>
      </c>
      <c r="O1323" s="17">
        <v>43218</v>
      </c>
      <c r="P1323" s="18">
        <v>89.5</v>
      </c>
      <c r="Q1323" s="15">
        <v>8</v>
      </c>
      <c r="R1323" s="19">
        <v>6</v>
      </c>
      <c r="S1323" s="19">
        <v>2</v>
      </c>
      <c r="T1323" s="15">
        <v>39</v>
      </c>
      <c r="U1323" s="19">
        <v>88</v>
      </c>
      <c r="V1323" s="14" t="s">
        <v>31</v>
      </c>
      <c r="W1323" s="14"/>
      <c r="X1323" s="14">
        <f>IF(V1323="Yes",1,0)</f>
        <v>0</v>
      </c>
      <c r="Y1323" s="14">
        <f>IF(H1323="Active",0,1)</f>
        <v>0</v>
      </c>
    </row>
    <row r="1324" spans="1:25" ht="18" customHeight="1" x14ac:dyDescent="0.35">
      <c r="A1324" s="8" t="s">
        <v>394</v>
      </c>
      <c r="B1324" s="8" t="s">
        <v>220</v>
      </c>
      <c r="C1324" s="8" t="s">
        <v>34</v>
      </c>
      <c r="D1324" s="9">
        <v>39</v>
      </c>
      <c r="E1324" s="8" t="s">
        <v>109</v>
      </c>
      <c r="F1324" s="8" t="s">
        <v>43</v>
      </c>
      <c r="G1324" s="10">
        <v>45536</v>
      </c>
      <c r="H1324" s="8" t="s">
        <v>26</v>
      </c>
      <c r="I1324" s="8" t="s">
        <v>27</v>
      </c>
      <c r="J1324" s="8" t="s">
        <v>48</v>
      </c>
      <c r="K1324" s="8" t="s">
        <v>73</v>
      </c>
      <c r="L1324" s="8" t="s">
        <v>38</v>
      </c>
      <c r="M1324" s="8" t="s">
        <v>30</v>
      </c>
      <c r="N1324" s="11">
        <v>222484</v>
      </c>
      <c r="O1324" s="11">
        <v>49227</v>
      </c>
      <c r="P1324" s="12">
        <v>95.4</v>
      </c>
      <c r="Q1324" s="9">
        <v>9</v>
      </c>
      <c r="R1324" s="13">
        <v>4</v>
      </c>
      <c r="S1324" s="13">
        <v>3</v>
      </c>
      <c r="T1324" s="9">
        <v>1</v>
      </c>
      <c r="U1324" s="13">
        <v>95</v>
      </c>
      <c r="V1324" s="8" t="s">
        <v>31</v>
      </c>
      <c r="W1324" s="8"/>
      <c r="X1324" s="22">
        <f>IF(V1324="Yes",1,0)</f>
        <v>0</v>
      </c>
      <c r="Y1324" s="22">
        <f>IF(H1324="Active",0,1)</f>
        <v>0</v>
      </c>
    </row>
    <row r="1325" spans="1:25" ht="18" customHeight="1" x14ac:dyDescent="0.35">
      <c r="A1325" s="14" t="s">
        <v>440</v>
      </c>
      <c r="B1325" s="14" t="s">
        <v>356</v>
      </c>
      <c r="C1325" s="14" t="s">
        <v>25</v>
      </c>
      <c r="D1325" s="15">
        <v>40</v>
      </c>
      <c r="E1325" s="14" t="s">
        <v>2303</v>
      </c>
      <c r="F1325" s="14" t="s">
        <v>90</v>
      </c>
      <c r="G1325" s="16">
        <v>45536</v>
      </c>
      <c r="H1325" s="14" t="s">
        <v>26</v>
      </c>
      <c r="I1325" s="14" t="s">
        <v>36</v>
      </c>
      <c r="J1325" s="14" t="s">
        <v>2269</v>
      </c>
      <c r="K1325" s="14" t="s">
        <v>73</v>
      </c>
      <c r="L1325" s="14" t="s">
        <v>68</v>
      </c>
      <c r="M1325" s="14" t="s">
        <v>60</v>
      </c>
      <c r="N1325" s="17">
        <v>183896</v>
      </c>
      <c r="O1325" s="17">
        <v>45286</v>
      </c>
      <c r="P1325" s="18">
        <v>92.1</v>
      </c>
      <c r="Q1325" s="15">
        <v>7</v>
      </c>
      <c r="R1325" s="19">
        <v>25</v>
      </c>
      <c r="S1325" s="19">
        <v>1</v>
      </c>
      <c r="T1325" s="15">
        <v>1</v>
      </c>
      <c r="U1325" s="19">
        <v>63</v>
      </c>
      <c r="V1325" s="14" t="s">
        <v>31</v>
      </c>
      <c r="W1325" s="14"/>
      <c r="X1325" s="14">
        <f>IF(V1325="Yes",1,0)</f>
        <v>0</v>
      </c>
      <c r="Y1325" s="14">
        <f>IF(H1325="Active",0,1)</f>
        <v>0</v>
      </c>
    </row>
    <row r="1326" spans="1:25" ht="18" customHeight="1" x14ac:dyDescent="0.35">
      <c r="A1326" s="8" t="s">
        <v>2047</v>
      </c>
      <c r="B1326" s="8" t="s">
        <v>226</v>
      </c>
      <c r="C1326" s="8" t="s">
        <v>25</v>
      </c>
      <c r="D1326" s="9">
        <v>48</v>
      </c>
      <c r="E1326" s="8" t="s">
        <v>86</v>
      </c>
      <c r="F1326" s="8" t="s">
        <v>43</v>
      </c>
      <c r="G1326" s="10">
        <v>45536</v>
      </c>
      <c r="H1326" s="8" t="s">
        <v>26</v>
      </c>
      <c r="I1326" s="8" t="s">
        <v>27</v>
      </c>
      <c r="J1326" s="8" t="s">
        <v>48</v>
      </c>
      <c r="K1326" s="8" t="s">
        <v>28</v>
      </c>
      <c r="L1326" s="8" t="s">
        <v>56</v>
      </c>
      <c r="M1326" s="8" t="s">
        <v>64</v>
      </c>
      <c r="N1326" s="11">
        <v>189802</v>
      </c>
      <c r="O1326" s="11">
        <v>45722</v>
      </c>
      <c r="P1326" s="12">
        <v>90.9</v>
      </c>
      <c r="Q1326" s="9">
        <v>4</v>
      </c>
      <c r="R1326" s="13">
        <v>24</v>
      </c>
      <c r="S1326" s="13">
        <v>3</v>
      </c>
      <c r="T1326" s="9">
        <v>37</v>
      </c>
      <c r="U1326" s="13">
        <v>85</v>
      </c>
      <c r="V1326" s="8" t="s">
        <v>31</v>
      </c>
      <c r="W1326" s="8"/>
      <c r="X1326" s="22">
        <f>IF(V1326="Yes",1,0)</f>
        <v>0</v>
      </c>
      <c r="Y1326" s="22">
        <f>IF(H1326="Active",0,1)</f>
        <v>0</v>
      </c>
    </row>
    <row r="1327" spans="1:25" ht="18" customHeight="1" x14ac:dyDescent="0.35">
      <c r="A1327" s="14" t="s">
        <v>947</v>
      </c>
      <c r="B1327" s="14" t="s">
        <v>475</v>
      </c>
      <c r="C1327" s="14" t="s">
        <v>25</v>
      </c>
      <c r="D1327" s="15">
        <v>29</v>
      </c>
      <c r="E1327" s="14" t="s">
        <v>2303</v>
      </c>
      <c r="F1327" s="14" t="s">
        <v>12</v>
      </c>
      <c r="G1327" s="16">
        <v>45535</v>
      </c>
      <c r="H1327" s="14" t="s">
        <v>26</v>
      </c>
      <c r="I1327" s="14" t="s">
        <v>36</v>
      </c>
      <c r="J1327" s="14" t="s">
        <v>48</v>
      </c>
      <c r="K1327" s="14" t="s">
        <v>37</v>
      </c>
      <c r="L1327" s="14" t="s">
        <v>87</v>
      </c>
      <c r="M1327" s="14" t="s">
        <v>30</v>
      </c>
      <c r="N1327" s="17">
        <v>185286</v>
      </c>
      <c r="O1327" s="17">
        <v>29440</v>
      </c>
      <c r="P1327" s="18">
        <v>89.8</v>
      </c>
      <c r="Q1327" s="15">
        <v>1</v>
      </c>
      <c r="R1327" s="19">
        <v>24</v>
      </c>
      <c r="S1327" s="19">
        <v>5</v>
      </c>
      <c r="T1327" s="15">
        <v>20</v>
      </c>
      <c r="U1327" s="19">
        <v>87</v>
      </c>
      <c r="V1327" s="14" t="s">
        <v>31</v>
      </c>
      <c r="W1327" s="14"/>
      <c r="X1327" s="14">
        <f>IF(V1327="Yes",1,0)</f>
        <v>0</v>
      </c>
      <c r="Y1327" s="14">
        <f>IF(H1327="Active",0,1)</f>
        <v>0</v>
      </c>
    </row>
    <row r="1328" spans="1:25" ht="18" customHeight="1" x14ac:dyDescent="0.35">
      <c r="A1328" s="8" t="s">
        <v>1279</v>
      </c>
      <c r="B1328" s="8" t="s">
        <v>240</v>
      </c>
      <c r="C1328" s="8" t="s">
        <v>34</v>
      </c>
      <c r="D1328" s="9">
        <v>34</v>
      </c>
      <c r="E1328" s="8" t="s">
        <v>86</v>
      </c>
      <c r="F1328" s="8" t="s">
        <v>43</v>
      </c>
      <c r="G1328" s="10">
        <v>45535</v>
      </c>
      <c r="H1328" s="8" t="s">
        <v>26</v>
      </c>
      <c r="I1328" s="8" t="s">
        <v>36</v>
      </c>
      <c r="J1328" s="8" t="s">
        <v>2268</v>
      </c>
      <c r="K1328" s="8" t="s">
        <v>37</v>
      </c>
      <c r="L1328" s="8" t="s">
        <v>68</v>
      </c>
      <c r="M1328" s="8" t="s">
        <v>60</v>
      </c>
      <c r="N1328" s="11">
        <v>92165</v>
      </c>
      <c r="O1328" s="11">
        <v>14357</v>
      </c>
      <c r="P1328" s="12">
        <v>98.5</v>
      </c>
      <c r="Q1328" s="9">
        <v>0</v>
      </c>
      <c r="R1328" s="13">
        <v>30</v>
      </c>
      <c r="S1328" s="13">
        <v>5</v>
      </c>
      <c r="T1328" s="9">
        <v>17</v>
      </c>
      <c r="U1328" s="13">
        <v>68</v>
      </c>
      <c r="V1328" s="8" t="s">
        <v>31</v>
      </c>
      <c r="W1328" s="8"/>
      <c r="X1328" s="22">
        <f>IF(V1328="Yes",1,0)</f>
        <v>0</v>
      </c>
      <c r="Y1328" s="22">
        <f>IF(H1328="Active",0,1)</f>
        <v>0</v>
      </c>
    </row>
    <row r="1329" spans="1:25" ht="18" customHeight="1" x14ac:dyDescent="0.35">
      <c r="A1329" s="8" t="s">
        <v>1281</v>
      </c>
      <c r="B1329" s="8" t="s">
        <v>291</v>
      </c>
      <c r="C1329" s="8" t="s">
        <v>34</v>
      </c>
      <c r="D1329" s="9">
        <v>29</v>
      </c>
      <c r="E1329" s="8" t="s">
        <v>93</v>
      </c>
      <c r="F1329" s="8" t="s">
        <v>35</v>
      </c>
      <c r="G1329" s="10">
        <v>45535</v>
      </c>
      <c r="H1329" s="8" t="s">
        <v>54</v>
      </c>
      <c r="I1329" s="8" t="s">
        <v>36</v>
      </c>
      <c r="J1329" s="8" t="s">
        <v>2268</v>
      </c>
      <c r="K1329" s="8" t="s">
        <v>37</v>
      </c>
      <c r="L1329" s="8" t="s">
        <v>87</v>
      </c>
      <c r="M1329" s="8" t="s">
        <v>64</v>
      </c>
      <c r="N1329" s="11">
        <v>51219</v>
      </c>
      <c r="O1329" s="11">
        <v>43416</v>
      </c>
      <c r="P1329" s="12">
        <v>96.4</v>
      </c>
      <c r="Q1329" s="9">
        <v>3</v>
      </c>
      <c r="R1329" s="13">
        <v>5</v>
      </c>
      <c r="S1329" s="13">
        <v>1</v>
      </c>
      <c r="T1329" s="9">
        <v>10</v>
      </c>
      <c r="U1329" s="13">
        <v>94</v>
      </c>
      <c r="V1329" s="8" t="s">
        <v>31</v>
      </c>
      <c r="W1329" s="8" t="s">
        <v>57</v>
      </c>
      <c r="X1329" s="22">
        <f>IF(V1329="Yes",1,0)</f>
        <v>0</v>
      </c>
      <c r="Y1329" s="22">
        <f>IF(H1329="Active",0,1)</f>
        <v>1</v>
      </c>
    </row>
    <row r="1330" spans="1:25" ht="18" customHeight="1" x14ac:dyDescent="0.35">
      <c r="A1330" s="8" t="s">
        <v>1959</v>
      </c>
      <c r="B1330" s="8" t="s">
        <v>258</v>
      </c>
      <c r="C1330" s="8" t="s">
        <v>25</v>
      </c>
      <c r="D1330" s="9">
        <v>43</v>
      </c>
      <c r="E1330" s="8" t="s">
        <v>52</v>
      </c>
      <c r="F1330" s="8" t="s">
        <v>79</v>
      </c>
      <c r="G1330" s="10">
        <v>45535</v>
      </c>
      <c r="H1330" s="8" t="s">
        <v>26</v>
      </c>
      <c r="I1330" s="8" t="s">
        <v>2267</v>
      </c>
      <c r="J1330" s="8" t="s">
        <v>2268</v>
      </c>
      <c r="K1330" s="8" t="s">
        <v>2271</v>
      </c>
      <c r="L1330" s="8" t="s">
        <v>44</v>
      </c>
      <c r="M1330" s="8" t="s">
        <v>30</v>
      </c>
      <c r="N1330" s="11">
        <v>234379</v>
      </c>
      <c r="O1330" s="11">
        <v>11913</v>
      </c>
      <c r="P1330" s="12">
        <v>97.6</v>
      </c>
      <c r="Q1330" s="9">
        <v>1</v>
      </c>
      <c r="R1330" s="13">
        <v>28</v>
      </c>
      <c r="S1330" s="13">
        <v>3</v>
      </c>
      <c r="T1330" s="9">
        <v>23</v>
      </c>
      <c r="U1330" s="13">
        <v>69</v>
      </c>
      <c r="V1330" s="8" t="s">
        <v>31</v>
      </c>
      <c r="W1330" s="8"/>
      <c r="X1330" s="22">
        <f>IF(V1330="Yes",1,0)</f>
        <v>0</v>
      </c>
      <c r="Y1330" s="22">
        <f>IF(H1330="Active",0,1)</f>
        <v>0</v>
      </c>
    </row>
    <row r="1331" spans="1:25" ht="18" customHeight="1" x14ac:dyDescent="0.35">
      <c r="A1331" s="14" t="s">
        <v>2166</v>
      </c>
      <c r="B1331" s="14" t="s">
        <v>228</v>
      </c>
      <c r="C1331" s="14" t="s">
        <v>34</v>
      </c>
      <c r="D1331" s="15">
        <v>26</v>
      </c>
      <c r="E1331" s="14" t="s">
        <v>86</v>
      </c>
      <c r="F1331" s="14" t="s">
        <v>76</v>
      </c>
      <c r="G1331" s="16">
        <v>45535</v>
      </c>
      <c r="H1331" s="14" t="s">
        <v>26</v>
      </c>
      <c r="I1331" s="14" t="s">
        <v>2267</v>
      </c>
      <c r="J1331" s="14" t="s">
        <v>2268</v>
      </c>
      <c r="K1331" s="14" t="s">
        <v>73</v>
      </c>
      <c r="L1331" s="14" t="s">
        <v>29</v>
      </c>
      <c r="M1331" s="14" t="s">
        <v>45</v>
      </c>
      <c r="N1331" s="17">
        <v>93830</v>
      </c>
      <c r="O1331" s="17">
        <v>37630</v>
      </c>
      <c r="P1331" s="18">
        <v>87.5</v>
      </c>
      <c r="Q1331" s="15">
        <v>7</v>
      </c>
      <c r="R1331" s="19">
        <v>19</v>
      </c>
      <c r="S1331" s="19">
        <v>5</v>
      </c>
      <c r="T1331" s="15">
        <v>7</v>
      </c>
      <c r="U1331" s="19">
        <v>66</v>
      </c>
      <c r="V1331" s="14" t="s">
        <v>31</v>
      </c>
      <c r="W1331" s="14"/>
      <c r="X1331" s="14">
        <f>IF(V1331="Yes",1,0)</f>
        <v>0</v>
      </c>
      <c r="Y1331" s="14">
        <f>IF(H1331="Active",0,1)</f>
        <v>0</v>
      </c>
    </row>
    <row r="1332" spans="1:25" ht="18" customHeight="1" x14ac:dyDescent="0.35">
      <c r="A1332" s="8" t="s">
        <v>2175</v>
      </c>
      <c r="B1332" s="8" t="s">
        <v>1155</v>
      </c>
      <c r="C1332" s="8" t="s">
        <v>34</v>
      </c>
      <c r="D1332" s="9">
        <v>56</v>
      </c>
      <c r="E1332" s="8" t="s">
        <v>52</v>
      </c>
      <c r="F1332" s="8" t="s">
        <v>35</v>
      </c>
      <c r="G1332" s="10">
        <v>45535</v>
      </c>
      <c r="H1332" s="8" t="s">
        <v>26</v>
      </c>
      <c r="I1332" s="8" t="s">
        <v>27</v>
      </c>
      <c r="J1332" s="8" t="s">
        <v>2268</v>
      </c>
      <c r="K1332" s="8" t="s">
        <v>2271</v>
      </c>
      <c r="L1332" s="8" t="s">
        <v>44</v>
      </c>
      <c r="M1332" s="8" t="s">
        <v>30</v>
      </c>
      <c r="N1332" s="11">
        <v>67552</v>
      </c>
      <c r="O1332" s="11">
        <v>34767</v>
      </c>
      <c r="P1332" s="12">
        <v>81.599999999999994</v>
      </c>
      <c r="Q1332" s="9">
        <v>1</v>
      </c>
      <c r="R1332" s="13">
        <v>28</v>
      </c>
      <c r="S1332" s="13">
        <v>5</v>
      </c>
      <c r="T1332" s="9">
        <v>19</v>
      </c>
      <c r="U1332" s="13">
        <v>64</v>
      </c>
      <c r="V1332" s="8" t="s">
        <v>31</v>
      </c>
      <c r="W1332" s="8"/>
      <c r="X1332" s="22">
        <f>IF(V1332="Yes",1,0)</f>
        <v>0</v>
      </c>
      <c r="Y1332" s="22">
        <f>IF(H1332="Active",0,1)</f>
        <v>0</v>
      </c>
    </row>
    <row r="1333" spans="1:25" ht="18" customHeight="1" x14ac:dyDescent="0.35">
      <c r="A1333" s="14" t="s">
        <v>648</v>
      </c>
      <c r="B1333" s="14" t="s">
        <v>297</v>
      </c>
      <c r="C1333" s="14" t="s">
        <v>34</v>
      </c>
      <c r="D1333" s="15">
        <v>56</v>
      </c>
      <c r="E1333" s="14" t="s">
        <v>52</v>
      </c>
      <c r="F1333" s="14" t="s">
        <v>53</v>
      </c>
      <c r="G1333" s="16">
        <v>45533</v>
      </c>
      <c r="H1333" s="14" t="s">
        <v>26</v>
      </c>
      <c r="I1333" s="14" t="s">
        <v>27</v>
      </c>
      <c r="J1333" s="14" t="s">
        <v>80</v>
      </c>
      <c r="K1333" s="14" t="s">
        <v>37</v>
      </c>
      <c r="L1333" s="14" t="s">
        <v>49</v>
      </c>
      <c r="M1333" s="14" t="s">
        <v>30</v>
      </c>
      <c r="N1333" s="17">
        <v>185957</v>
      </c>
      <c r="O1333" s="17">
        <v>24670</v>
      </c>
      <c r="P1333" s="18">
        <v>99.9</v>
      </c>
      <c r="Q1333" s="15">
        <v>2</v>
      </c>
      <c r="R1333" s="19">
        <v>20</v>
      </c>
      <c r="S1333" s="19">
        <v>5</v>
      </c>
      <c r="T1333" s="15">
        <v>0</v>
      </c>
      <c r="U1333" s="19">
        <v>77</v>
      </c>
      <c r="V1333" s="14" t="s">
        <v>69</v>
      </c>
      <c r="W1333" s="14"/>
      <c r="X1333" s="14">
        <f>IF(V1333="Yes",1,0)</f>
        <v>1</v>
      </c>
      <c r="Y1333" s="14">
        <f>IF(H1333="Active",0,1)</f>
        <v>0</v>
      </c>
    </row>
    <row r="1334" spans="1:25" ht="18" customHeight="1" x14ac:dyDescent="0.35">
      <c r="A1334" s="8" t="s">
        <v>1369</v>
      </c>
      <c r="B1334" s="8" t="s">
        <v>71</v>
      </c>
      <c r="C1334" s="8" t="s">
        <v>25</v>
      </c>
      <c r="D1334" s="9">
        <v>30</v>
      </c>
      <c r="E1334" s="8" t="s">
        <v>52</v>
      </c>
      <c r="F1334" s="8" t="s">
        <v>79</v>
      </c>
      <c r="G1334" s="10">
        <v>45533</v>
      </c>
      <c r="H1334" s="8" t="s">
        <v>26</v>
      </c>
      <c r="I1334" s="8" t="s">
        <v>2267</v>
      </c>
      <c r="J1334" s="8" t="s">
        <v>80</v>
      </c>
      <c r="K1334" s="8" t="s">
        <v>55</v>
      </c>
      <c r="L1334" s="8" t="s">
        <v>44</v>
      </c>
      <c r="M1334" s="8" t="s">
        <v>39</v>
      </c>
      <c r="N1334" s="11">
        <v>166740</v>
      </c>
      <c r="O1334" s="11">
        <v>34431</v>
      </c>
      <c r="P1334" s="12">
        <v>85.3</v>
      </c>
      <c r="Q1334" s="9">
        <v>1</v>
      </c>
      <c r="R1334" s="13">
        <v>27</v>
      </c>
      <c r="S1334" s="13">
        <v>1</v>
      </c>
      <c r="T1334" s="9">
        <v>38</v>
      </c>
      <c r="U1334" s="13">
        <v>97</v>
      </c>
      <c r="V1334" s="8" t="s">
        <v>31</v>
      </c>
      <c r="W1334" s="8"/>
      <c r="X1334" s="22">
        <f>IF(V1334="Yes",1,0)</f>
        <v>0</v>
      </c>
      <c r="Y1334" s="22">
        <f>IF(H1334="Active",0,1)</f>
        <v>0</v>
      </c>
    </row>
    <row r="1335" spans="1:25" ht="18" customHeight="1" x14ac:dyDescent="0.35">
      <c r="A1335" s="8" t="s">
        <v>664</v>
      </c>
      <c r="B1335" s="8" t="s">
        <v>619</v>
      </c>
      <c r="C1335" s="8" t="s">
        <v>25</v>
      </c>
      <c r="D1335" s="9">
        <v>25</v>
      </c>
      <c r="E1335" s="8" t="s">
        <v>2304</v>
      </c>
      <c r="F1335" s="8" t="s">
        <v>53</v>
      </c>
      <c r="G1335" s="10">
        <v>45532</v>
      </c>
      <c r="H1335" s="8" t="s">
        <v>54</v>
      </c>
      <c r="I1335" s="8" t="s">
        <v>27</v>
      </c>
      <c r="J1335" s="8" t="s">
        <v>2269</v>
      </c>
      <c r="K1335" s="8" t="s">
        <v>37</v>
      </c>
      <c r="L1335" s="8" t="s">
        <v>56</v>
      </c>
      <c r="M1335" s="8" t="s">
        <v>60</v>
      </c>
      <c r="N1335" s="11">
        <v>94312</v>
      </c>
      <c r="O1335" s="11">
        <v>8184</v>
      </c>
      <c r="P1335" s="12">
        <v>82.1</v>
      </c>
      <c r="Q1335" s="9">
        <v>7</v>
      </c>
      <c r="R1335" s="13">
        <v>13</v>
      </c>
      <c r="S1335" s="13">
        <v>2</v>
      </c>
      <c r="T1335" s="9">
        <v>19</v>
      </c>
      <c r="U1335" s="13">
        <v>100</v>
      </c>
      <c r="V1335" s="8" t="s">
        <v>31</v>
      </c>
      <c r="W1335" s="8" t="s">
        <v>57</v>
      </c>
      <c r="X1335" s="22">
        <f>IF(V1335="Yes",1,0)</f>
        <v>0</v>
      </c>
      <c r="Y1335" s="22">
        <f>IF(H1335="Active",0,1)</f>
        <v>1</v>
      </c>
    </row>
    <row r="1336" spans="1:25" ht="18" customHeight="1" x14ac:dyDescent="0.35">
      <c r="A1336" s="14" t="s">
        <v>1968</v>
      </c>
      <c r="B1336" s="14" t="s">
        <v>30</v>
      </c>
      <c r="C1336" s="14" t="s">
        <v>34</v>
      </c>
      <c r="D1336" s="15">
        <v>29</v>
      </c>
      <c r="E1336" s="14" t="s">
        <v>63</v>
      </c>
      <c r="F1336" s="14" t="s">
        <v>76</v>
      </c>
      <c r="G1336" s="16">
        <v>45532</v>
      </c>
      <c r="H1336" s="14" t="s">
        <v>26</v>
      </c>
      <c r="I1336" s="14" t="s">
        <v>2267</v>
      </c>
      <c r="J1336" s="14" t="s">
        <v>2269</v>
      </c>
      <c r="K1336" s="14" t="s">
        <v>28</v>
      </c>
      <c r="L1336" s="14" t="s">
        <v>56</v>
      </c>
      <c r="M1336" s="14" t="s">
        <v>45</v>
      </c>
      <c r="N1336" s="17">
        <v>194648</v>
      </c>
      <c r="O1336" s="17">
        <v>22802</v>
      </c>
      <c r="P1336" s="18">
        <v>94.1</v>
      </c>
      <c r="Q1336" s="15">
        <v>1</v>
      </c>
      <c r="R1336" s="19">
        <v>24</v>
      </c>
      <c r="S1336" s="19">
        <v>3</v>
      </c>
      <c r="T1336" s="15">
        <v>31</v>
      </c>
      <c r="U1336" s="19">
        <v>89</v>
      </c>
      <c r="V1336" s="14" t="s">
        <v>31</v>
      </c>
      <c r="W1336" s="14"/>
      <c r="X1336" s="14">
        <f>IF(V1336="Yes",1,0)</f>
        <v>0</v>
      </c>
      <c r="Y1336" s="14">
        <f>IF(H1336="Active",0,1)</f>
        <v>0</v>
      </c>
    </row>
    <row r="1337" spans="1:25" ht="18" customHeight="1" x14ac:dyDescent="0.35">
      <c r="A1337" s="8" t="s">
        <v>1613</v>
      </c>
      <c r="B1337" s="8" t="s">
        <v>85</v>
      </c>
      <c r="C1337" s="8" t="s">
        <v>34</v>
      </c>
      <c r="D1337" s="9">
        <v>31</v>
      </c>
      <c r="E1337" s="8" t="s">
        <v>2304</v>
      </c>
      <c r="F1337" s="8" t="s">
        <v>53</v>
      </c>
      <c r="G1337" s="10">
        <v>45531</v>
      </c>
      <c r="H1337" s="8" t="s">
        <v>26</v>
      </c>
      <c r="I1337" s="8" t="s">
        <v>36</v>
      </c>
      <c r="J1337" s="8" t="s">
        <v>2269</v>
      </c>
      <c r="K1337" s="8" t="s">
        <v>55</v>
      </c>
      <c r="L1337" s="8" t="s">
        <v>29</v>
      </c>
      <c r="M1337" s="8" t="s">
        <v>39</v>
      </c>
      <c r="N1337" s="11">
        <v>237259</v>
      </c>
      <c r="O1337" s="11">
        <v>33714</v>
      </c>
      <c r="P1337" s="12">
        <v>82.3</v>
      </c>
      <c r="Q1337" s="9">
        <v>4</v>
      </c>
      <c r="R1337" s="13">
        <v>17</v>
      </c>
      <c r="S1337" s="13">
        <v>3</v>
      </c>
      <c r="T1337" s="9">
        <v>28</v>
      </c>
      <c r="U1337" s="13">
        <v>86</v>
      </c>
      <c r="V1337" s="8" t="s">
        <v>69</v>
      </c>
      <c r="W1337" s="8"/>
      <c r="X1337" s="22">
        <f>IF(V1337="Yes",1,0)</f>
        <v>1</v>
      </c>
      <c r="Y1337" s="22">
        <f>IF(H1337="Active",0,1)</f>
        <v>0</v>
      </c>
    </row>
    <row r="1338" spans="1:25" ht="18" customHeight="1" x14ac:dyDescent="0.35">
      <c r="A1338" s="8" t="s">
        <v>2253</v>
      </c>
      <c r="B1338" s="8" t="s">
        <v>115</v>
      </c>
      <c r="C1338" s="8" t="s">
        <v>34</v>
      </c>
      <c r="D1338" s="9">
        <v>43</v>
      </c>
      <c r="E1338" s="8" t="s">
        <v>67</v>
      </c>
      <c r="F1338" s="8" t="s">
        <v>90</v>
      </c>
      <c r="G1338" s="10">
        <v>45531</v>
      </c>
      <c r="H1338" s="8" t="s">
        <v>26</v>
      </c>
      <c r="I1338" s="8" t="s">
        <v>27</v>
      </c>
      <c r="J1338" s="8" t="s">
        <v>80</v>
      </c>
      <c r="K1338" s="8" t="s">
        <v>2271</v>
      </c>
      <c r="L1338" s="8" t="s">
        <v>38</v>
      </c>
      <c r="M1338" s="8" t="s">
        <v>64</v>
      </c>
      <c r="N1338" s="11">
        <v>70478</v>
      </c>
      <c r="O1338" s="11">
        <v>28631</v>
      </c>
      <c r="P1338" s="12">
        <v>85.2</v>
      </c>
      <c r="Q1338" s="9">
        <v>5</v>
      </c>
      <c r="R1338" s="13">
        <v>23</v>
      </c>
      <c r="S1338" s="13">
        <v>4</v>
      </c>
      <c r="T1338" s="9">
        <v>29</v>
      </c>
      <c r="U1338" s="13">
        <v>74</v>
      </c>
      <c r="V1338" s="8" t="s">
        <v>31</v>
      </c>
      <c r="W1338" s="8"/>
      <c r="X1338" s="22">
        <f>IF(V1338="Yes",1,0)</f>
        <v>0</v>
      </c>
      <c r="Y1338" s="22">
        <f>IF(H1338="Active",0,1)</f>
        <v>0</v>
      </c>
    </row>
    <row r="1339" spans="1:25" ht="18" customHeight="1" x14ac:dyDescent="0.35">
      <c r="A1339" s="8" t="s">
        <v>396</v>
      </c>
      <c r="B1339" s="8" t="s">
        <v>379</v>
      </c>
      <c r="C1339" s="8" t="s">
        <v>25</v>
      </c>
      <c r="D1339" s="9">
        <v>23</v>
      </c>
      <c r="E1339" s="8" t="s">
        <v>63</v>
      </c>
      <c r="F1339" s="8" t="s">
        <v>12</v>
      </c>
      <c r="G1339" s="10">
        <v>45530</v>
      </c>
      <c r="H1339" s="8" t="s">
        <v>26</v>
      </c>
      <c r="I1339" s="8" t="s">
        <v>2267</v>
      </c>
      <c r="J1339" s="8" t="s">
        <v>2269</v>
      </c>
      <c r="K1339" s="8" t="s">
        <v>28</v>
      </c>
      <c r="L1339" s="8" t="s">
        <v>87</v>
      </c>
      <c r="M1339" s="8" t="s">
        <v>60</v>
      </c>
      <c r="N1339" s="11">
        <v>179460</v>
      </c>
      <c r="O1339" s="11">
        <v>34620</v>
      </c>
      <c r="P1339" s="12">
        <v>87.3</v>
      </c>
      <c r="Q1339" s="9">
        <v>3</v>
      </c>
      <c r="R1339" s="13">
        <v>10</v>
      </c>
      <c r="S1339" s="13">
        <v>4</v>
      </c>
      <c r="T1339" s="9">
        <v>23</v>
      </c>
      <c r="U1339" s="13">
        <v>97</v>
      </c>
      <c r="V1339" s="8" t="s">
        <v>31</v>
      </c>
      <c r="W1339" s="8"/>
      <c r="X1339" s="22">
        <f>IF(V1339="Yes",1,0)</f>
        <v>0</v>
      </c>
      <c r="Y1339" s="22">
        <f>IF(H1339="Active",0,1)</f>
        <v>0</v>
      </c>
    </row>
    <row r="1340" spans="1:25" ht="18" customHeight="1" x14ac:dyDescent="0.35">
      <c r="A1340" s="8" t="s">
        <v>463</v>
      </c>
      <c r="B1340" s="8" t="s">
        <v>464</v>
      </c>
      <c r="C1340" s="8" t="s">
        <v>25</v>
      </c>
      <c r="D1340" s="9">
        <v>46</v>
      </c>
      <c r="E1340" s="8" t="s">
        <v>63</v>
      </c>
      <c r="F1340" s="8" t="s">
        <v>43</v>
      </c>
      <c r="G1340" s="10">
        <v>45530</v>
      </c>
      <c r="H1340" s="8" t="s">
        <v>26</v>
      </c>
      <c r="I1340" s="8" t="s">
        <v>2267</v>
      </c>
      <c r="J1340" s="8" t="s">
        <v>80</v>
      </c>
      <c r="K1340" s="8" t="s">
        <v>2271</v>
      </c>
      <c r="L1340" s="8" t="s">
        <v>68</v>
      </c>
      <c r="M1340" s="8" t="s">
        <v>39</v>
      </c>
      <c r="N1340" s="11">
        <v>206612</v>
      </c>
      <c r="O1340" s="11">
        <v>40675</v>
      </c>
      <c r="P1340" s="12">
        <v>90.5</v>
      </c>
      <c r="Q1340" s="9">
        <v>9</v>
      </c>
      <c r="R1340" s="13">
        <v>30</v>
      </c>
      <c r="S1340" s="13">
        <v>5</v>
      </c>
      <c r="T1340" s="9">
        <v>11</v>
      </c>
      <c r="U1340" s="13">
        <v>70</v>
      </c>
      <c r="V1340" s="8" t="s">
        <v>31</v>
      </c>
      <c r="W1340" s="8"/>
      <c r="X1340" s="22">
        <f>IF(V1340="Yes",1,0)</f>
        <v>0</v>
      </c>
      <c r="Y1340" s="22">
        <f>IF(H1340="Active",0,1)</f>
        <v>0</v>
      </c>
    </row>
    <row r="1341" spans="1:25" ht="18" customHeight="1" x14ac:dyDescent="0.35">
      <c r="A1341" s="14" t="s">
        <v>780</v>
      </c>
      <c r="B1341" s="14" t="s">
        <v>210</v>
      </c>
      <c r="C1341" s="14" t="s">
        <v>34</v>
      </c>
      <c r="D1341" s="15">
        <v>31</v>
      </c>
      <c r="E1341" s="14" t="s">
        <v>42</v>
      </c>
      <c r="F1341" s="14" t="s">
        <v>43</v>
      </c>
      <c r="G1341" s="16">
        <v>45530</v>
      </c>
      <c r="H1341" s="14" t="s">
        <v>26</v>
      </c>
      <c r="I1341" s="14" t="s">
        <v>2267</v>
      </c>
      <c r="J1341" s="14" t="s">
        <v>2269</v>
      </c>
      <c r="K1341" s="14" t="s">
        <v>2271</v>
      </c>
      <c r="L1341" s="14" t="s">
        <v>44</v>
      </c>
      <c r="M1341" s="14" t="s">
        <v>39</v>
      </c>
      <c r="N1341" s="17">
        <v>109813</v>
      </c>
      <c r="O1341" s="17">
        <v>44770</v>
      </c>
      <c r="P1341" s="18">
        <v>95</v>
      </c>
      <c r="Q1341" s="15">
        <v>0</v>
      </c>
      <c r="R1341" s="19">
        <v>1</v>
      </c>
      <c r="S1341" s="19">
        <v>4</v>
      </c>
      <c r="T1341" s="15">
        <v>30</v>
      </c>
      <c r="U1341" s="19">
        <v>97</v>
      </c>
      <c r="V1341" s="14" t="s">
        <v>69</v>
      </c>
      <c r="W1341" s="14"/>
      <c r="X1341" s="14">
        <f>IF(V1341="Yes",1,0)</f>
        <v>1</v>
      </c>
      <c r="Y1341" s="14">
        <f>IF(H1341="Active",0,1)</f>
        <v>0</v>
      </c>
    </row>
    <row r="1342" spans="1:25" ht="18" customHeight="1" x14ac:dyDescent="0.35">
      <c r="A1342" s="8" t="s">
        <v>529</v>
      </c>
      <c r="B1342" s="8" t="s">
        <v>157</v>
      </c>
      <c r="C1342" s="8" t="s">
        <v>34</v>
      </c>
      <c r="D1342" s="9">
        <v>25</v>
      </c>
      <c r="E1342" s="8" t="s">
        <v>93</v>
      </c>
      <c r="F1342" s="8" t="s">
        <v>12</v>
      </c>
      <c r="G1342" s="10">
        <v>45529</v>
      </c>
      <c r="H1342" s="8" t="s">
        <v>26</v>
      </c>
      <c r="I1342" s="8" t="s">
        <v>36</v>
      </c>
      <c r="J1342" s="8" t="s">
        <v>48</v>
      </c>
      <c r="K1342" s="8" t="s">
        <v>55</v>
      </c>
      <c r="L1342" s="8" t="s">
        <v>116</v>
      </c>
      <c r="M1342" s="8" t="s">
        <v>60</v>
      </c>
      <c r="N1342" s="11">
        <v>197858</v>
      </c>
      <c r="O1342" s="11">
        <v>44019</v>
      </c>
      <c r="P1342" s="12">
        <v>81.3</v>
      </c>
      <c r="Q1342" s="9">
        <v>5</v>
      </c>
      <c r="R1342" s="13">
        <v>8</v>
      </c>
      <c r="S1342" s="13">
        <v>3</v>
      </c>
      <c r="T1342" s="9">
        <v>29</v>
      </c>
      <c r="U1342" s="13">
        <v>65</v>
      </c>
      <c r="V1342" s="8" t="s">
        <v>31</v>
      </c>
      <c r="W1342" s="8"/>
      <c r="X1342" s="22">
        <f>IF(V1342="Yes",1,0)</f>
        <v>0</v>
      </c>
      <c r="Y1342" s="22">
        <f>IF(H1342="Active",0,1)</f>
        <v>0</v>
      </c>
    </row>
    <row r="1343" spans="1:25" ht="18" customHeight="1" x14ac:dyDescent="0.35">
      <c r="A1343" s="8" t="s">
        <v>932</v>
      </c>
      <c r="B1343" s="8" t="s">
        <v>108</v>
      </c>
      <c r="C1343" s="8" t="s">
        <v>34</v>
      </c>
      <c r="D1343" s="9">
        <v>59</v>
      </c>
      <c r="E1343" s="8" t="s">
        <v>93</v>
      </c>
      <c r="F1343" s="8" t="s">
        <v>53</v>
      </c>
      <c r="G1343" s="10">
        <v>45529</v>
      </c>
      <c r="H1343" s="8" t="s">
        <v>26</v>
      </c>
      <c r="I1343" s="8" t="s">
        <v>2267</v>
      </c>
      <c r="J1343" s="8" t="s">
        <v>2269</v>
      </c>
      <c r="K1343" s="8" t="s">
        <v>37</v>
      </c>
      <c r="L1343" s="8" t="s">
        <v>68</v>
      </c>
      <c r="M1343" s="8" t="s">
        <v>60</v>
      </c>
      <c r="N1343" s="11">
        <v>211198</v>
      </c>
      <c r="O1343" s="11">
        <v>41207</v>
      </c>
      <c r="P1343" s="12">
        <v>96.9</v>
      </c>
      <c r="Q1343" s="9">
        <v>0</v>
      </c>
      <c r="R1343" s="13">
        <v>7</v>
      </c>
      <c r="S1343" s="13">
        <v>1</v>
      </c>
      <c r="T1343" s="9">
        <v>30</v>
      </c>
      <c r="U1343" s="13">
        <v>100</v>
      </c>
      <c r="V1343" s="8" t="s">
        <v>31</v>
      </c>
      <c r="W1343" s="8"/>
      <c r="X1343" s="22">
        <f>IF(V1343="Yes",1,0)</f>
        <v>0</v>
      </c>
      <c r="Y1343" s="22">
        <f>IF(H1343="Active",0,1)</f>
        <v>0</v>
      </c>
    </row>
    <row r="1344" spans="1:25" ht="18" customHeight="1" x14ac:dyDescent="0.35">
      <c r="A1344" s="8" t="s">
        <v>1581</v>
      </c>
      <c r="B1344" s="8" t="s">
        <v>138</v>
      </c>
      <c r="C1344" s="8" t="s">
        <v>34</v>
      </c>
      <c r="D1344" s="9">
        <v>43</v>
      </c>
      <c r="E1344" s="8" t="s">
        <v>63</v>
      </c>
      <c r="F1344" s="8" t="s">
        <v>76</v>
      </c>
      <c r="G1344" s="10">
        <v>45529</v>
      </c>
      <c r="H1344" s="8" t="s">
        <v>26</v>
      </c>
      <c r="I1344" s="8" t="s">
        <v>27</v>
      </c>
      <c r="J1344" s="8" t="s">
        <v>2268</v>
      </c>
      <c r="K1344" s="8" t="s">
        <v>2271</v>
      </c>
      <c r="L1344" s="8" t="s">
        <v>49</v>
      </c>
      <c r="M1344" s="8" t="s">
        <v>60</v>
      </c>
      <c r="N1344" s="11">
        <v>98933</v>
      </c>
      <c r="O1344" s="11">
        <v>45120</v>
      </c>
      <c r="P1344" s="12">
        <v>87</v>
      </c>
      <c r="Q1344" s="9">
        <v>8</v>
      </c>
      <c r="R1344" s="13">
        <v>28</v>
      </c>
      <c r="S1344" s="13">
        <v>1</v>
      </c>
      <c r="T1344" s="9">
        <v>15</v>
      </c>
      <c r="U1344" s="13">
        <v>90</v>
      </c>
      <c r="V1344" s="8" t="s">
        <v>31</v>
      </c>
      <c r="W1344" s="8"/>
      <c r="X1344" s="22">
        <f>IF(V1344="Yes",1,0)</f>
        <v>0</v>
      </c>
      <c r="Y1344" s="22">
        <f>IF(H1344="Active",0,1)</f>
        <v>0</v>
      </c>
    </row>
    <row r="1345" spans="1:25" ht="18" customHeight="1" x14ac:dyDescent="0.35">
      <c r="A1345" s="14" t="s">
        <v>885</v>
      </c>
      <c r="B1345" s="14" t="s">
        <v>291</v>
      </c>
      <c r="C1345" s="14" t="s">
        <v>25</v>
      </c>
      <c r="D1345" s="15">
        <v>27</v>
      </c>
      <c r="E1345" s="14" t="s">
        <v>63</v>
      </c>
      <c r="F1345" s="14" t="s">
        <v>12</v>
      </c>
      <c r="G1345" s="16">
        <v>45528</v>
      </c>
      <c r="H1345" s="14" t="s">
        <v>26</v>
      </c>
      <c r="I1345" s="14" t="s">
        <v>2267</v>
      </c>
      <c r="J1345" s="14" t="s">
        <v>48</v>
      </c>
      <c r="K1345" s="14" t="s">
        <v>2271</v>
      </c>
      <c r="L1345" s="14" t="s">
        <v>38</v>
      </c>
      <c r="M1345" s="14" t="s">
        <v>64</v>
      </c>
      <c r="N1345" s="17">
        <v>103778</v>
      </c>
      <c r="O1345" s="17">
        <v>22095</v>
      </c>
      <c r="P1345" s="18">
        <v>87.2</v>
      </c>
      <c r="Q1345" s="15">
        <v>8</v>
      </c>
      <c r="R1345" s="19">
        <v>26</v>
      </c>
      <c r="S1345" s="19">
        <v>1</v>
      </c>
      <c r="T1345" s="15">
        <v>22</v>
      </c>
      <c r="U1345" s="19">
        <v>67</v>
      </c>
      <c r="V1345" s="14" t="s">
        <v>31</v>
      </c>
      <c r="W1345" s="14"/>
      <c r="X1345" s="14">
        <f>IF(V1345="Yes",1,0)</f>
        <v>0</v>
      </c>
      <c r="Y1345" s="14">
        <f>IF(H1345="Active",0,1)</f>
        <v>0</v>
      </c>
    </row>
    <row r="1346" spans="1:25" ht="18" customHeight="1" x14ac:dyDescent="0.35">
      <c r="A1346" s="14" t="s">
        <v>1201</v>
      </c>
      <c r="B1346" s="14" t="s">
        <v>89</v>
      </c>
      <c r="C1346" s="14" t="s">
        <v>34</v>
      </c>
      <c r="D1346" s="15">
        <v>21</v>
      </c>
      <c r="E1346" s="14" t="s">
        <v>109</v>
      </c>
      <c r="F1346" s="14" t="s">
        <v>53</v>
      </c>
      <c r="G1346" s="16">
        <v>45527</v>
      </c>
      <c r="H1346" s="14" t="s">
        <v>26</v>
      </c>
      <c r="I1346" s="14" t="s">
        <v>2267</v>
      </c>
      <c r="J1346" s="14" t="s">
        <v>80</v>
      </c>
      <c r="K1346" s="14" t="s">
        <v>55</v>
      </c>
      <c r="L1346" s="14" t="s">
        <v>44</v>
      </c>
      <c r="M1346" s="14" t="s">
        <v>64</v>
      </c>
      <c r="N1346" s="17">
        <v>76623</v>
      </c>
      <c r="O1346" s="17">
        <v>10728</v>
      </c>
      <c r="P1346" s="18">
        <v>81.3</v>
      </c>
      <c r="Q1346" s="15">
        <v>2</v>
      </c>
      <c r="R1346" s="19">
        <v>19</v>
      </c>
      <c r="S1346" s="19">
        <v>4</v>
      </c>
      <c r="T1346" s="15">
        <v>31</v>
      </c>
      <c r="U1346" s="19">
        <v>95</v>
      </c>
      <c r="V1346" s="14" t="s">
        <v>69</v>
      </c>
      <c r="W1346" s="14"/>
      <c r="X1346" s="14">
        <f>IF(V1346="Yes",1,0)</f>
        <v>1</v>
      </c>
      <c r="Y1346" s="14">
        <f>IF(H1346="Active",0,1)</f>
        <v>0</v>
      </c>
    </row>
    <row r="1347" spans="1:25" ht="18" customHeight="1" x14ac:dyDescent="0.35">
      <c r="A1347" s="14" t="s">
        <v>1233</v>
      </c>
      <c r="B1347" s="14" t="s">
        <v>422</v>
      </c>
      <c r="C1347" s="14" t="s">
        <v>34</v>
      </c>
      <c r="D1347" s="15">
        <v>53</v>
      </c>
      <c r="E1347" s="14" t="s">
        <v>52</v>
      </c>
      <c r="F1347" s="14" t="s">
        <v>90</v>
      </c>
      <c r="G1347" s="16">
        <v>45527</v>
      </c>
      <c r="H1347" s="14" t="s">
        <v>26</v>
      </c>
      <c r="I1347" s="14" t="s">
        <v>2267</v>
      </c>
      <c r="J1347" s="14" t="s">
        <v>2269</v>
      </c>
      <c r="K1347" s="14" t="s">
        <v>73</v>
      </c>
      <c r="L1347" s="14" t="s">
        <v>68</v>
      </c>
      <c r="M1347" s="14" t="s">
        <v>60</v>
      </c>
      <c r="N1347" s="17">
        <v>156057</v>
      </c>
      <c r="O1347" s="17">
        <v>36562</v>
      </c>
      <c r="P1347" s="18">
        <v>98.7</v>
      </c>
      <c r="Q1347" s="15">
        <v>5</v>
      </c>
      <c r="R1347" s="19">
        <v>29</v>
      </c>
      <c r="S1347" s="19">
        <v>5</v>
      </c>
      <c r="T1347" s="15">
        <v>15</v>
      </c>
      <c r="U1347" s="19">
        <v>95</v>
      </c>
      <c r="V1347" s="14" t="s">
        <v>31</v>
      </c>
      <c r="W1347" s="14"/>
      <c r="X1347" s="14">
        <f>IF(V1347="Yes",1,0)</f>
        <v>0</v>
      </c>
      <c r="Y1347" s="14">
        <f>IF(H1347="Active",0,1)</f>
        <v>0</v>
      </c>
    </row>
    <row r="1348" spans="1:25" ht="18" customHeight="1" x14ac:dyDescent="0.35">
      <c r="A1348" s="14" t="s">
        <v>2198</v>
      </c>
      <c r="B1348" s="14" t="s">
        <v>134</v>
      </c>
      <c r="C1348" s="14" t="s">
        <v>34</v>
      </c>
      <c r="D1348" s="15">
        <v>22</v>
      </c>
      <c r="E1348" s="14" t="s">
        <v>2304</v>
      </c>
      <c r="F1348" s="14" t="s">
        <v>76</v>
      </c>
      <c r="G1348" s="16">
        <v>45527</v>
      </c>
      <c r="H1348" s="14" t="s">
        <v>26</v>
      </c>
      <c r="I1348" s="14" t="s">
        <v>2267</v>
      </c>
      <c r="J1348" s="14" t="s">
        <v>2268</v>
      </c>
      <c r="K1348" s="14" t="s">
        <v>28</v>
      </c>
      <c r="L1348" s="14" t="s">
        <v>68</v>
      </c>
      <c r="M1348" s="14" t="s">
        <v>39</v>
      </c>
      <c r="N1348" s="17">
        <v>124077</v>
      </c>
      <c r="O1348" s="17">
        <v>22604</v>
      </c>
      <c r="P1348" s="18">
        <v>80.2</v>
      </c>
      <c r="Q1348" s="15">
        <v>4</v>
      </c>
      <c r="R1348" s="19">
        <v>20</v>
      </c>
      <c r="S1348" s="19">
        <v>4</v>
      </c>
      <c r="T1348" s="15">
        <v>21</v>
      </c>
      <c r="U1348" s="19">
        <v>85</v>
      </c>
      <c r="V1348" s="14" t="s">
        <v>31</v>
      </c>
      <c r="W1348" s="14"/>
      <c r="X1348" s="14">
        <f>IF(V1348="Yes",1,0)</f>
        <v>0</v>
      </c>
      <c r="Y1348" s="14">
        <f>IF(H1348="Active",0,1)</f>
        <v>0</v>
      </c>
    </row>
    <row r="1349" spans="1:25" ht="18" customHeight="1" x14ac:dyDescent="0.35">
      <c r="A1349" s="14" t="s">
        <v>233</v>
      </c>
      <c r="B1349" s="14" t="s">
        <v>234</v>
      </c>
      <c r="C1349" s="14" t="s">
        <v>25</v>
      </c>
      <c r="D1349" s="15">
        <v>44</v>
      </c>
      <c r="E1349" s="14" t="s">
        <v>93</v>
      </c>
      <c r="F1349" s="14" t="s">
        <v>43</v>
      </c>
      <c r="G1349" s="16">
        <v>45526</v>
      </c>
      <c r="H1349" s="14" t="s">
        <v>26</v>
      </c>
      <c r="I1349" s="14" t="s">
        <v>36</v>
      </c>
      <c r="J1349" s="14" t="s">
        <v>80</v>
      </c>
      <c r="K1349" s="14" t="s">
        <v>73</v>
      </c>
      <c r="L1349" s="14" t="s">
        <v>87</v>
      </c>
      <c r="M1349" s="14" t="s">
        <v>60</v>
      </c>
      <c r="N1349" s="17">
        <v>196373</v>
      </c>
      <c r="O1349" s="17">
        <v>14258</v>
      </c>
      <c r="P1349" s="18">
        <v>86.6</v>
      </c>
      <c r="Q1349" s="15">
        <v>5</v>
      </c>
      <c r="R1349" s="19">
        <v>28</v>
      </c>
      <c r="S1349" s="19">
        <v>2</v>
      </c>
      <c r="T1349" s="15">
        <v>5</v>
      </c>
      <c r="U1349" s="19">
        <v>94</v>
      </c>
      <c r="V1349" s="14" t="s">
        <v>31</v>
      </c>
      <c r="W1349" s="14"/>
      <c r="X1349" s="14">
        <f>IF(V1349="Yes",1,0)</f>
        <v>0</v>
      </c>
      <c r="Y1349" s="14">
        <f>IF(H1349="Active",0,1)</f>
        <v>0</v>
      </c>
    </row>
    <row r="1350" spans="1:25" ht="18" customHeight="1" x14ac:dyDescent="0.35">
      <c r="A1350" s="14" t="s">
        <v>641</v>
      </c>
      <c r="B1350" s="14" t="s">
        <v>329</v>
      </c>
      <c r="C1350" s="14" t="s">
        <v>34</v>
      </c>
      <c r="D1350" s="15">
        <v>52</v>
      </c>
      <c r="E1350" s="14" t="s">
        <v>63</v>
      </c>
      <c r="F1350" s="14" t="s">
        <v>12</v>
      </c>
      <c r="G1350" s="16">
        <v>45526</v>
      </c>
      <c r="H1350" s="14" t="s">
        <v>54</v>
      </c>
      <c r="I1350" s="14" t="s">
        <v>2267</v>
      </c>
      <c r="J1350" s="14" t="s">
        <v>2270</v>
      </c>
      <c r="K1350" s="14" t="s">
        <v>55</v>
      </c>
      <c r="L1350" s="14" t="s">
        <v>44</v>
      </c>
      <c r="M1350" s="14" t="s">
        <v>30</v>
      </c>
      <c r="N1350" s="17">
        <v>122917</v>
      </c>
      <c r="O1350" s="17">
        <v>17174</v>
      </c>
      <c r="P1350" s="18">
        <v>89.5</v>
      </c>
      <c r="Q1350" s="15">
        <v>0</v>
      </c>
      <c r="R1350" s="19">
        <v>7</v>
      </c>
      <c r="S1350" s="19">
        <v>1</v>
      </c>
      <c r="T1350" s="15">
        <v>25</v>
      </c>
      <c r="U1350" s="19">
        <v>90</v>
      </c>
      <c r="V1350" s="14" t="s">
        <v>31</v>
      </c>
      <c r="W1350" s="14" t="s">
        <v>205</v>
      </c>
      <c r="X1350" s="14">
        <f>IF(V1350="Yes",1,0)</f>
        <v>0</v>
      </c>
      <c r="Y1350" s="14">
        <f>IF(H1350="Active",0,1)</f>
        <v>1</v>
      </c>
    </row>
    <row r="1351" spans="1:25" ht="18" customHeight="1" x14ac:dyDescent="0.35">
      <c r="A1351" s="14" t="s">
        <v>1810</v>
      </c>
      <c r="B1351" s="14" t="s">
        <v>537</v>
      </c>
      <c r="C1351" s="14" t="s">
        <v>25</v>
      </c>
      <c r="D1351" s="15">
        <v>33</v>
      </c>
      <c r="E1351" s="14" t="s">
        <v>63</v>
      </c>
      <c r="F1351" s="14" t="s">
        <v>76</v>
      </c>
      <c r="G1351" s="16">
        <v>45526</v>
      </c>
      <c r="H1351" s="14" t="s">
        <v>26</v>
      </c>
      <c r="I1351" s="14" t="s">
        <v>36</v>
      </c>
      <c r="J1351" s="14" t="s">
        <v>2269</v>
      </c>
      <c r="K1351" s="14" t="s">
        <v>37</v>
      </c>
      <c r="L1351" s="14" t="s">
        <v>38</v>
      </c>
      <c r="M1351" s="14" t="s">
        <v>30</v>
      </c>
      <c r="N1351" s="17">
        <v>228762</v>
      </c>
      <c r="O1351" s="17">
        <v>6352</v>
      </c>
      <c r="P1351" s="18">
        <v>97.9</v>
      </c>
      <c r="Q1351" s="15">
        <v>7</v>
      </c>
      <c r="R1351" s="19">
        <v>13</v>
      </c>
      <c r="S1351" s="19">
        <v>2</v>
      </c>
      <c r="T1351" s="15">
        <v>40</v>
      </c>
      <c r="U1351" s="19">
        <v>69</v>
      </c>
      <c r="V1351" s="14" t="s">
        <v>31</v>
      </c>
      <c r="W1351" s="14"/>
      <c r="X1351" s="14">
        <f>IF(V1351="Yes",1,0)</f>
        <v>0</v>
      </c>
      <c r="Y1351" s="14">
        <f>IF(H1351="Active",0,1)</f>
        <v>0</v>
      </c>
    </row>
    <row r="1352" spans="1:25" ht="18" customHeight="1" x14ac:dyDescent="0.35">
      <c r="A1352" s="8" t="s">
        <v>2037</v>
      </c>
      <c r="B1352" s="8" t="s">
        <v>186</v>
      </c>
      <c r="C1352" s="8" t="s">
        <v>25</v>
      </c>
      <c r="D1352" s="9">
        <v>23</v>
      </c>
      <c r="E1352" s="8" t="s">
        <v>109</v>
      </c>
      <c r="F1352" s="8" t="s">
        <v>76</v>
      </c>
      <c r="G1352" s="10">
        <v>45526</v>
      </c>
      <c r="H1352" s="8" t="s">
        <v>26</v>
      </c>
      <c r="I1352" s="8" t="s">
        <v>2267</v>
      </c>
      <c r="J1352" s="8" t="s">
        <v>80</v>
      </c>
      <c r="K1352" s="8" t="s">
        <v>73</v>
      </c>
      <c r="L1352" s="8" t="s">
        <v>116</v>
      </c>
      <c r="M1352" s="8" t="s">
        <v>64</v>
      </c>
      <c r="N1352" s="11">
        <v>124506</v>
      </c>
      <c r="O1352" s="11">
        <v>48775</v>
      </c>
      <c r="P1352" s="12">
        <v>96.2</v>
      </c>
      <c r="Q1352" s="9">
        <v>8</v>
      </c>
      <c r="R1352" s="13">
        <v>21</v>
      </c>
      <c r="S1352" s="13">
        <v>4</v>
      </c>
      <c r="T1352" s="9">
        <v>21</v>
      </c>
      <c r="U1352" s="13">
        <v>81</v>
      </c>
      <c r="V1352" s="8" t="s">
        <v>31</v>
      </c>
      <c r="W1352" s="8"/>
      <c r="X1352" s="22">
        <f>IF(V1352="Yes",1,0)</f>
        <v>0</v>
      </c>
      <c r="Y1352" s="22">
        <f>IF(H1352="Active",0,1)</f>
        <v>0</v>
      </c>
    </row>
    <row r="1353" spans="1:25" ht="18" customHeight="1" x14ac:dyDescent="0.35">
      <c r="A1353" s="14" t="s">
        <v>2124</v>
      </c>
      <c r="B1353" s="14" t="s">
        <v>82</v>
      </c>
      <c r="C1353" s="14" t="s">
        <v>25</v>
      </c>
      <c r="D1353" s="15">
        <v>22</v>
      </c>
      <c r="E1353" s="14" t="s">
        <v>67</v>
      </c>
      <c r="F1353" s="14" t="s">
        <v>79</v>
      </c>
      <c r="G1353" s="16">
        <v>45526</v>
      </c>
      <c r="H1353" s="14" t="s">
        <v>26</v>
      </c>
      <c r="I1353" s="14" t="s">
        <v>36</v>
      </c>
      <c r="J1353" s="14" t="s">
        <v>80</v>
      </c>
      <c r="K1353" s="14" t="s">
        <v>73</v>
      </c>
      <c r="L1353" s="14" t="s">
        <v>87</v>
      </c>
      <c r="M1353" s="14" t="s">
        <v>64</v>
      </c>
      <c r="N1353" s="17">
        <v>43770</v>
      </c>
      <c r="O1353" s="17">
        <v>8520</v>
      </c>
      <c r="P1353" s="18">
        <v>88</v>
      </c>
      <c r="Q1353" s="15">
        <v>4</v>
      </c>
      <c r="R1353" s="19">
        <v>22</v>
      </c>
      <c r="S1353" s="19">
        <v>5</v>
      </c>
      <c r="T1353" s="15">
        <v>22</v>
      </c>
      <c r="U1353" s="19">
        <v>84</v>
      </c>
      <c r="V1353" s="14" t="s">
        <v>31</v>
      </c>
      <c r="W1353" s="14"/>
      <c r="X1353" s="14">
        <f>IF(V1353="Yes",1,0)</f>
        <v>0</v>
      </c>
      <c r="Y1353" s="14">
        <f>IF(H1353="Active",0,1)</f>
        <v>0</v>
      </c>
    </row>
    <row r="1354" spans="1:25" ht="18" customHeight="1" x14ac:dyDescent="0.35">
      <c r="A1354" s="8" t="s">
        <v>747</v>
      </c>
      <c r="B1354" s="8" t="s">
        <v>267</v>
      </c>
      <c r="C1354" s="8" t="s">
        <v>25</v>
      </c>
      <c r="D1354" s="9">
        <v>23</v>
      </c>
      <c r="E1354" s="8" t="s">
        <v>86</v>
      </c>
      <c r="F1354" s="8" t="s">
        <v>72</v>
      </c>
      <c r="G1354" s="10">
        <v>45525</v>
      </c>
      <c r="H1354" s="8" t="s">
        <v>26</v>
      </c>
      <c r="I1354" s="8" t="s">
        <v>27</v>
      </c>
      <c r="J1354" s="8" t="s">
        <v>2269</v>
      </c>
      <c r="K1354" s="8" t="s">
        <v>73</v>
      </c>
      <c r="L1354" s="8" t="s">
        <v>38</v>
      </c>
      <c r="M1354" s="8" t="s">
        <v>39</v>
      </c>
      <c r="N1354" s="11">
        <v>234021</v>
      </c>
      <c r="O1354" s="11">
        <v>13311</v>
      </c>
      <c r="P1354" s="12">
        <v>98.8</v>
      </c>
      <c r="Q1354" s="9">
        <v>7</v>
      </c>
      <c r="R1354" s="13">
        <v>20</v>
      </c>
      <c r="S1354" s="13">
        <v>1</v>
      </c>
      <c r="T1354" s="9">
        <v>28</v>
      </c>
      <c r="U1354" s="13">
        <v>88</v>
      </c>
      <c r="V1354" s="8" t="s">
        <v>31</v>
      </c>
      <c r="W1354" s="8"/>
      <c r="X1354" s="22">
        <f>IF(V1354="Yes",1,0)</f>
        <v>0</v>
      </c>
      <c r="Y1354" s="22">
        <f>IF(H1354="Active",0,1)</f>
        <v>0</v>
      </c>
    </row>
    <row r="1355" spans="1:25" ht="18" customHeight="1" x14ac:dyDescent="0.35">
      <c r="A1355" s="14" t="s">
        <v>1011</v>
      </c>
      <c r="B1355" s="14" t="s">
        <v>138</v>
      </c>
      <c r="C1355" s="14" t="s">
        <v>34</v>
      </c>
      <c r="D1355" s="15">
        <v>28</v>
      </c>
      <c r="E1355" s="14" t="s">
        <v>93</v>
      </c>
      <c r="F1355" s="14" t="s">
        <v>79</v>
      </c>
      <c r="G1355" s="16">
        <v>45525</v>
      </c>
      <c r="H1355" s="14" t="s">
        <v>26</v>
      </c>
      <c r="I1355" s="14" t="s">
        <v>2267</v>
      </c>
      <c r="J1355" s="14" t="s">
        <v>80</v>
      </c>
      <c r="K1355" s="14" t="s">
        <v>55</v>
      </c>
      <c r="L1355" s="14" t="s">
        <v>116</v>
      </c>
      <c r="M1355" s="14" t="s">
        <v>39</v>
      </c>
      <c r="N1355" s="17">
        <v>243331</v>
      </c>
      <c r="O1355" s="17">
        <v>24135</v>
      </c>
      <c r="P1355" s="18">
        <v>98.7</v>
      </c>
      <c r="Q1355" s="15">
        <v>7</v>
      </c>
      <c r="R1355" s="19">
        <v>14</v>
      </c>
      <c r="S1355" s="19">
        <v>2</v>
      </c>
      <c r="T1355" s="15">
        <v>30</v>
      </c>
      <c r="U1355" s="19">
        <v>86</v>
      </c>
      <c r="V1355" s="14" t="s">
        <v>31</v>
      </c>
      <c r="W1355" s="14"/>
      <c r="X1355" s="14">
        <f>IF(V1355="Yes",1,0)</f>
        <v>0</v>
      </c>
      <c r="Y1355" s="14">
        <f>IF(H1355="Active",0,1)</f>
        <v>0</v>
      </c>
    </row>
    <row r="1356" spans="1:25" ht="18" customHeight="1" x14ac:dyDescent="0.35">
      <c r="A1356" s="8" t="s">
        <v>857</v>
      </c>
      <c r="B1356" s="8" t="s">
        <v>234</v>
      </c>
      <c r="C1356" s="8" t="s">
        <v>25</v>
      </c>
      <c r="D1356" s="9">
        <v>29</v>
      </c>
      <c r="E1356" s="8" t="s">
        <v>63</v>
      </c>
      <c r="F1356" s="8" t="s">
        <v>12</v>
      </c>
      <c r="G1356" s="10">
        <v>45524</v>
      </c>
      <c r="H1356" s="8" t="s">
        <v>26</v>
      </c>
      <c r="I1356" s="8" t="s">
        <v>2267</v>
      </c>
      <c r="J1356" s="8" t="s">
        <v>2268</v>
      </c>
      <c r="K1356" s="8" t="s">
        <v>37</v>
      </c>
      <c r="L1356" s="8" t="s">
        <v>38</v>
      </c>
      <c r="M1356" s="8" t="s">
        <v>45</v>
      </c>
      <c r="N1356" s="11">
        <v>231236</v>
      </c>
      <c r="O1356" s="11">
        <v>37199</v>
      </c>
      <c r="P1356" s="12">
        <v>99.6</v>
      </c>
      <c r="Q1356" s="9">
        <v>0</v>
      </c>
      <c r="R1356" s="13">
        <v>0</v>
      </c>
      <c r="S1356" s="13">
        <v>1</v>
      </c>
      <c r="T1356" s="9">
        <v>22</v>
      </c>
      <c r="U1356" s="13">
        <v>65</v>
      </c>
      <c r="V1356" s="8" t="s">
        <v>31</v>
      </c>
      <c r="W1356" s="8"/>
      <c r="X1356" s="22">
        <f>IF(V1356="Yes",1,0)</f>
        <v>0</v>
      </c>
      <c r="Y1356" s="22">
        <f>IF(H1356="Active",0,1)</f>
        <v>0</v>
      </c>
    </row>
    <row r="1357" spans="1:25" ht="18" customHeight="1" x14ac:dyDescent="0.35">
      <c r="A1357" s="14" t="s">
        <v>1614</v>
      </c>
      <c r="B1357" s="14" t="s">
        <v>514</v>
      </c>
      <c r="C1357" s="14" t="s">
        <v>34</v>
      </c>
      <c r="D1357" s="15">
        <v>58</v>
      </c>
      <c r="E1357" s="14" t="s">
        <v>109</v>
      </c>
      <c r="F1357" s="14" t="s">
        <v>90</v>
      </c>
      <c r="G1357" s="16">
        <v>45524</v>
      </c>
      <c r="H1357" s="14" t="s">
        <v>54</v>
      </c>
      <c r="I1357" s="14" t="s">
        <v>36</v>
      </c>
      <c r="J1357" s="14" t="s">
        <v>80</v>
      </c>
      <c r="K1357" s="14" t="s">
        <v>55</v>
      </c>
      <c r="L1357" s="14" t="s">
        <v>56</v>
      </c>
      <c r="M1357" s="14" t="s">
        <v>64</v>
      </c>
      <c r="N1357" s="17">
        <v>102954</v>
      </c>
      <c r="O1357" s="17">
        <v>30207</v>
      </c>
      <c r="P1357" s="18">
        <v>83.4</v>
      </c>
      <c r="Q1357" s="15">
        <v>3</v>
      </c>
      <c r="R1357" s="19">
        <v>25</v>
      </c>
      <c r="S1357" s="19">
        <v>3</v>
      </c>
      <c r="T1357" s="15">
        <v>30</v>
      </c>
      <c r="U1357" s="19">
        <v>96</v>
      </c>
      <c r="V1357" s="14" t="s">
        <v>31</v>
      </c>
      <c r="W1357" s="14" t="s">
        <v>96</v>
      </c>
      <c r="X1357" s="14">
        <f>IF(V1357="Yes",1,0)</f>
        <v>0</v>
      </c>
      <c r="Y1357" s="14">
        <f>IF(H1357="Active",0,1)</f>
        <v>1</v>
      </c>
    </row>
    <row r="1358" spans="1:25" ht="18" customHeight="1" x14ac:dyDescent="0.35">
      <c r="A1358" s="14" t="s">
        <v>2232</v>
      </c>
      <c r="B1358" s="14" t="s">
        <v>458</v>
      </c>
      <c r="C1358" s="14" t="s">
        <v>25</v>
      </c>
      <c r="D1358" s="15">
        <v>36</v>
      </c>
      <c r="E1358" s="14" t="s">
        <v>2303</v>
      </c>
      <c r="F1358" s="14" t="s">
        <v>79</v>
      </c>
      <c r="G1358" s="16">
        <v>45523</v>
      </c>
      <c r="H1358" s="14" t="s">
        <v>26</v>
      </c>
      <c r="I1358" s="14" t="s">
        <v>27</v>
      </c>
      <c r="J1358" s="14" t="s">
        <v>80</v>
      </c>
      <c r="K1358" s="14" t="s">
        <v>73</v>
      </c>
      <c r="L1358" s="14" t="s">
        <v>56</v>
      </c>
      <c r="M1358" s="14" t="s">
        <v>64</v>
      </c>
      <c r="N1358" s="17">
        <v>121406</v>
      </c>
      <c r="O1358" s="17">
        <v>33339</v>
      </c>
      <c r="P1358" s="18">
        <v>95.2</v>
      </c>
      <c r="Q1358" s="15">
        <v>9</v>
      </c>
      <c r="R1358" s="19">
        <v>16</v>
      </c>
      <c r="S1358" s="19">
        <v>3</v>
      </c>
      <c r="T1358" s="15">
        <v>23</v>
      </c>
      <c r="U1358" s="19">
        <v>80</v>
      </c>
      <c r="V1358" s="14" t="s">
        <v>31</v>
      </c>
      <c r="W1358" s="14"/>
      <c r="X1358" s="14">
        <f>IF(V1358="Yes",1,0)</f>
        <v>0</v>
      </c>
      <c r="Y1358" s="14">
        <f>IF(H1358="Active",0,1)</f>
        <v>0</v>
      </c>
    </row>
    <row r="1359" spans="1:25" ht="18" customHeight="1" x14ac:dyDescent="0.35">
      <c r="A1359" s="14" t="s">
        <v>128</v>
      </c>
      <c r="B1359" s="14" t="s">
        <v>129</v>
      </c>
      <c r="C1359" s="14" t="s">
        <v>34</v>
      </c>
      <c r="D1359" s="15">
        <v>54</v>
      </c>
      <c r="E1359" s="14" t="s">
        <v>42</v>
      </c>
      <c r="F1359" s="14" t="s">
        <v>12</v>
      </c>
      <c r="G1359" s="16">
        <v>45522</v>
      </c>
      <c r="H1359" s="14" t="s">
        <v>26</v>
      </c>
      <c r="I1359" s="14" t="s">
        <v>36</v>
      </c>
      <c r="J1359" s="14" t="s">
        <v>2269</v>
      </c>
      <c r="K1359" s="14" t="s">
        <v>2271</v>
      </c>
      <c r="L1359" s="14" t="s">
        <v>56</v>
      </c>
      <c r="M1359" s="14" t="s">
        <v>39</v>
      </c>
      <c r="N1359" s="17">
        <v>151995</v>
      </c>
      <c r="O1359" s="17">
        <v>21703</v>
      </c>
      <c r="P1359" s="18">
        <v>90.6</v>
      </c>
      <c r="Q1359" s="15">
        <v>3</v>
      </c>
      <c r="R1359" s="19">
        <v>0</v>
      </c>
      <c r="S1359" s="19">
        <v>2</v>
      </c>
      <c r="T1359" s="15">
        <v>6</v>
      </c>
      <c r="U1359" s="19">
        <v>96</v>
      </c>
      <c r="V1359" s="14" t="s">
        <v>31</v>
      </c>
      <c r="W1359" s="14"/>
      <c r="X1359" s="14">
        <f>IF(V1359="Yes",1,0)</f>
        <v>0</v>
      </c>
      <c r="Y1359" s="14">
        <f>IF(H1359="Active",0,1)</f>
        <v>0</v>
      </c>
    </row>
    <row r="1360" spans="1:25" ht="18" customHeight="1" x14ac:dyDescent="0.35">
      <c r="A1360" s="14" t="s">
        <v>206</v>
      </c>
      <c r="B1360" s="14" t="s">
        <v>207</v>
      </c>
      <c r="C1360" s="14" t="s">
        <v>34</v>
      </c>
      <c r="D1360" s="15">
        <v>33</v>
      </c>
      <c r="E1360" s="14" t="s">
        <v>42</v>
      </c>
      <c r="F1360" s="14" t="s">
        <v>79</v>
      </c>
      <c r="G1360" s="16">
        <v>45522</v>
      </c>
      <c r="H1360" s="14" t="s">
        <v>26</v>
      </c>
      <c r="I1360" s="14" t="s">
        <v>27</v>
      </c>
      <c r="J1360" s="14" t="s">
        <v>2269</v>
      </c>
      <c r="K1360" s="14" t="s">
        <v>2271</v>
      </c>
      <c r="L1360" s="14" t="s">
        <v>38</v>
      </c>
      <c r="M1360" s="14" t="s">
        <v>60</v>
      </c>
      <c r="N1360" s="17">
        <v>83229</v>
      </c>
      <c r="O1360" s="17">
        <v>5103</v>
      </c>
      <c r="P1360" s="18">
        <v>88.2</v>
      </c>
      <c r="Q1360" s="15">
        <v>5</v>
      </c>
      <c r="R1360" s="19">
        <v>30</v>
      </c>
      <c r="S1360" s="19">
        <v>2</v>
      </c>
      <c r="T1360" s="15">
        <v>35</v>
      </c>
      <c r="U1360" s="19">
        <v>89</v>
      </c>
      <c r="V1360" s="14" t="s">
        <v>31</v>
      </c>
      <c r="W1360" s="14"/>
      <c r="X1360" s="14">
        <f>IF(V1360="Yes",1,0)</f>
        <v>0</v>
      </c>
      <c r="Y1360" s="14">
        <f>IF(H1360="Active",0,1)</f>
        <v>0</v>
      </c>
    </row>
    <row r="1361" spans="1:25" ht="18" customHeight="1" x14ac:dyDescent="0.35">
      <c r="A1361" s="8" t="s">
        <v>381</v>
      </c>
      <c r="B1361" s="8" t="s">
        <v>379</v>
      </c>
      <c r="C1361" s="8" t="s">
        <v>25</v>
      </c>
      <c r="D1361" s="9">
        <v>48</v>
      </c>
      <c r="E1361" s="8" t="s">
        <v>42</v>
      </c>
      <c r="F1361" s="8" t="s">
        <v>12</v>
      </c>
      <c r="G1361" s="10">
        <v>45522</v>
      </c>
      <c r="H1361" s="8" t="s">
        <v>26</v>
      </c>
      <c r="I1361" s="8" t="s">
        <v>27</v>
      </c>
      <c r="J1361" s="8" t="s">
        <v>2269</v>
      </c>
      <c r="K1361" s="8" t="s">
        <v>73</v>
      </c>
      <c r="L1361" s="8" t="s">
        <v>49</v>
      </c>
      <c r="M1361" s="8" t="s">
        <v>64</v>
      </c>
      <c r="N1361" s="11">
        <v>147154</v>
      </c>
      <c r="O1361" s="11">
        <v>39649</v>
      </c>
      <c r="P1361" s="12">
        <v>80.8</v>
      </c>
      <c r="Q1361" s="9">
        <v>6</v>
      </c>
      <c r="R1361" s="13">
        <v>8</v>
      </c>
      <c r="S1361" s="13">
        <v>1</v>
      </c>
      <c r="T1361" s="9">
        <v>16</v>
      </c>
      <c r="U1361" s="13">
        <v>70</v>
      </c>
      <c r="V1361" s="8" t="s">
        <v>31</v>
      </c>
      <c r="W1361" s="8"/>
      <c r="X1361" s="22">
        <f>IF(V1361="Yes",1,0)</f>
        <v>0</v>
      </c>
      <c r="Y1361" s="22">
        <f>IF(H1361="Active",0,1)</f>
        <v>0</v>
      </c>
    </row>
    <row r="1362" spans="1:25" ht="18" customHeight="1" x14ac:dyDescent="0.35">
      <c r="A1362" s="14" t="s">
        <v>897</v>
      </c>
      <c r="B1362" s="14" t="s">
        <v>160</v>
      </c>
      <c r="C1362" s="14" t="s">
        <v>25</v>
      </c>
      <c r="D1362" s="15">
        <v>48</v>
      </c>
      <c r="E1362" s="14" t="s">
        <v>86</v>
      </c>
      <c r="F1362" s="14" t="s">
        <v>79</v>
      </c>
      <c r="G1362" s="16">
        <v>45522</v>
      </c>
      <c r="H1362" s="14" t="s">
        <v>26</v>
      </c>
      <c r="I1362" s="14" t="s">
        <v>2267</v>
      </c>
      <c r="J1362" s="14" t="s">
        <v>48</v>
      </c>
      <c r="K1362" s="14" t="s">
        <v>55</v>
      </c>
      <c r="L1362" s="14" t="s">
        <v>68</v>
      </c>
      <c r="M1362" s="14" t="s">
        <v>64</v>
      </c>
      <c r="N1362" s="17">
        <v>232993</v>
      </c>
      <c r="O1362" s="17">
        <v>31800</v>
      </c>
      <c r="P1362" s="18">
        <v>95.4</v>
      </c>
      <c r="Q1362" s="15">
        <v>0</v>
      </c>
      <c r="R1362" s="19">
        <v>19</v>
      </c>
      <c r="S1362" s="19">
        <v>2</v>
      </c>
      <c r="T1362" s="15">
        <v>31</v>
      </c>
      <c r="U1362" s="19">
        <v>100</v>
      </c>
      <c r="V1362" s="14" t="s">
        <v>31</v>
      </c>
      <c r="W1362" s="14"/>
      <c r="X1362" s="14">
        <f>IF(V1362="Yes",1,0)</f>
        <v>0</v>
      </c>
      <c r="Y1362" s="14">
        <f>IF(H1362="Active",0,1)</f>
        <v>0</v>
      </c>
    </row>
    <row r="1363" spans="1:25" ht="18" customHeight="1" x14ac:dyDescent="0.35">
      <c r="A1363" s="14" t="s">
        <v>1872</v>
      </c>
      <c r="B1363" s="14" t="s">
        <v>877</v>
      </c>
      <c r="C1363" s="14" t="s">
        <v>25</v>
      </c>
      <c r="D1363" s="15">
        <v>36</v>
      </c>
      <c r="E1363" s="14" t="s">
        <v>2303</v>
      </c>
      <c r="F1363" s="14" t="s">
        <v>12</v>
      </c>
      <c r="G1363" s="16">
        <v>45522</v>
      </c>
      <c r="H1363" s="14" t="s">
        <v>26</v>
      </c>
      <c r="I1363" s="14" t="s">
        <v>2267</v>
      </c>
      <c r="J1363" s="14" t="s">
        <v>48</v>
      </c>
      <c r="K1363" s="14" t="s">
        <v>2271</v>
      </c>
      <c r="L1363" s="14" t="s">
        <v>56</v>
      </c>
      <c r="M1363" s="14" t="s">
        <v>64</v>
      </c>
      <c r="N1363" s="17">
        <v>148136</v>
      </c>
      <c r="O1363" s="17">
        <v>36071</v>
      </c>
      <c r="P1363" s="18">
        <v>97.2</v>
      </c>
      <c r="Q1363" s="15">
        <v>5</v>
      </c>
      <c r="R1363" s="19">
        <v>23</v>
      </c>
      <c r="S1363" s="19">
        <v>3</v>
      </c>
      <c r="T1363" s="15">
        <v>9</v>
      </c>
      <c r="U1363" s="19">
        <v>81</v>
      </c>
      <c r="V1363" s="14" t="s">
        <v>31</v>
      </c>
      <c r="W1363" s="14"/>
      <c r="X1363" s="14">
        <f>IF(V1363="Yes",1,0)</f>
        <v>0</v>
      </c>
      <c r="Y1363" s="14">
        <f>IF(H1363="Active",0,1)</f>
        <v>0</v>
      </c>
    </row>
    <row r="1364" spans="1:25" ht="18" customHeight="1" x14ac:dyDescent="0.35">
      <c r="A1364" s="8" t="s">
        <v>1587</v>
      </c>
      <c r="B1364" s="8" t="s">
        <v>314</v>
      </c>
      <c r="C1364" s="8" t="s">
        <v>25</v>
      </c>
      <c r="D1364" s="9">
        <v>28</v>
      </c>
      <c r="E1364" s="8" t="s">
        <v>42</v>
      </c>
      <c r="F1364" s="8" t="s">
        <v>72</v>
      </c>
      <c r="G1364" s="10">
        <v>45521</v>
      </c>
      <c r="H1364" s="8" t="s">
        <v>26</v>
      </c>
      <c r="I1364" s="8" t="s">
        <v>36</v>
      </c>
      <c r="J1364" s="8" t="s">
        <v>48</v>
      </c>
      <c r="K1364" s="8" t="s">
        <v>28</v>
      </c>
      <c r="L1364" s="8" t="s">
        <v>116</v>
      </c>
      <c r="M1364" s="8" t="s">
        <v>39</v>
      </c>
      <c r="N1364" s="11">
        <v>167548</v>
      </c>
      <c r="O1364" s="11">
        <v>40187</v>
      </c>
      <c r="P1364" s="12">
        <v>81.7</v>
      </c>
      <c r="Q1364" s="9">
        <v>7</v>
      </c>
      <c r="R1364" s="13">
        <v>5</v>
      </c>
      <c r="S1364" s="13">
        <v>1</v>
      </c>
      <c r="T1364" s="9">
        <v>13</v>
      </c>
      <c r="U1364" s="13">
        <v>71</v>
      </c>
      <c r="V1364" s="8" t="s">
        <v>31</v>
      </c>
      <c r="W1364" s="8"/>
      <c r="X1364" s="22">
        <f>IF(V1364="Yes",1,0)</f>
        <v>0</v>
      </c>
      <c r="Y1364" s="22">
        <f>IF(H1364="Active",0,1)</f>
        <v>0</v>
      </c>
    </row>
    <row r="1365" spans="1:25" ht="18" customHeight="1" x14ac:dyDescent="0.35">
      <c r="A1365" s="14" t="s">
        <v>2154</v>
      </c>
      <c r="B1365" s="14" t="s">
        <v>497</v>
      </c>
      <c r="C1365" s="14" t="s">
        <v>34</v>
      </c>
      <c r="D1365" s="15">
        <v>48</v>
      </c>
      <c r="E1365" s="14" t="s">
        <v>86</v>
      </c>
      <c r="F1365" s="14" t="s">
        <v>90</v>
      </c>
      <c r="G1365" s="16">
        <v>45521</v>
      </c>
      <c r="H1365" s="14" t="s">
        <v>26</v>
      </c>
      <c r="I1365" s="14" t="s">
        <v>27</v>
      </c>
      <c r="J1365" s="14" t="s">
        <v>2268</v>
      </c>
      <c r="K1365" s="14" t="s">
        <v>55</v>
      </c>
      <c r="L1365" s="14" t="s">
        <v>29</v>
      </c>
      <c r="M1365" s="14" t="s">
        <v>64</v>
      </c>
      <c r="N1365" s="17">
        <v>63235</v>
      </c>
      <c r="O1365" s="17">
        <v>16079</v>
      </c>
      <c r="P1365" s="18">
        <v>82</v>
      </c>
      <c r="Q1365" s="15">
        <v>2</v>
      </c>
      <c r="R1365" s="19">
        <v>16</v>
      </c>
      <c r="S1365" s="19">
        <v>5</v>
      </c>
      <c r="T1365" s="15">
        <v>9</v>
      </c>
      <c r="U1365" s="19">
        <v>83</v>
      </c>
      <c r="V1365" s="14" t="s">
        <v>31</v>
      </c>
      <c r="W1365" s="14"/>
      <c r="X1365" s="14">
        <f>IF(V1365="Yes",1,0)</f>
        <v>0</v>
      </c>
      <c r="Y1365" s="14">
        <f>IF(H1365="Active",0,1)</f>
        <v>0</v>
      </c>
    </row>
    <row r="1366" spans="1:25" ht="18" customHeight="1" x14ac:dyDescent="0.35">
      <c r="A1366" s="14" t="s">
        <v>442</v>
      </c>
      <c r="B1366" s="14" t="s">
        <v>443</v>
      </c>
      <c r="C1366" s="14" t="s">
        <v>25</v>
      </c>
      <c r="D1366" s="15">
        <v>29</v>
      </c>
      <c r="E1366" s="14" t="s">
        <v>67</v>
      </c>
      <c r="F1366" s="14" t="s">
        <v>43</v>
      </c>
      <c r="G1366" s="16">
        <v>45520</v>
      </c>
      <c r="H1366" s="14" t="s">
        <v>26</v>
      </c>
      <c r="I1366" s="14" t="s">
        <v>36</v>
      </c>
      <c r="J1366" s="14" t="s">
        <v>2270</v>
      </c>
      <c r="K1366" s="14" t="s">
        <v>37</v>
      </c>
      <c r="L1366" s="14" t="s">
        <v>29</v>
      </c>
      <c r="M1366" s="14" t="s">
        <v>64</v>
      </c>
      <c r="N1366" s="17">
        <v>241318</v>
      </c>
      <c r="O1366" s="17">
        <v>45482</v>
      </c>
      <c r="P1366" s="18">
        <v>84.5</v>
      </c>
      <c r="Q1366" s="15">
        <v>3</v>
      </c>
      <c r="R1366" s="19">
        <v>19</v>
      </c>
      <c r="S1366" s="19">
        <v>1</v>
      </c>
      <c r="T1366" s="15">
        <v>35</v>
      </c>
      <c r="U1366" s="19">
        <v>90</v>
      </c>
      <c r="V1366" s="14" t="s">
        <v>31</v>
      </c>
      <c r="W1366" s="14"/>
      <c r="X1366" s="14">
        <f>IF(V1366="Yes",1,0)</f>
        <v>0</v>
      </c>
      <c r="Y1366" s="14">
        <f>IF(H1366="Active",0,1)</f>
        <v>0</v>
      </c>
    </row>
    <row r="1367" spans="1:25" ht="18" customHeight="1" x14ac:dyDescent="0.35">
      <c r="A1367" s="14" t="s">
        <v>652</v>
      </c>
      <c r="B1367" s="14" t="s">
        <v>71</v>
      </c>
      <c r="C1367" s="14" t="s">
        <v>25</v>
      </c>
      <c r="D1367" s="15">
        <v>54</v>
      </c>
      <c r="E1367" s="14" t="s">
        <v>93</v>
      </c>
      <c r="F1367" s="14" t="s">
        <v>76</v>
      </c>
      <c r="G1367" s="16">
        <v>45520</v>
      </c>
      <c r="H1367" s="14" t="s">
        <v>26</v>
      </c>
      <c r="I1367" s="14" t="s">
        <v>2267</v>
      </c>
      <c r="J1367" s="14" t="s">
        <v>2268</v>
      </c>
      <c r="K1367" s="14" t="s">
        <v>55</v>
      </c>
      <c r="L1367" s="14" t="s">
        <v>56</v>
      </c>
      <c r="M1367" s="14" t="s">
        <v>45</v>
      </c>
      <c r="N1367" s="17">
        <v>223665</v>
      </c>
      <c r="O1367" s="17">
        <v>22122</v>
      </c>
      <c r="P1367" s="18">
        <v>99.6</v>
      </c>
      <c r="Q1367" s="15">
        <v>10</v>
      </c>
      <c r="R1367" s="19">
        <v>30</v>
      </c>
      <c r="S1367" s="19">
        <v>5</v>
      </c>
      <c r="T1367" s="15">
        <v>23</v>
      </c>
      <c r="U1367" s="19">
        <v>73</v>
      </c>
      <c r="V1367" s="14" t="s">
        <v>31</v>
      </c>
      <c r="W1367" s="14"/>
      <c r="X1367" s="14">
        <f>IF(V1367="Yes",1,0)</f>
        <v>0</v>
      </c>
      <c r="Y1367" s="14">
        <f>IF(H1367="Active",0,1)</f>
        <v>0</v>
      </c>
    </row>
    <row r="1368" spans="1:25" ht="18" customHeight="1" x14ac:dyDescent="0.35">
      <c r="A1368" s="14" t="s">
        <v>1892</v>
      </c>
      <c r="B1368" s="14" t="s">
        <v>293</v>
      </c>
      <c r="C1368" s="14" t="s">
        <v>34</v>
      </c>
      <c r="D1368" s="15">
        <v>30</v>
      </c>
      <c r="E1368" s="14" t="s">
        <v>67</v>
      </c>
      <c r="F1368" s="14" t="s">
        <v>53</v>
      </c>
      <c r="G1368" s="16">
        <v>45520</v>
      </c>
      <c r="H1368" s="14" t="s">
        <v>26</v>
      </c>
      <c r="I1368" s="14" t="s">
        <v>2267</v>
      </c>
      <c r="J1368" s="14" t="s">
        <v>48</v>
      </c>
      <c r="K1368" s="14" t="s">
        <v>73</v>
      </c>
      <c r="L1368" s="14" t="s">
        <v>49</v>
      </c>
      <c r="M1368" s="14" t="s">
        <v>64</v>
      </c>
      <c r="N1368" s="17">
        <v>163261</v>
      </c>
      <c r="O1368" s="17">
        <v>38978</v>
      </c>
      <c r="P1368" s="18">
        <v>93.2</v>
      </c>
      <c r="Q1368" s="15">
        <v>10</v>
      </c>
      <c r="R1368" s="19">
        <v>8</v>
      </c>
      <c r="S1368" s="19">
        <v>2</v>
      </c>
      <c r="T1368" s="15">
        <v>1</v>
      </c>
      <c r="U1368" s="19">
        <v>98</v>
      </c>
      <c r="V1368" s="14" t="s">
        <v>31</v>
      </c>
      <c r="W1368" s="14"/>
      <c r="X1368" s="14">
        <f>IF(V1368="Yes",1,0)</f>
        <v>0</v>
      </c>
      <c r="Y1368" s="14">
        <f>IF(H1368="Active",0,1)</f>
        <v>0</v>
      </c>
    </row>
    <row r="1369" spans="1:25" ht="18" customHeight="1" x14ac:dyDescent="0.35">
      <c r="A1369" s="8" t="s">
        <v>2151</v>
      </c>
      <c r="B1369" s="8" t="s">
        <v>41</v>
      </c>
      <c r="C1369" s="8" t="s">
        <v>25</v>
      </c>
      <c r="D1369" s="9">
        <v>29</v>
      </c>
      <c r="E1369" s="8" t="s">
        <v>52</v>
      </c>
      <c r="F1369" s="8" t="s">
        <v>35</v>
      </c>
      <c r="G1369" s="10">
        <v>45520</v>
      </c>
      <c r="H1369" s="8" t="s">
        <v>26</v>
      </c>
      <c r="I1369" s="8" t="s">
        <v>27</v>
      </c>
      <c r="J1369" s="8" t="s">
        <v>2269</v>
      </c>
      <c r="K1369" s="8" t="s">
        <v>37</v>
      </c>
      <c r="L1369" s="8" t="s">
        <v>49</v>
      </c>
      <c r="M1369" s="8" t="s">
        <v>60</v>
      </c>
      <c r="N1369" s="11">
        <v>228468</v>
      </c>
      <c r="O1369" s="11">
        <v>15234</v>
      </c>
      <c r="P1369" s="12">
        <v>86.8</v>
      </c>
      <c r="Q1369" s="9">
        <v>7</v>
      </c>
      <c r="R1369" s="13">
        <v>8</v>
      </c>
      <c r="S1369" s="13">
        <v>1</v>
      </c>
      <c r="T1369" s="9">
        <v>31</v>
      </c>
      <c r="U1369" s="13">
        <v>66</v>
      </c>
      <c r="V1369" s="8" t="s">
        <v>31</v>
      </c>
      <c r="W1369" s="8"/>
      <c r="X1369" s="22">
        <f>IF(V1369="Yes",1,0)</f>
        <v>0</v>
      </c>
      <c r="Y1369" s="22">
        <f>IF(H1369="Active",0,1)</f>
        <v>0</v>
      </c>
    </row>
    <row r="1370" spans="1:25" ht="18" customHeight="1" x14ac:dyDescent="0.35">
      <c r="A1370" s="14" t="s">
        <v>465</v>
      </c>
      <c r="B1370" s="14" t="s">
        <v>274</v>
      </c>
      <c r="C1370" s="14" t="s">
        <v>25</v>
      </c>
      <c r="D1370" s="15">
        <v>21</v>
      </c>
      <c r="E1370" s="14" t="s">
        <v>2304</v>
      </c>
      <c r="F1370" s="14" t="s">
        <v>79</v>
      </c>
      <c r="G1370" s="16">
        <v>45519</v>
      </c>
      <c r="H1370" s="14" t="s">
        <v>26</v>
      </c>
      <c r="I1370" s="14" t="s">
        <v>27</v>
      </c>
      <c r="J1370" s="14" t="s">
        <v>48</v>
      </c>
      <c r="K1370" s="14" t="s">
        <v>73</v>
      </c>
      <c r="L1370" s="14" t="s">
        <v>87</v>
      </c>
      <c r="M1370" s="14" t="s">
        <v>39</v>
      </c>
      <c r="N1370" s="17">
        <v>37750</v>
      </c>
      <c r="O1370" s="17">
        <v>45342</v>
      </c>
      <c r="P1370" s="18">
        <v>92.3</v>
      </c>
      <c r="Q1370" s="15">
        <v>2</v>
      </c>
      <c r="R1370" s="19">
        <v>3</v>
      </c>
      <c r="S1370" s="19">
        <v>1</v>
      </c>
      <c r="T1370" s="15">
        <v>7</v>
      </c>
      <c r="U1370" s="19">
        <v>69</v>
      </c>
      <c r="V1370" s="14" t="s">
        <v>31</v>
      </c>
      <c r="W1370" s="14"/>
      <c r="X1370" s="14">
        <f>IF(V1370="Yes",1,0)</f>
        <v>0</v>
      </c>
      <c r="Y1370" s="14">
        <f>IF(H1370="Active",0,1)</f>
        <v>0</v>
      </c>
    </row>
    <row r="1371" spans="1:25" ht="18" customHeight="1" x14ac:dyDescent="0.35">
      <c r="A1371" s="8" t="s">
        <v>839</v>
      </c>
      <c r="B1371" s="8" t="s">
        <v>41</v>
      </c>
      <c r="C1371" s="8" t="s">
        <v>34</v>
      </c>
      <c r="D1371" s="9">
        <v>35</v>
      </c>
      <c r="E1371" s="8" t="s">
        <v>86</v>
      </c>
      <c r="F1371" s="8" t="s">
        <v>35</v>
      </c>
      <c r="G1371" s="10">
        <v>45519</v>
      </c>
      <c r="H1371" s="8" t="s">
        <v>26</v>
      </c>
      <c r="I1371" s="8" t="s">
        <v>27</v>
      </c>
      <c r="J1371" s="8" t="s">
        <v>2269</v>
      </c>
      <c r="K1371" s="8" t="s">
        <v>28</v>
      </c>
      <c r="L1371" s="8" t="s">
        <v>68</v>
      </c>
      <c r="M1371" s="8" t="s">
        <v>60</v>
      </c>
      <c r="N1371" s="11">
        <v>98116</v>
      </c>
      <c r="O1371" s="11">
        <v>30750</v>
      </c>
      <c r="P1371" s="12">
        <v>93.5</v>
      </c>
      <c r="Q1371" s="9">
        <v>3</v>
      </c>
      <c r="R1371" s="13">
        <v>11</v>
      </c>
      <c r="S1371" s="13">
        <v>1</v>
      </c>
      <c r="T1371" s="9">
        <v>31</v>
      </c>
      <c r="U1371" s="13">
        <v>92</v>
      </c>
      <c r="V1371" s="8" t="s">
        <v>69</v>
      </c>
      <c r="W1371" s="8"/>
      <c r="X1371" s="22">
        <f>IF(V1371="Yes",1,0)</f>
        <v>1</v>
      </c>
      <c r="Y1371" s="22">
        <f>IF(H1371="Active",0,1)</f>
        <v>0</v>
      </c>
    </row>
    <row r="1372" spans="1:25" ht="18" customHeight="1" x14ac:dyDescent="0.35">
      <c r="A1372" s="8" t="s">
        <v>1607</v>
      </c>
      <c r="B1372" s="8" t="s">
        <v>267</v>
      </c>
      <c r="C1372" s="8" t="s">
        <v>25</v>
      </c>
      <c r="D1372" s="9">
        <v>48</v>
      </c>
      <c r="E1372" s="8" t="s">
        <v>42</v>
      </c>
      <c r="F1372" s="8" t="s">
        <v>79</v>
      </c>
      <c r="G1372" s="10">
        <v>45519</v>
      </c>
      <c r="H1372" s="8" t="s">
        <v>26</v>
      </c>
      <c r="I1372" s="8" t="s">
        <v>36</v>
      </c>
      <c r="J1372" s="8" t="s">
        <v>2269</v>
      </c>
      <c r="K1372" s="8" t="s">
        <v>37</v>
      </c>
      <c r="L1372" s="8" t="s">
        <v>87</v>
      </c>
      <c r="M1372" s="8" t="s">
        <v>39</v>
      </c>
      <c r="N1372" s="11">
        <v>182777</v>
      </c>
      <c r="O1372" s="11">
        <v>14604</v>
      </c>
      <c r="P1372" s="12">
        <v>94.9</v>
      </c>
      <c r="Q1372" s="9">
        <v>4</v>
      </c>
      <c r="R1372" s="13">
        <v>28</v>
      </c>
      <c r="S1372" s="13">
        <v>3</v>
      </c>
      <c r="T1372" s="9">
        <v>37</v>
      </c>
      <c r="U1372" s="13">
        <v>95</v>
      </c>
      <c r="V1372" s="8" t="s">
        <v>31</v>
      </c>
      <c r="W1372" s="8"/>
      <c r="X1372" s="22">
        <f>IF(V1372="Yes",1,0)</f>
        <v>0</v>
      </c>
      <c r="Y1372" s="22">
        <f>IF(H1372="Active",0,1)</f>
        <v>0</v>
      </c>
    </row>
    <row r="1373" spans="1:25" ht="18" customHeight="1" x14ac:dyDescent="0.35">
      <c r="A1373" s="14" t="s">
        <v>1624</v>
      </c>
      <c r="B1373" s="14" t="s">
        <v>314</v>
      </c>
      <c r="C1373" s="14" t="s">
        <v>25</v>
      </c>
      <c r="D1373" s="15">
        <v>44</v>
      </c>
      <c r="E1373" s="14" t="s">
        <v>67</v>
      </c>
      <c r="F1373" s="14" t="s">
        <v>76</v>
      </c>
      <c r="G1373" s="16">
        <v>45519</v>
      </c>
      <c r="H1373" s="14" t="s">
        <v>26</v>
      </c>
      <c r="I1373" s="14" t="s">
        <v>27</v>
      </c>
      <c r="J1373" s="14" t="s">
        <v>80</v>
      </c>
      <c r="K1373" s="14" t="s">
        <v>73</v>
      </c>
      <c r="L1373" s="14" t="s">
        <v>87</v>
      </c>
      <c r="M1373" s="14" t="s">
        <v>30</v>
      </c>
      <c r="N1373" s="17">
        <v>38149</v>
      </c>
      <c r="O1373" s="17">
        <v>9391</v>
      </c>
      <c r="P1373" s="18">
        <v>85.4</v>
      </c>
      <c r="Q1373" s="15">
        <v>0</v>
      </c>
      <c r="R1373" s="19">
        <v>19</v>
      </c>
      <c r="S1373" s="19">
        <v>3</v>
      </c>
      <c r="T1373" s="15">
        <v>22</v>
      </c>
      <c r="U1373" s="19">
        <v>80</v>
      </c>
      <c r="V1373" s="14" t="s">
        <v>31</v>
      </c>
      <c r="W1373" s="14"/>
      <c r="X1373" s="14">
        <f>IF(V1373="Yes",1,0)</f>
        <v>0</v>
      </c>
      <c r="Y1373" s="14">
        <f>IF(H1373="Active",0,1)</f>
        <v>0</v>
      </c>
    </row>
    <row r="1374" spans="1:25" ht="18" customHeight="1" x14ac:dyDescent="0.35">
      <c r="A1374" s="8" t="s">
        <v>1779</v>
      </c>
      <c r="B1374" s="8" t="s">
        <v>108</v>
      </c>
      <c r="C1374" s="8" t="s">
        <v>25</v>
      </c>
      <c r="D1374" s="9">
        <v>25</v>
      </c>
      <c r="E1374" s="8" t="s">
        <v>52</v>
      </c>
      <c r="F1374" s="8" t="s">
        <v>35</v>
      </c>
      <c r="G1374" s="10">
        <v>45519</v>
      </c>
      <c r="H1374" s="8" t="s">
        <v>26</v>
      </c>
      <c r="I1374" s="8" t="s">
        <v>36</v>
      </c>
      <c r="J1374" s="8" t="s">
        <v>2269</v>
      </c>
      <c r="K1374" s="8" t="s">
        <v>37</v>
      </c>
      <c r="L1374" s="8" t="s">
        <v>87</v>
      </c>
      <c r="M1374" s="8" t="s">
        <v>45</v>
      </c>
      <c r="N1374" s="11">
        <v>193963</v>
      </c>
      <c r="O1374" s="11">
        <v>30894</v>
      </c>
      <c r="P1374" s="12">
        <v>90.2</v>
      </c>
      <c r="Q1374" s="9">
        <v>5</v>
      </c>
      <c r="R1374" s="13">
        <v>13</v>
      </c>
      <c r="S1374" s="13">
        <v>2</v>
      </c>
      <c r="T1374" s="9">
        <v>32</v>
      </c>
      <c r="U1374" s="13">
        <v>73</v>
      </c>
      <c r="V1374" s="8" t="s">
        <v>31</v>
      </c>
      <c r="W1374" s="8"/>
      <c r="X1374" s="22">
        <f>IF(V1374="Yes",1,0)</f>
        <v>0</v>
      </c>
      <c r="Y1374" s="22">
        <f>IF(H1374="Active",0,1)</f>
        <v>0</v>
      </c>
    </row>
    <row r="1375" spans="1:25" ht="18" customHeight="1" x14ac:dyDescent="0.35">
      <c r="A1375" s="14" t="s">
        <v>1326</v>
      </c>
      <c r="B1375" s="14" t="s">
        <v>815</v>
      </c>
      <c r="C1375" s="14" t="s">
        <v>34</v>
      </c>
      <c r="D1375" s="15">
        <v>42</v>
      </c>
      <c r="E1375" s="14" t="s">
        <v>109</v>
      </c>
      <c r="F1375" s="14" t="s">
        <v>72</v>
      </c>
      <c r="G1375" s="16">
        <v>45518</v>
      </c>
      <c r="H1375" s="14" t="s">
        <v>26</v>
      </c>
      <c r="I1375" s="14" t="s">
        <v>27</v>
      </c>
      <c r="J1375" s="14" t="s">
        <v>2269</v>
      </c>
      <c r="K1375" s="14" t="s">
        <v>37</v>
      </c>
      <c r="L1375" s="14" t="s">
        <v>68</v>
      </c>
      <c r="M1375" s="14" t="s">
        <v>30</v>
      </c>
      <c r="N1375" s="17">
        <v>222342</v>
      </c>
      <c r="O1375" s="17">
        <v>46000</v>
      </c>
      <c r="P1375" s="18">
        <v>83.7</v>
      </c>
      <c r="Q1375" s="15">
        <v>0</v>
      </c>
      <c r="R1375" s="19">
        <v>8</v>
      </c>
      <c r="S1375" s="19">
        <v>4</v>
      </c>
      <c r="T1375" s="15">
        <v>25</v>
      </c>
      <c r="U1375" s="19">
        <v>61</v>
      </c>
      <c r="V1375" s="14" t="s">
        <v>69</v>
      </c>
      <c r="W1375" s="14"/>
      <c r="X1375" s="14">
        <f>IF(V1375="Yes",1,0)</f>
        <v>1</v>
      </c>
      <c r="Y1375" s="14">
        <f>IF(H1375="Active",0,1)</f>
        <v>0</v>
      </c>
    </row>
    <row r="1376" spans="1:25" ht="18" customHeight="1" x14ac:dyDescent="0.35">
      <c r="A1376" s="14" t="s">
        <v>2100</v>
      </c>
      <c r="B1376" s="14" t="s">
        <v>458</v>
      </c>
      <c r="C1376" s="14" t="s">
        <v>34</v>
      </c>
      <c r="D1376" s="15">
        <v>33</v>
      </c>
      <c r="E1376" s="14" t="s">
        <v>2303</v>
      </c>
      <c r="F1376" s="14" t="s">
        <v>35</v>
      </c>
      <c r="G1376" s="16">
        <v>45518</v>
      </c>
      <c r="H1376" s="14" t="s">
        <v>26</v>
      </c>
      <c r="I1376" s="14" t="s">
        <v>27</v>
      </c>
      <c r="J1376" s="14" t="s">
        <v>2270</v>
      </c>
      <c r="K1376" s="14" t="s">
        <v>37</v>
      </c>
      <c r="L1376" s="14" t="s">
        <v>87</v>
      </c>
      <c r="M1376" s="14" t="s">
        <v>39</v>
      </c>
      <c r="N1376" s="17">
        <v>118144</v>
      </c>
      <c r="O1376" s="17">
        <v>16145</v>
      </c>
      <c r="P1376" s="18">
        <v>85.1</v>
      </c>
      <c r="Q1376" s="15">
        <v>0</v>
      </c>
      <c r="R1376" s="19">
        <v>17</v>
      </c>
      <c r="S1376" s="19">
        <v>2</v>
      </c>
      <c r="T1376" s="15">
        <v>17</v>
      </c>
      <c r="U1376" s="19">
        <v>97</v>
      </c>
      <c r="V1376" s="14" t="s">
        <v>31</v>
      </c>
      <c r="W1376" s="14"/>
      <c r="X1376" s="14">
        <f>IF(V1376="Yes",1,0)</f>
        <v>0</v>
      </c>
      <c r="Y1376" s="14">
        <f>IF(H1376="Active",0,1)</f>
        <v>0</v>
      </c>
    </row>
    <row r="1377" spans="1:25" ht="18" customHeight="1" x14ac:dyDescent="0.35">
      <c r="A1377" s="8" t="s">
        <v>2195</v>
      </c>
      <c r="B1377" s="8" t="s">
        <v>445</v>
      </c>
      <c r="C1377" s="8" t="s">
        <v>25</v>
      </c>
      <c r="D1377" s="9">
        <v>53</v>
      </c>
      <c r="E1377" s="8" t="s">
        <v>2303</v>
      </c>
      <c r="F1377" s="8" t="s">
        <v>53</v>
      </c>
      <c r="G1377" s="10">
        <v>45518</v>
      </c>
      <c r="H1377" s="8" t="s">
        <v>26</v>
      </c>
      <c r="I1377" s="8" t="s">
        <v>27</v>
      </c>
      <c r="J1377" s="8" t="s">
        <v>2269</v>
      </c>
      <c r="K1377" s="8" t="s">
        <v>37</v>
      </c>
      <c r="L1377" s="8" t="s">
        <v>116</v>
      </c>
      <c r="M1377" s="8" t="s">
        <v>45</v>
      </c>
      <c r="N1377" s="11">
        <v>152982</v>
      </c>
      <c r="O1377" s="11">
        <v>47965</v>
      </c>
      <c r="P1377" s="12">
        <v>96.9</v>
      </c>
      <c r="Q1377" s="9">
        <v>6</v>
      </c>
      <c r="R1377" s="13">
        <v>21</v>
      </c>
      <c r="S1377" s="13">
        <v>5</v>
      </c>
      <c r="T1377" s="9">
        <v>34</v>
      </c>
      <c r="U1377" s="13">
        <v>93</v>
      </c>
      <c r="V1377" s="8" t="s">
        <v>31</v>
      </c>
      <c r="W1377" s="8"/>
      <c r="X1377" s="22">
        <f>IF(V1377="Yes",1,0)</f>
        <v>0</v>
      </c>
      <c r="Y1377" s="22">
        <f>IF(H1377="Active",0,1)</f>
        <v>0</v>
      </c>
    </row>
    <row r="1378" spans="1:25" ht="18" customHeight="1" x14ac:dyDescent="0.35">
      <c r="A1378" s="14" t="s">
        <v>428</v>
      </c>
      <c r="B1378" s="14" t="s">
        <v>429</v>
      </c>
      <c r="C1378" s="14" t="s">
        <v>34</v>
      </c>
      <c r="D1378" s="15">
        <v>44</v>
      </c>
      <c r="E1378" s="14" t="s">
        <v>52</v>
      </c>
      <c r="F1378" s="14" t="s">
        <v>43</v>
      </c>
      <c r="G1378" s="16">
        <v>45517</v>
      </c>
      <c r="H1378" s="14" t="s">
        <v>26</v>
      </c>
      <c r="I1378" s="14" t="s">
        <v>2267</v>
      </c>
      <c r="J1378" s="14" t="s">
        <v>80</v>
      </c>
      <c r="K1378" s="14" t="s">
        <v>55</v>
      </c>
      <c r="L1378" s="14" t="s">
        <v>87</v>
      </c>
      <c r="M1378" s="14" t="s">
        <v>39</v>
      </c>
      <c r="N1378" s="17">
        <v>87641</v>
      </c>
      <c r="O1378" s="17">
        <v>24141</v>
      </c>
      <c r="P1378" s="18">
        <v>91.8</v>
      </c>
      <c r="Q1378" s="15">
        <v>0</v>
      </c>
      <c r="R1378" s="19">
        <v>16</v>
      </c>
      <c r="S1378" s="19">
        <v>4</v>
      </c>
      <c r="T1378" s="15">
        <v>27</v>
      </c>
      <c r="U1378" s="19">
        <v>61</v>
      </c>
      <c r="V1378" s="14" t="s">
        <v>31</v>
      </c>
      <c r="W1378" s="14"/>
      <c r="X1378" s="14">
        <f>IF(V1378="Yes",1,0)</f>
        <v>0</v>
      </c>
      <c r="Y1378" s="14">
        <f>IF(H1378="Active",0,1)</f>
        <v>0</v>
      </c>
    </row>
    <row r="1379" spans="1:25" ht="18" customHeight="1" x14ac:dyDescent="0.35">
      <c r="A1379" s="8" t="s">
        <v>666</v>
      </c>
      <c r="B1379" s="8" t="s">
        <v>516</v>
      </c>
      <c r="C1379" s="8" t="s">
        <v>25</v>
      </c>
      <c r="D1379" s="9">
        <v>35</v>
      </c>
      <c r="E1379" s="8" t="s">
        <v>42</v>
      </c>
      <c r="F1379" s="8" t="s">
        <v>76</v>
      </c>
      <c r="G1379" s="10">
        <v>45517</v>
      </c>
      <c r="H1379" s="8" t="s">
        <v>26</v>
      </c>
      <c r="I1379" s="8" t="s">
        <v>2267</v>
      </c>
      <c r="J1379" s="8" t="s">
        <v>2270</v>
      </c>
      <c r="K1379" s="8" t="s">
        <v>55</v>
      </c>
      <c r="L1379" s="8" t="s">
        <v>49</v>
      </c>
      <c r="M1379" s="8" t="s">
        <v>45</v>
      </c>
      <c r="N1379" s="11">
        <v>85173</v>
      </c>
      <c r="O1379" s="11">
        <v>34266</v>
      </c>
      <c r="P1379" s="12">
        <v>96.7</v>
      </c>
      <c r="Q1379" s="9">
        <v>10</v>
      </c>
      <c r="R1379" s="13">
        <v>18</v>
      </c>
      <c r="S1379" s="13">
        <v>3</v>
      </c>
      <c r="T1379" s="9">
        <v>30</v>
      </c>
      <c r="U1379" s="13">
        <v>77</v>
      </c>
      <c r="V1379" s="8" t="s">
        <v>31</v>
      </c>
      <c r="W1379" s="8"/>
      <c r="X1379" s="22">
        <f>IF(V1379="Yes",1,0)</f>
        <v>0</v>
      </c>
      <c r="Y1379" s="22">
        <f>IF(H1379="Active",0,1)</f>
        <v>0</v>
      </c>
    </row>
    <row r="1380" spans="1:25" ht="18" customHeight="1" x14ac:dyDescent="0.35">
      <c r="A1380" s="14" t="s">
        <v>1270</v>
      </c>
      <c r="B1380" s="14" t="s">
        <v>244</v>
      </c>
      <c r="C1380" s="14" t="s">
        <v>25</v>
      </c>
      <c r="D1380" s="15">
        <v>46</v>
      </c>
      <c r="E1380" s="14" t="s">
        <v>93</v>
      </c>
      <c r="F1380" s="14" t="s">
        <v>76</v>
      </c>
      <c r="G1380" s="16">
        <v>45517</v>
      </c>
      <c r="H1380" s="14" t="s">
        <v>26</v>
      </c>
      <c r="I1380" s="14" t="s">
        <v>36</v>
      </c>
      <c r="J1380" s="14" t="s">
        <v>2269</v>
      </c>
      <c r="K1380" s="14" t="s">
        <v>37</v>
      </c>
      <c r="L1380" s="14" t="s">
        <v>49</v>
      </c>
      <c r="M1380" s="14" t="s">
        <v>45</v>
      </c>
      <c r="N1380" s="17">
        <v>88968</v>
      </c>
      <c r="O1380" s="17">
        <v>37718</v>
      </c>
      <c r="P1380" s="18">
        <v>92.9</v>
      </c>
      <c r="Q1380" s="15">
        <v>4</v>
      </c>
      <c r="R1380" s="19">
        <v>19</v>
      </c>
      <c r="S1380" s="19">
        <v>4</v>
      </c>
      <c r="T1380" s="15">
        <v>13</v>
      </c>
      <c r="U1380" s="19">
        <v>87</v>
      </c>
      <c r="V1380" s="14" t="s">
        <v>31</v>
      </c>
      <c r="W1380" s="14"/>
      <c r="X1380" s="14">
        <f>IF(V1380="Yes",1,0)</f>
        <v>0</v>
      </c>
      <c r="Y1380" s="14">
        <f>IF(H1380="Active",0,1)</f>
        <v>0</v>
      </c>
    </row>
    <row r="1381" spans="1:25" ht="18" customHeight="1" x14ac:dyDescent="0.35">
      <c r="A1381" s="14" t="s">
        <v>1402</v>
      </c>
      <c r="B1381" s="14" t="s">
        <v>291</v>
      </c>
      <c r="C1381" s="14" t="s">
        <v>34</v>
      </c>
      <c r="D1381" s="15">
        <v>35</v>
      </c>
      <c r="E1381" s="14" t="s">
        <v>86</v>
      </c>
      <c r="F1381" s="14" t="s">
        <v>79</v>
      </c>
      <c r="G1381" s="16">
        <v>45517</v>
      </c>
      <c r="H1381" s="14" t="s">
        <v>26</v>
      </c>
      <c r="I1381" s="14" t="s">
        <v>2267</v>
      </c>
      <c r="J1381" s="14" t="s">
        <v>2269</v>
      </c>
      <c r="K1381" s="14" t="s">
        <v>73</v>
      </c>
      <c r="L1381" s="14" t="s">
        <v>29</v>
      </c>
      <c r="M1381" s="14" t="s">
        <v>45</v>
      </c>
      <c r="N1381" s="17">
        <v>119294</v>
      </c>
      <c r="O1381" s="17">
        <v>18436</v>
      </c>
      <c r="P1381" s="18">
        <v>81.099999999999994</v>
      </c>
      <c r="Q1381" s="15">
        <v>2</v>
      </c>
      <c r="R1381" s="19">
        <v>3</v>
      </c>
      <c r="S1381" s="19">
        <v>5</v>
      </c>
      <c r="T1381" s="15">
        <v>20</v>
      </c>
      <c r="U1381" s="19">
        <v>91</v>
      </c>
      <c r="V1381" s="14" t="s">
        <v>31</v>
      </c>
      <c r="W1381" s="14"/>
      <c r="X1381" s="14">
        <f>IF(V1381="Yes",1,0)</f>
        <v>0</v>
      </c>
      <c r="Y1381" s="14">
        <f>IF(H1381="Active",0,1)</f>
        <v>0</v>
      </c>
    </row>
    <row r="1382" spans="1:25" ht="18" customHeight="1" x14ac:dyDescent="0.35">
      <c r="A1382" s="14" t="s">
        <v>1098</v>
      </c>
      <c r="B1382" s="14" t="s">
        <v>186</v>
      </c>
      <c r="C1382" s="14" t="s">
        <v>34</v>
      </c>
      <c r="D1382" s="15">
        <v>33</v>
      </c>
      <c r="E1382" s="14" t="s">
        <v>52</v>
      </c>
      <c r="F1382" s="14" t="s">
        <v>90</v>
      </c>
      <c r="G1382" s="16">
        <v>45516</v>
      </c>
      <c r="H1382" s="14" t="s">
        <v>54</v>
      </c>
      <c r="I1382" s="14" t="s">
        <v>2267</v>
      </c>
      <c r="J1382" s="14" t="s">
        <v>48</v>
      </c>
      <c r="K1382" s="14" t="s">
        <v>2271</v>
      </c>
      <c r="L1382" s="14" t="s">
        <v>38</v>
      </c>
      <c r="M1382" s="14" t="s">
        <v>30</v>
      </c>
      <c r="N1382" s="17">
        <v>118983</v>
      </c>
      <c r="O1382" s="17">
        <v>7086</v>
      </c>
      <c r="P1382" s="18">
        <v>80.099999999999994</v>
      </c>
      <c r="Q1382" s="15">
        <v>8</v>
      </c>
      <c r="R1382" s="19">
        <v>9</v>
      </c>
      <c r="S1382" s="19">
        <v>1</v>
      </c>
      <c r="T1382" s="15">
        <v>14</v>
      </c>
      <c r="U1382" s="19">
        <v>89</v>
      </c>
      <c r="V1382" s="14" t="s">
        <v>31</v>
      </c>
      <c r="W1382" s="14" t="s">
        <v>96</v>
      </c>
      <c r="X1382" s="14">
        <f>IF(V1382="Yes",1,0)</f>
        <v>0</v>
      </c>
      <c r="Y1382" s="14">
        <f>IF(H1382="Active",0,1)</f>
        <v>1</v>
      </c>
    </row>
    <row r="1383" spans="1:25" ht="18" customHeight="1" x14ac:dyDescent="0.35">
      <c r="A1383" s="8" t="s">
        <v>1131</v>
      </c>
      <c r="B1383" s="8" t="s">
        <v>30</v>
      </c>
      <c r="C1383" s="8" t="s">
        <v>34</v>
      </c>
      <c r="D1383" s="9">
        <v>28</v>
      </c>
      <c r="E1383" s="8" t="s">
        <v>93</v>
      </c>
      <c r="F1383" s="8" t="s">
        <v>90</v>
      </c>
      <c r="G1383" s="10">
        <v>45516</v>
      </c>
      <c r="H1383" s="8" t="s">
        <v>26</v>
      </c>
      <c r="I1383" s="8" t="s">
        <v>27</v>
      </c>
      <c r="J1383" s="8" t="s">
        <v>2268</v>
      </c>
      <c r="K1383" s="8" t="s">
        <v>73</v>
      </c>
      <c r="L1383" s="8" t="s">
        <v>116</v>
      </c>
      <c r="M1383" s="8" t="s">
        <v>64</v>
      </c>
      <c r="N1383" s="11">
        <v>172081</v>
      </c>
      <c r="O1383" s="11">
        <v>42806</v>
      </c>
      <c r="P1383" s="12">
        <v>87.1</v>
      </c>
      <c r="Q1383" s="9">
        <v>3</v>
      </c>
      <c r="R1383" s="13">
        <v>29</v>
      </c>
      <c r="S1383" s="13">
        <v>4</v>
      </c>
      <c r="T1383" s="9">
        <v>24</v>
      </c>
      <c r="U1383" s="13">
        <v>86</v>
      </c>
      <c r="V1383" s="8" t="s">
        <v>31</v>
      </c>
      <c r="W1383" s="8"/>
      <c r="X1383" s="22">
        <f>IF(V1383="Yes",1,0)</f>
        <v>0</v>
      </c>
      <c r="Y1383" s="22">
        <f>IF(H1383="Active",0,1)</f>
        <v>0</v>
      </c>
    </row>
    <row r="1384" spans="1:25" ht="18" customHeight="1" x14ac:dyDescent="0.35">
      <c r="A1384" s="8" t="s">
        <v>156</v>
      </c>
      <c r="B1384" s="8" t="s">
        <v>157</v>
      </c>
      <c r="C1384" s="8" t="s">
        <v>25</v>
      </c>
      <c r="D1384" s="9">
        <v>45</v>
      </c>
      <c r="E1384" s="8" t="s">
        <v>109</v>
      </c>
      <c r="F1384" s="8" t="s">
        <v>35</v>
      </c>
      <c r="G1384" s="10">
        <v>45515</v>
      </c>
      <c r="H1384" s="8" t="s">
        <v>26</v>
      </c>
      <c r="I1384" s="8" t="s">
        <v>36</v>
      </c>
      <c r="J1384" s="8" t="s">
        <v>2269</v>
      </c>
      <c r="K1384" s="8" t="s">
        <v>55</v>
      </c>
      <c r="L1384" s="8" t="s">
        <v>44</v>
      </c>
      <c r="M1384" s="8" t="s">
        <v>64</v>
      </c>
      <c r="N1384" s="11">
        <v>89672</v>
      </c>
      <c r="O1384" s="11">
        <v>36829</v>
      </c>
      <c r="P1384" s="12">
        <v>86.8</v>
      </c>
      <c r="Q1384" s="9">
        <v>2</v>
      </c>
      <c r="R1384" s="13">
        <v>16</v>
      </c>
      <c r="S1384" s="13">
        <v>5</v>
      </c>
      <c r="T1384" s="9">
        <v>11</v>
      </c>
      <c r="U1384" s="13">
        <v>64</v>
      </c>
      <c r="V1384" s="8" t="s">
        <v>31</v>
      </c>
      <c r="W1384" s="8"/>
      <c r="X1384" s="22">
        <f>IF(V1384="Yes",1,0)</f>
        <v>0</v>
      </c>
      <c r="Y1384" s="22">
        <f>IF(H1384="Active",0,1)</f>
        <v>0</v>
      </c>
    </row>
    <row r="1385" spans="1:25" ht="18" customHeight="1" x14ac:dyDescent="0.35">
      <c r="A1385" s="8" t="s">
        <v>558</v>
      </c>
      <c r="B1385" s="8" t="s">
        <v>559</v>
      </c>
      <c r="C1385" s="8" t="s">
        <v>25</v>
      </c>
      <c r="D1385" s="9">
        <v>30</v>
      </c>
      <c r="E1385" s="8" t="s">
        <v>109</v>
      </c>
      <c r="F1385" s="8" t="s">
        <v>12</v>
      </c>
      <c r="G1385" s="10">
        <v>45515</v>
      </c>
      <c r="H1385" s="8" t="s">
        <v>26</v>
      </c>
      <c r="I1385" s="8" t="s">
        <v>2267</v>
      </c>
      <c r="J1385" s="8" t="s">
        <v>48</v>
      </c>
      <c r="K1385" s="8" t="s">
        <v>2271</v>
      </c>
      <c r="L1385" s="8" t="s">
        <v>68</v>
      </c>
      <c r="M1385" s="8" t="s">
        <v>30</v>
      </c>
      <c r="N1385" s="11">
        <v>244954</v>
      </c>
      <c r="O1385" s="11">
        <v>13569</v>
      </c>
      <c r="P1385" s="12">
        <v>99.7</v>
      </c>
      <c r="Q1385" s="9">
        <v>4</v>
      </c>
      <c r="R1385" s="13">
        <v>17</v>
      </c>
      <c r="S1385" s="13">
        <v>3</v>
      </c>
      <c r="T1385" s="9">
        <v>15</v>
      </c>
      <c r="U1385" s="13">
        <v>86</v>
      </c>
      <c r="V1385" s="8" t="s">
        <v>69</v>
      </c>
      <c r="W1385" s="8"/>
      <c r="X1385" s="22">
        <f>IF(V1385="Yes",1,0)</f>
        <v>1</v>
      </c>
      <c r="Y1385" s="22">
        <f>IF(H1385="Active",0,1)</f>
        <v>0</v>
      </c>
    </row>
    <row r="1386" spans="1:25" ht="18" customHeight="1" x14ac:dyDescent="0.35">
      <c r="A1386" s="14" t="s">
        <v>2130</v>
      </c>
      <c r="B1386" s="14" t="s">
        <v>323</v>
      </c>
      <c r="C1386" s="14" t="s">
        <v>25</v>
      </c>
      <c r="D1386" s="15">
        <v>27</v>
      </c>
      <c r="E1386" s="14" t="s">
        <v>2304</v>
      </c>
      <c r="F1386" s="14" t="s">
        <v>35</v>
      </c>
      <c r="G1386" s="16">
        <v>45515</v>
      </c>
      <c r="H1386" s="14" t="s">
        <v>26</v>
      </c>
      <c r="I1386" s="14" t="s">
        <v>36</v>
      </c>
      <c r="J1386" s="14" t="s">
        <v>80</v>
      </c>
      <c r="K1386" s="14" t="s">
        <v>37</v>
      </c>
      <c r="L1386" s="14" t="s">
        <v>56</v>
      </c>
      <c r="M1386" s="14" t="s">
        <v>30</v>
      </c>
      <c r="N1386" s="17">
        <v>189941</v>
      </c>
      <c r="O1386" s="17">
        <v>15395</v>
      </c>
      <c r="P1386" s="18">
        <v>83.1</v>
      </c>
      <c r="Q1386" s="15">
        <v>8</v>
      </c>
      <c r="R1386" s="19">
        <v>4</v>
      </c>
      <c r="S1386" s="19">
        <v>2</v>
      </c>
      <c r="T1386" s="15">
        <v>22</v>
      </c>
      <c r="U1386" s="19">
        <v>78</v>
      </c>
      <c r="V1386" s="14" t="s">
        <v>31</v>
      </c>
      <c r="W1386" s="14"/>
      <c r="X1386" s="14">
        <f>IF(V1386="Yes",1,0)</f>
        <v>0</v>
      </c>
      <c r="Y1386" s="14">
        <f>IF(H1386="Active",0,1)</f>
        <v>0</v>
      </c>
    </row>
    <row r="1387" spans="1:25" ht="18" customHeight="1" x14ac:dyDescent="0.35">
      <c r="A1387" s="14" t="s">
        <v>324</v>
      </c>
      <c r="B1387" s="14" t="s">
        <v>89</v>
      </c>
      <c r="C1387" s="14" t="s">
        <v>25</v>
      </c>
      <c r="D1387" s="15">
        <v>45</v>
      </c>
      <c r="E1387" s="14" t="s">
        <v>93</v>
      </c>
      <c r="F1387" s="14" t="s">
        <v>35</v>
      </c>
      <c r="G1387" s="16">
        <v>45514</v>
      </c>
      <c r="H1387" s="14" t="s">
        <v>26</v>
      </c>
      <c r="I1387" s="14" t="s">
        <v>36</v>
      </c>
      <c r="J1387" s="14" t="s">
        <v>2268</v>
      </c>
      <c r="K1387" s="14" t="s">
        <v>37</v>
      </c>
      <c r="L1387" s="14" t="s">
        <v>56</v>
      </c>
      <c r="M1387" s="14" t="s">
        <v>60</v>
      </c>
      <c r="N1387" s="17">
        <v>74398</v>
      </c>
      <c r="O1387" s="17">
        <v>44335</v>
      </c>
      <c r="P1387" s="18">
        <v>97.7</v>
      </c>
      <c r="Q1387" s="15">
        <v>3</v>
      </c>
      <c r="R1387" s="19">
        <v>18</v>
      </c>
      <c r="S1387" s="19">
        <v>1</v>
      </c>
      <c r="T1387" s="15">
        <v>14</v>
      </c>
      <c r="U1387" s="19">
        <v>70</v>
      </c>
      <c r="V1387" s="14" t="s">
        <v>69</v>
      </c>
      <c r="W1387" s="14"/>
      <c r="X1387" s="14">
        <f>IF(V1387="Yes",1,0)</f>
        <v>1</v>
      </c>
      <c r="Y1387" s="14">
        <f>IF(H1387="Active",0,1)</f>
        <v>0</v>
      </c>
    </row>
    <row r="1388" spans="1:25" ht="18" customHeight="1" x14ac:dyDescent="0.35">
      <c r="A1388" s="14" t="s">
        <v>680</v>
      </c>
      <c r="B1388" s="14" t="s">
        <v>308</v>
      </c>
      <c r="C1388" s="14" t="s">
        <v>25</v>
      </c>
      <c r="D1388" s="15">
        <v>28</v>
      </c>
      <c r="E1388" s="14" t="s">
        <v>109</v>
      </c>
      <c r="F1388" s="14" t="s">
        <v>53</v>
      </c>
      <c r="G1388" s="16">
        <v>45514</v>
      </c>
      <c r="H1388" s="14" t="s">
        <v>26</v>
      </c>
      <c r="I1388" s="14" t="s">
        <v>27</v>
      </c>
      <c r="J1388" s="14" t="s">
        <v>2269</v>
      </c>
      <c r="K1388" s="14" t="s">
        <v>55</v>
      </c>
      <c r="L1388" s="14" t="s">
        <v>87</v>
      </c>
      <c r="M1388" s="14" t="s">
        <v>39</v>
      </c>
      <c r="N1388" s="17">
        <v>187728</v>
      </c>
      <c r="O1388" s="17">
        <v>42640</v>
      </c>
      <c r="P1388" s="18">
        <v>95.4</v>
      </c>
      <c r="Q1388" s="15">
        <v>1</v>
      </c>
      <c r="R1388" s="19">
        <v>14</v>
      </c>
      <c r="S1388" s="19">
        <v>4</v>
      </c>
      <c r="T1388" s="15">
        <v>7</v>
      </c>
      <c r="U1388" s="19">
        <v>86</v>
      </c>
      <c r="V1388" s="14" t="s">
        <v>31</v>
      </c>
      <c r="W1388" s="14"/>
      <c r="X1388" s="14">
        <f>IF(V1388="Yes",1,0)</f>
        <v>0</v>
      </c>
      <c r="Y1388" s="14">
        <f>IF(H1388="Active",0,1)</f>
        <v>0</v>
      </c>
    </row>
    <row r="1389" spans="1:25" ht="18" customHeight="1" x14ac:dyDescent="0.35">
      <c r="A1389" s="14" t="s">
        <v>1820</v>
      </c>
      <c r="B1389" s="14" t="s">
        <v>237</v>
      </c>
      <c r="C1389" s="14" t="s">
        <v>25</v>
      </c>
      <c r="D1389" s="15">
        <v>50</v>
      </c>
      <c r="E1389" s="14" t="s">
        <v>63</v>
      </c>
      <c r="F1389" s="14" t="s">
        <v>35</v>
      </c>
      <c r="G1389" s="16">
        <v>45514</v>
      </c>
      <c r="H1389" s="14" t="s">
        <v>26</v>
      </c>
      <c r="I1389" s="14" t="s">
        <v>27</v>
      </c>
      <c r="J1389" s="14" t="s">
        <v>80</v>
      </c>
      <c r="K1389" s="14" t="s">
        <v>2271</v>
      </c>
      <c r="L1389" s="14" t="s">
        <v>68</v>
      </c>
      <c r="M1389" s="14" t="s">
        <v>45</v>
      </c>
      <c r="N1389" s="17">
        <v>109293</v>
      </c>
      <c r="O1389" s="17">
        <v>18747</v>
      </c>
      <c r="P1389" s="18">
        <v>95.3</v>
      </c>
      <c r="Q1389" s="15">
        <v>7</v>
      </c>
      <c r="R1389" s="19">
        <v>9</v>
      </c>
      <c r="S1389" s="19">
        <v>2</v>
      </c>
      <c r="T1389" s="15">
        <v>40</v>
      </c>
      <c r="U1389" s="19">
        <v>74</v>
      </c>
      <c r="V1389" s="14" t="s">
        <v>31</v>
      </c>
      <c r="W1389" s="14"/>
      <c r="X1389" s="14">
        <f>IF(V1389="Yes",1,0)</f>
        <v>0</v>
      </c>
      <c r="Y1389" s="14">
        <f>IF(H1389="Active",0,1)</f>
        <v>0</v>
      </c>
    </row>
    <row r="1390" spans="1:25" ht="18" customHeight="1" x14ac:dyDescent="0.35">
      <c r="A1390" s="14" t="s">
        <v>1876</v>
      </c>
      <c r="B1390" s="14" t="s">
        <v>587</v>
      </c>
      <c r="C1390" s="14" t="s">
        <v>25</v>
      </c>
      <c r="D1390" s="15">
        <v>55</v>
      </c>
      <c r="E1390" s="14" t="s">
        <v>42</v>
      </c>
      <c r="F1390" s="14" t="s">
        <v>43</v>
      </c>
      <c r="G1390" s="16">
        <v>45514</v>
      </c>
      <c r="H1390" s="14" t="s">
        <v>54</v>
      </c>
      <c r="I1390" s="14" t="s">
        <v>36</v>
      </c>
      <c r="J1390" s="14" t="s">
        <v>48</v>
      </c>
      <c r="K1390" s="14" t="s">
        <v>37</v>
      </c>
      <c r="L1390" s="14" t="s">
        <v>49</v>
      </c>
      <c r="M1390" s="14" t="s">
        <v>60</v>
      </c>
      <c r="N1390" s="17">
        <v>219304</v>
      </c>
      <c r="O1390" s="17">
        <v>39728</v>
      </c>
      <c r="P1390" s="18">
        <v>85.4</v>
      </c>
      <c r="Q1390" s="15">
        <v>6</v>
      </c>
      <c r="R1390" s="19">
        <v>29</v>
      </c>
      <c r="S1390" s="19">
        <v>1</v>
      </c>
      <c r="T1390" s="15">
        <v>20</v>
      </c>
      <c r="U1390" s="19">
        <v>82</v>
      </c>
      <c r="V1390" s="14" t="s">
        <v>31</v>
      </c>
      <c r="W1390" s="14" t="s">
        <v>83</v>
      </c>
      <c r="X1390" s="14">
        <f>IF(V1390="Yes",1,0)</f>
        <v>0</v>
      </c>
      <c r="Y1390" s="14">
        <f>IF(H1390="Active",0,1)</f>
        <v>1</v>
      </c>
    </row>
    <row r="1391" spans="1:25" ht="18" customHeight="1" x14ac:dyDescent="0.35">
      <c r="A1391" s="8" t="s">
        <v>345</v>
      </c>
      <c r="B1391" s="8" t="s">
        <v>311</v>
      </c>
      <c r="C1391" s="8" t="s">
        <v>25</v>
      </c>
      <c r="D1391" s="9">
        <v>31</v>
      </c>
      <c r="E1391" s="8" t="s">
        <v>2304</v>
      </c>
      <c r="F1391" s="8" t="s">
        <v>90</v>
      </c>
      <c r="G1391" s="10">
        <v>45513</v>
      </c>
      <c r="H1391" s="8" t="s">
        <v>26</v>
      </c>
      <c r="I1391" s="8" t="s">
        <v>27</v>
      </c>
      <c r="J1391" s="8" t="s">
        <v>2269</v>
      </c>
      <c r="K1391" s="8" t="s">
        <v>55</v>
      </c>
      <c r="L1391" s="8" t="s">
        <v>116</v>
      </c>
      <c r="M1391" s="8" t="s">
        <v>30</v>
      </c>
      <c r="N1391" s="11">
        <v>61028</v>
      </c>
      <c r="O1391" s="11">
        <v>16312</v>
      </c>
      <c r="P1391" s="12">
        <v>87.9</v>
      </c>
      <c r="Q1391" s="9">
        <v>6</v>
      </c>
      <c r="R1391" s="13">
        <v>3</v>
      </c>
      <c r="S1391" s="13">
        <v>3</v>
      </c>
      <c r="T1391" s="9">
        <v>7</v>
      </c>
      <c r="U1391" s="13">
        <v>81</v>
      </c>
      <c r="V1391" s="8" t="s">
        <v>69</v>
      </c>
      <c r="W1391" s="8"/>
      <c r="X1391" s="22">
        <f>IF(V1391="Yes",1,0)</f>
        <v>1</v>
      </c>
      <c r="Y1391" s="22">
        <f>IF(H1391="Active",0,1)</f>
        <v>0</v>
      </c>
    </row>
    <row r="1392" spans="1:25" ht="18" customHeight="1" x14ac:dyDescent="0.35">
      <c r="A1392" s="8" t="s">
        <v>594</v>
      </c>
      <c r="B1392" s="8" t="s">
        <v>471</v>
      </c>
      <c r="C1392" s="8" t="s">
        <v>25</v>
      </c>
      <c r="D1392" s="9">
        <v>43</v>
      </c>
      <c r="E1392" s="8" t="s">
        <v>63</v>
      </c>
      <c r="F1392" s="8" t="s">
        <v>90</v>
      </c>
      <c r="G1392" s="10">
        <v>45513</v>
      </c>
      <c r="H1392" s="8" t="s">
        <v>54</v>
      </c>
      <c r="I1392" s="8" t="s">
        <v>36</v>
      </c>
      <c r="J1392" s="8" t="s">
        <v>2269</v>
      </c>
      <c r="K1392" s="8" t="s">
        <v>55</v>
      </c>
      <c r="L1392" s="8" t="s">
        <v>44</v>
      </c>
      <c r="M1392" s="8" t="s">
        <v>39</v>
      </c>
      <c r="N1392" s="11">
        <v>64091</v>
      </c>
      <c r="O1392" s="11">
        <v>25942</v>
      </c>
      <c r="P1392" s="12">
        <v>92.8</v>
      </c>
      <c r="Q1392" s="9">
        <v>0</v>
      </c>
      <c r="R1392" s="13">
        <v>17</v>
      </c>
      <c r="S1392" s="13">
        <v>2</v>
      </c>
      <c r="T1392" s="9">
        <v>19</v>
      </c>
      <c r="U1392" s="13">
        <v>61</v>
      </c>
      <c r="V1392" s="8" t="s">
        <v>31</v>
      </c>
      <c r="W1392" s="8" t="s">
        <v>83</v>
      </c>
      <c r="X1392" s="22">
        <f>IF(V1392="Yes",1,0)</f>
        <v>0</v>
      </c>
      <c r="Y1392" s="22">
        <f>IF(H1392="Active",0,1)</f>
        <v>1</v>
      </c>
    </row>
    <row r="1393" spans="1:25" ht="18" customHeight="1" x14ac:dyDescent="0.35">
      <c r="A1393" s="8" t="s">
        <v>1799</v>
      </c>
      <c r="B1393" s="8" t="s">
        <v>323</v>
      </c>
      <c r="C1393" s="8" t="s">
        <v>34</v>
      </c>
      <c r="D1393" s="9">
        <v>45</v>
      </c>
      <c r="E1393" s="8" t="s">
        <v>52</v>
      </c>
      <c r="F1393" s="8" t="s">
        <v>90</v>
      </c>
      <c r="G1393" s="10">
        <v>45513</v>
      </c>
      <c r="H1393" s="8" t="s">
        <v>26</v>
      </c>
      <c r="I1393" s="8" t="s">
        <v>2267</v>
      </c>
      <c r="J1393" s="8" t="s">
        <v>80</v>
      </c>
      <c r="K1393" s="8" t="s">
        <v>2271</v>
      </c>
      <c r="L1393" s="8" t="s">
        <v>44</v>
      </c>
      <c r="M1393" s="8" t="s">
        <v>64</v>
      </c>
      <c r="N1393" s="11">
        <v>94045</v>
      </c>
      <c r="O1393" s="11">
        <v>23161</v>
      </c>
      <c r="P1393" s="12">
        <v>89.1</v>
      </c>
      <c r="Q1393" s="9">
        <v>1</v>
      </c>
      <c r="R1393" s="13">
        <v>17</v>
      </c>
      <c r="S1393" s="13">
        <v>5</v>
      </c>
      <c r="T1393" s="9">
        <v>12</v>
      </c>
      <c r="U1393" s="13">
        <v>74</v>
      </c>
      <c r="V1393" s="8" t="s">
        <v>31</v>
      </c>
      <c r="W1393" s="8"/>
      <c r="X1393" s="22">
        <f>IF(V1393="Yes",1,0)</f>
        <v>0</v>
      </c>
      <c r="Y1393" s="22">
        <f>IF(H1393="Active",0,1)</f>
        <v>0</v>
      </c>
    </row>
    <row r="1394" spans="1:25" ht="18" customHeight="1" x14ac:dyDescent="0.35">
      <c r="A1394" s="8" t="s">
        <v>1977</v>
      </c>
      <c r="B1394" s="8" t="s">
        <v>92</v>
      </c>
      <c r="C1394" s="8" t="s">
        <v>34</v>
      </c>
      <c r="D1394" s="9">
        <v>22</v>
      </c>
      <c r="E1394" s="8" t="s">
        <v>63</v>
      </c>
      <c r="F1394" s="8" t="s">
        <v>53</v>
      </c>
      <c r="G1394" s="10">
        <v>45513</v>
      </c>
      <c r="H1394" s="8" t="s">
        <v>26</v>
      </c>
      <c r="I1394" s="8" t="s">
        <v>27</v>
      </c>
      <c r="J1394" s="8" t="s">
        <v>2270</v>
      </c>
      <c r="K1394" s="8" t="s">
        <v>73</v>
      </c>
      <c r="L1394" s="8" t="s">
        <v>68</v>
      </c>
      <c r="M1394" s="8" t="s">
        <v>60</v>
      </c>
      <c r="N1394" s="11">
        <v>79748</v>
      </c>
      <c r="O1394" s="11">
        <v>31107</v>
      </c>
      <c r="P1394" s="12">
        <v>95.1</v>
      </c>
      <c r="Q1394" s="9">
        <v>6</v>
      </c>
      <c r="R1394" s="13">
        <v>28</v>
      </c>
      <c r="S1394" s="13">
        <v>3</v>
      </c>
      <c r="T1394" s="9">
        <v>1</v>
      </c>
      <c r="U1394" s="13">
        <v>64</v>
      </c>
      <c r="V1394" s="8" t="s">
        <v>31</v>
      </c>
      <c r="W1394" s="8"/>
      <c r="X1394" s="22">
        <f>IF(V1394="Yes",1,0)</f>
        <v>0</v>
      </c>
      <c r="Y1394" s="22">
        <f>IF(H1394="Active",0,1)</f>
        <v>0</v>
      </c>
    </row>
    <row r="1395" spans="1:25" ht="18" customHeight="1" x14ac:dyDescent="0.35">
      <c r="A1395" s="8" t="s">
        <v>1291</v>
      </c>
      <c r="B1395" s="8" t="s">
        <v>162</v>
      </c>
      <c r="C1395" s="8" t="s">
        <v>34</v>
      </c>
      <c r="D1395" s="9">
        <v>43</v>
      </c>
      <c r="E1395" s="8" t="s">
        <v>67</v>
      </c>
      <c r="F1395" s="8" t="s">
        <v>72</v>
      </c>
      <c r="G1395" s="10">
        <v>45511</v>
      </c>
      <c r="H1395" s="8" t="s">
        <v>26</v>
      </c>
      <c r="I1395" s="8" t="s">
        <v>2267</v>
      </c>
      <c r="J1395" s="8" t="s">
        <v>2268</v>
      </c>
      <c r="K1395" s="8" t="s">
        <v>55</v>
      </c>
      <c r="L1395" s="8" t="s">
        <v>56</v>
      </c>
      <c r="M1395" s="8" t="s">
        <v>45</v>
      </c>
      <c r="N1395" s="11">
        <v>94889</v>
      </c>
      <c r="O1395" s="11">
        <v>16181</v>
      </c>
      <c r="P1395" s="12">
        <v>94.9</v>
      </c>
      <c r="Q1395" s="9">
        <v>2</v>
      </c>
      <c r="R1395" s="13">
        <v>9</v>
      </c>
      <c r="S1395" s="13">
        <v>2</v>
      </c>
      <c r="T1395" s="9">
        <v>34</v>
      </c>
      <c r="U1395" s="13">
        <v>86</v>
      </c>
      <c r="V1395" s="8" t="s">
        <v>31</v>
      </c>
      <c r="W1395" s="8"/>
      <c r="X1395" s="22">
        <f>IF(V1395="Yes",1,0)</f>
        <v>0</v>
      </c>
      <c r="Y1395" s="22">
        <f>IF(H1395="Active",0,1)</f>
        <v>0</v>
      </c>
    </row>
    <row r="1396" spans="1:25" ht="18" customHeight="1" x14ac:dyDescent="0.35">
      <c r="A1396" s="8" t="s">
        <v>2003</v>
      </c>
      <c r="B1396" s="8" t="s">
        <v>51</v>
      </c>
      <c r="C1396" s="8" t="s">
        <v>34</v>
      </c>
      <c r="D1396" s="9">
        <v>39</v>
      </c>
      <c r="E1396" s="8" t="s">
        <v>42</v>
      </c>
      <c r="F1396" s="8" t="s">
        <v>53</v>
      </c>
      <c r="G1396" s="10">
        <v>45511</v>
      </c>
      <c r="H1396" s="8" t="s">
        <v>26</v>
      </c>
      <c r="I1396" s="8" t="s">
        <v>36</v>
      </c>
      <c r="J1396" s="8" t="s">
        <v>80</v>
      </c>
      <c r="K1396" s="8" t="s">
        <v>55</v>
      </c>
      <c r="L1396" s="8" t="s">
        <v>44</v>
      </c>
      <c r="M1396" s="8" t="s">
        <v>64</v>
      </c>
      <c r="N1396" s="11">
        <v>234092</v>
      </c>
      <c r="O1396" s="11">
        <v>48209</v>
      </c>
      <c r="P1396" s="12">
        <v>99.6</v>
      </c>
      <c r="Q1396" s="9">
        <v>4</v>
      </c>
      <c r="R1396" s="13">
        <v>20</v>
      </c>
      <c r="S1396" s="13">
        <v>5</v>
      </c>
      <c r="T1396" s="9">
        <v>9</v>
      </c>
      <c r="U1396" s="13">
        <v>69</v>
      </c>
      <c r="V1396" s="8" t="s">
        <v>31</v>
      </c>
      <c r="W1396" s="8"/>
      <c r="X1396" s="22">
        <f>IF(V1396="Yes",1,0)</f>
        <v>0</v>
      </c>
      <c r="Y1396" s="22">
        <f>IF(H1396="Active",0,1)</f>
        <v>0</v>
      </c>
    </row>
    <row r="1397" spans="1:25" ht="18" customHeight="1" x14ac:dyDescent="0.35">
      <c r="A1397" s="8" t="s">
        <v>879</v>
      </c>
      <c r="B1397" s="8" t="s">
        <v>880</v>
      </c>
      <c r="C1397" s="8" t="s">
        <v>25</v>
      </c>
      <c r="D1397" s="9">
        <v>58</v>
      </c>
      <c r="E1397" s="8" t="s">
        <v>63</v>
      </c>
      <c r="F1397" s="8" t="s">
        <v>35</v>
      </c>
      <c r="G1397" s="10">
        <v>45510</v>
      </c>
      <c r="H1397" s="8" t="s">
        <v>26</v>
      </c>
      <c r="I1397" s="8" t="s">
        <v>36</v>
      </c>
      <c r="J1397" s="8" t="s">
        <v>80</v>
      </c>
      <c r="K1397" s="8" t="s">
        <v>55</v>
      </c>
      <c r="L1397" s="8" t="s">
        <v>87</v>
      </c>
      <c r="M1397" s="8" t="s">
        <v>60</v>
      </c>
      <c r="N1397" s="11">
        <v>237495</v>
      </c>
      <c r="O1397" s="11">
        <v>16006</v>
      </c>
      <c r="P1397" s="12">
        <v>84.9</v>
      </c>
      <c r="Q1397" s="9">
        <v>2</v>
      </c>
      <c r="R1397" s="13">
        <v>18</v>
      </c>
      <c r="S1397" s="13">
        <v>3</v>
      </c>
      <c r="T1397" s="9">
        <v>26</v>
      </c>
      <c r="U1397" s="13">
        <v>72</v>
      </c>
      <c r="V1397" s="8" t="s">
        <v>31</v>
      </c>
      <c r="W1397" s="8"/>
      <c r="X1397" s="22">
        <f>IF(V1397="Yes",1,0)</f>
        <v>0</v>
      </c>
      <c r="Y1397" s="22">
        <f>IF(H1397="Active",0,1)</f>
        <v>0</v>
      </c>
    </row>
    <row r="1398" spans="1:25" ht="18" customHeight="1" x14ac:dyDescent="0.35">
      <c r="A1398" s="14" t="s">
        <v>1756</v>
      </c>
      <c r="B1398" s="14" t="s">
        <v>367</v>
      </c>
      <c r="C1398" s="14" t="s">
        <v>25</v>
      </c>
      <c r="D1398" s="15">
        <v>52</v>
      </c>
      <c r="E1398" s="14" t="s">
        <v>2304</v>
      </c>
      <c r="F1398" s="14" t="s">
        <v>53</v>
      </c>
      <c r="G1398" s="16">
        <v>45510</v>
      </c>
      <c r="H1398" s="14" t="s">
        <v>26</v>
      </c>
      <c r="I1398" s="14" t="s">
        <v>27</v>
      </c>
      <c r="J1398" s="14" t="s">
        <v>2270</v>
      </c>
      <c r="K1398" s="14" t="s">
        <v>28</v>
      </c>
      <c r="L1398" s="14" t="s">
        <v>68</v>
      </c>
      <c r="M1398" s="14" t="s">
        <v>39</v>
      </c>
      <c r="N1398" s="17">
        <v>124197</v>
      </c>
      <c r="O1398" s="17">
        <v>31519</v>
      </c>
      <c r="P1398" s="18">
        <v>82.9</v>
      </c>
      <c r="Q1398" s="15">
        <v>5</v>
      </c>
      <c r="R1398" s="19">
        <v>26</v>
      </c>
      <c r="S1398" s="19">
        <v>1</v>
      </c>
      <c r="T1398" s="15">
        <v>16</v>
      </c>
      <c r="U1398" s="19">
        <v>74</v>
      </c>
      <c r="V1398" s="14" t="s">
        <v>31</v>
      </c>
      <c r="W1398" s="14"/>
      <c r="X1398" s="14">
        <f>IF(V1398="Yes",1,0)</f>
        <v>0</v>
      </c>
      <c r="Y1398" s="14">
        <f>IF(H1398="Active",0,1)</f>
        <v>0</v>
      </c>
    </row>
    <row r="1399" spans="1:25" ht="18" customHeight="1" x14ac:dyDescent="0.35">
      <c r="A1399" s="8" t="s">
        <v>1230</v>
      </c>
      <c r="B1399" s="8" t="s">
        <v>619</v>
      </c>
      <c r="C1399" s="8" t="s">
        <v>34</v>
      </c>
      <c r="D1399" s="9">
        <v>44</v>
      </c>
      <c r="E1399" s="8" t="s">
        <v>52</v>
      </c>
      <c r="F1399" s="8" t="s">
        <v>76</v>
      </c>
      <c r="G1399" s="10">
        <v>45509</v>
      </c>
      <c r="H1399" s="8" t="s">
        <v>26</v>
      </c>
      <c r="I1399" s="8" t="s">
        <v>2267</v>
      </c>
      <c r="J1399" s="8" t="s">
        <v>2268</v>
      </c>
      <c r="K1399" s="8" t="s">
        <v>2271</v>
      </c>
      <c r="L1399" s="8" t="s">
        <v>87</v>
      </c>
      <c r="M1399" s="8" t="s">
        <v>60</v>
      </c>
      <c r="N1399" s="11">
        <v>73336</v>
      </c>
      <c r="O1399" s="11">
        <v>7112</v>
      </c>
      <c r="P1399" s="12">
        <v>82.1</v>
      </c>
      <c r="Q1399" s="9">
        <v>2</v>
      </c>
      <c r="R1399" s="13">
        <v>12</v>
      </c>
      <c r="S1399" s="13">
        <v>3</v>
      </c>
      <c r="T1399" s="9">
        <v>28</v>
      </c>
      <c r="U1399" s="13">
        <v>89</v>
      </c>
      <c r="V1399" s="8" t="s">
        <v>31</v>
      </c>
      <c r="W1399" s="8"/>
      <c r="X1399" s="22">
        <f>IF(V1399="Yes",1,0)</f>
        <v>0</v>
      </c>
      <c r="Y1399" s="22">
        <f>IF(H1399="Active",0,1)</f>
        <v>0</v>
      </c>
    </row>
    <row r="1400" spans="1:25" ht="18" customHeight="1" x14ac:dyDescent="0.35">
      <c r="A1400" s="14" t="s">
        <v>1368</v>
      </c>
      <c r="B1400" s="14" t="s">
        <v>537</v>
      </c>
      <c r="C1400" s="14" t="s">
        <v>25</v>
      </c>
      <c r="D1400" s="15">
        <v>21</v>
      </c>
      <c r="E1400" s="14" t="s">
        <v>52</v>
      </c>
      <c r="F1400" s="14" t="s">
        <v>53</v>
      </c>
      <c r="G1400" s="16">
        <v>45509</v>
      </c>
      <c r="H1400" s="14" t="s">
        <v>26</v>
      </c>
      <c r="I1400" s="14" t="s">
        <v>27</v>
      </c>
      <c r="J1400" s="14" t="s">
        <v>2268</v>
      </c>
      <c r="K1400" s="14" t="s">
        <v>2271</v>
      </c>
      <c r="L1400" s="14" t="s">
        <v>49</v>
      </c>
      <c r="M1400" s="14" t="s">
        <v>60</v>
      </c>
      <c r="N1400" s="17">
        <v>96453</v>
      </c>
      <c r="O1400" s="17">
        <v>30940</v>
      </c>
      <c r="P1400" s="18">
        <v>84.8</v>
      </c>
      <c r="Q1400" s="15">
        <v>2</v>
      </c>
      <c r="R1400" s="19">
        <v>14</v>
      </c>
      <c r="S1400" s="19">
        <v>2</v>
      </c>
      <c r="T1400" s="15">
        <v>22</v>
      </c>
      <c r="U1400" s="19">
        <v>86</v>
      </c>
      <c r="V1400" s="14" t="s">
        <v>31</v>
      </c>
      <c r="W1400" s="14"/>
      <c r="X1400" s="14">
        <f>IF(V1400="Yes",1,0)</f>
        <v>0</v>
      </c>
      <c r="Y1400" s="14">
        <f>IF(H1400="Active",0,1)</f>
        <v>0</v>
      </c>
    </row>
    <row r="1401" spans="1:25" ht="18" customHeight="1" x14ac:dyDescent="0.35">
      <c r="A1401" s="8" t="s">
        <v>1951</v>
      </c>
      <c r="B1401" s="8" t="s">
        <v>327</v>
      </c>
      <c r="C1401" s="8" t="s">
        <v>25</v>
      </c>
      <c r="D1401" s="9">
        <v>58</v>
      </c>
      <c r="E1401" s="8" t="s">
        <v>52</v>
      </c>
      <c r="F1401" s="8" t="s">
        <v>79</v>
      </c>
      <c r="G1401" s="10">
        <v>45509</v>
      </c>
      <c r="H1401" s="8" t="s">
        <v>26</v>
      </c>
      <c r="I1401" s="8" t="s">
        <v>2267</v>
      </c>
      <c r="J1401" s="8" t="s">
        <v>2269</v>
      </c>
      <c r="K1401" s="8" t="s">
        <v>28</v>
      </c>
      <c r="L1401" s="8" t="s">
        <v>29</v>
      </c>
      <c r="M1401" s="8" t="s">
        <v>39</v>
      </c>
      <c r="N1401" s="11">
        <v>229150</v>
      </c>
      <c r="O1401" s="11">
        <v>38696</v>
      </c>
      <c r="P1401" s="12">
        <v>92.3</v>
      </c>
      <c r="Q1401" s="9">
        <v>8</v>
      </c>
      <c r="R1401" s="13">
        <v>19</v>
      </c>
      <c r="S1401" s="13">
        <v>4</v>
      </c>
      <c r="T1401" s="9">
        <v>15</v>
      </c>
      <c r="U1401" s="13">
        <v>80</v>
      </c>
      <c r="V1401" s="8" t="s">
        <v>69</v>
      </c>
      <c r="W1401" s="8"/>
      <c r="X1401" s="22">
        <f>IF(V1401="Yes",1,0)</f>
        <v>1</v>
      </c>
      <c r="Y1401" s="22">
        <f>IF(H1401="Active",0,1)</f>
        <v>0</v>
      </c>
    </row>
    <row r="1402" spans="1:25" ht="18" customHeight="1" x14ac:dyDescent="0.35">
      <c r="A1402" s="8" t="s">
        <v>2091</v>
      </c>
      <c r="B1402" s="8" t="s">
        <v>113</v>
      </c>
      <c r="C1402" s="8" t="s">
        <v>25</v>
      </c>
      <c r="D1402" s="9">
        <v>30</v>
      </c>
      <c r="E1402" s="8" t="s">
        <v>2304</v>
      </c>
      <c r="F1402" s="8" t="s">
        <v>53</v>
      </c>
      <c r="G1402" s="10">
        <v>45509</v>
      </c>
      <c r="H1402" s="8" t="s">
        <v>26</v>
      </c>
      <c r="I1402" s="8" t="s">
        <v>2267</v>
      </c>
      <c r="J1402" s="8" t="s">
        <v>2269</v>
      </c>
      <c r="K1402" s="8" t="s">
        <v>73</v>
      </c>
      <c r="L1402" s="8" t="s">
        <v>38</v>
      </c>
      <c r="M1402" s="8" t="s">
        <v>60</v>
      </c>
      <c r="N1402" s="11">
        <v>246997</v>
      </c>
      <c r="O1402" s="11">
        <v>8556</v>
      </c>
      <c r="P1402" s="12">
        <v>94.9</v>
      </c>
      <c r="Q1402" s="9">
        <v>2</v>
      </c>
      <c r="R1402" s="13">
        <v>25</v>
      </c>
      <c r="S1402" s="13">
        <v>4</v>
      </c>
      <c r="T1402" s="9">
        <v>26</v>
      </c>
      <c r="U1402" s="13">
        <v>87</v>
      </c>
      <c r="V1402" s="8" t="s">
        <v>31</v>
      </c>
      <c r="W1402" s="8"/>
      <c r="X1402" s="22">
        <f>IF(V1402="Yes",1,0)</f>
        <v>0</v>
      </c>
      <c r="Y1402" s="22">
        <f>IF(H1402="Active",0,1)</f>
        <v>0</v>
      </c>
    </row>
    <row r="1403" spans="1:25" ht="18" customHeight="1" x14ac:dyDescent="0.35">
      <c r="A1403" s="8" t="s">
        <v>2157</v>
      </c>
      <c r="B1403" s="8" t="s">
        <v>177</v>
      </c>
      <c r="C1403" s="8" t="s">
        <v>25</v>
      </c>
      <c r="D1403" s="9">
        <v>57</v>
      </c>
      <c r="E1403" s="8" t="s">
        <v>86</v>
      </c>
      <c r="F1403" s="8" t="s">
        <v>35</v>
      </c>
      <c r="G1403" s="10">
        <v>45509</v>
      </c>
      <c r="H1403" s="8" t="s">
        <v>26</v>
      </c>
      <c r="I1403" s="8" t="s">
        <v>2267</v>
      </c>
      <c r="J1403" s="8" t="s">
        <v>48</v>
      </c>
      <c r="K1403" s="8" t="s">
        <v>2271</v>
      </c>
      <c r="L1403" s="8" t="s">
        <v>29</v>
      </c>
      <c r="M1403" s="8" t="s">
        <v>64</v>
      </c>
      <c r="N1403" s="11">
        <v>222612</v>
      </c>
      <c r="O1403" s="11">
        <v>34285</v>
      </c>
      <c r="P1403" s="12">
        <v>90</v>
      </c>
      <c r="Q1403" s="9">
        <v>6</v>
      </c>
      <c r="R1403" s="13">
        <v>7</v>
      </c>
      <c r="S1403" s="13">
        <v>4</v>
      </c>
      <c r="T1403" s="9">
        <v>4</v>
      </c>
      <c r="U1403" s="13">
        <v>87</v>
      </c>
      <c r="V1403" s="8" t="s">
        <v>31</v>
      </c>
      <c r="W1403" s="8"/>
      <c r="X1403" s="22">
        <f>IF(V1403="Yes",1,0)</f>
        <v>0</v>
      </c>
      <c r="Y1403" s="22">
        <f>IF(H1403="Active",0,1)</f>
        <v>0</v>
      </c>
    </row>
    <row r="1404" spans="1:25" ht="18" customHeight="1" x14ac:dyDescent="0.35">
      <c r="A1404" s="8" t="s">
        <v>283</v>
      </c>
      <c r="B1404" s="8" t="s">
        <v>47</v>
      </c>
      <c r="C1404" s="8" t="s">
        <v>34</v>
      </c>
      <c r="D1404" s="9">
        <v>29</v>
      </c>
      <c r="E1404" s="8" t="s">
        <v>93</v>
      </c>
      <c r="F1404" s="8" t="s">
        <v>35</v>
      </c>
      <c r="G1404" s="10">
        <v>45508</v>
      </c>
      <c r="H1404" s="8" t="s">
        <v>26</v>
      </c>
      <c r="I1404" s="8" t="s">
        <v>36</v>
      </c>
      <c r="J1404" s="8" t="s">
        <v>2270</v>
      </c>
      <c r="K1404" s="8" t="s">
        <v>55</v>
      </c>
      <c r="L1404" s="8" t="s">
        <v>116</v>
      </c>
      <c r="M1404" s="8" t="s">
        <v>45</v>
      </c>
      <c r="N1404" s="11">
        <v>63047</v>
      </c>
      <c r="O1404" s="11">
        <v>29503</v>
      </c>
      <c r="P1404" s="12">
        <v>86.2</v>
      </c>
      <c r="Q1404" s="9">
        <v>6</v>
      </c>
      <c r="R1404" s="13">
        <v>24</v>
      </c>
      <c r="S1404" s="13">
        <v>4</v>
      </c>
      <c r="T1404" s="9">
        <v>33</v>
      </c>
      <c r="U1404" s="13">
        <v>64</v>
      </c>
      <c r="V1404" s="8" t="s">
        <v>31</v>
      </c>
      <c r="W1404" s="8"/>
      <c r="X1404" s="22">
        <f>IF(V1404="Yes",1,0)</f>
        <v>0</v>
      </c>
      <c r="Y1404" s="22">
        <f>IF(H1404="Active",0,1)</f>
        <v>0</v>
      </c>
    </row>
    <row r="1405" spans="1:25" ht="18" customHeight="1" x14ac:dyDescent="0.35">
      <c r="A1405" s="14" t="s">
        <v>967</v>
      </c>
      <c r="B1405" s="14" t="s">
        <v>167</v>
      </c>
      <c r="C1405" s="14" t="s">
        <v>25</v>
      </c>
      <c r="D1405" s="15">
        <v>60</v>
      </c>
      <c r="E1405" s="14" t="s">
        <v>52</v>
      </c>
      <c r="F1405" s="14" t="s">
        <v>90</v>
      </c>
      <c r="G1405" s="16">
        <v>45508</v>
      </c>
      <c r="H1405" s="14" t="s">
        <v>26</v>
      </c>
      <c r="I1405" s="14" t="s">
        <v>36</v>
      </c>
      <c r="J1405" s="14" t="s">
        <v>2268</v>
      </c>
      <c r="K1405" s="14" t="s">
        <v>37</v>
      </c>
      <c r="L1405" s="14" t="s">
        <v>38</v>
      </c>
      <c r="M1405" s="14" t="s">
        <v>39</v>
      </c>
      <c r="N1405" s="17">
        <v>40088</v>
      </c>
      <c r="O1405" s="17">
        <v>13167</v>
      </c>
      <c r="P1405" s="18">
        <v>86.3</v>
      </c>
      <c r="Q1405" s="15">
        <v>4</v>
      </c>
      <c r="R1405" s="19">
        <v>23</v>
      </c>
      <c r="S1405" s="19">
        <v>2</v>
      </c>
      <c r="T1405" s="15">
        <v>18</v>
      </c>
      <c r="U1405" s="19">
        <v>89</v>
      </c>
      <c r="V1405" s="14" t="s">
        <v>31</v>
      </c>
      <c r="W1405" s="14"/>
      <c r="X1405" s="14">
        <f>IF(V1405="Yes",1,0)</f>
        <v>0</v>
      </c>
      <c r="Y1405" s="14">
        <f>IF(H1405="Active",0,1)</f>
        <v>0</v>
      </c>
    </row>
    <row r="1406" spans="1:25" ht="18" customHeight="1" x14ac:dyDescent="0.35">
      <c r="A1406" s="14" t="s">
        <v>1219</v>
      </c>
      <c r="B1406" s="14" t="s">
        <v>422</v>
      </c>
      <c r="C1406" s="14" t="s">
        <v>34</v>
      </c>
      <c r="D1406" s="15">
        <v>55</v>
      </c>
      <c r="E1406" s="14" t="s">
        <v>2304</v>
      </c>
      <c r="F1406" s="14" t="s">
        <v>90</v>
      </c>
      <c r="G1406" s="16">
        <v>45508</v>
      </c>
      <c r="H1406" s="14" t="s">
        <v>26</v>
      </c>
      <c r="I1406" s="14" t="s">
        <v>36</v>
      </c>
      <c r="J1406" s="14" t="s">
        <v>2268</v>
      </c>
      <c r="K1406" s="14" t="s">
        <v>73</v>
      </c>
      <c r="L1406" s="14" t="s">
        <v>38</v>
      </c>
      <c r="M1406" s="14" t="s">
        <v>64</v>
      </c>
      <c r="N1406" s="17">
        <v>112367</v>
      </c>
      <c r="O1406" s="17">
        <v>22883</v>
      </c>
      <c r="P1406" s="18">
        <v>91</v>
      </c>
      <c r="Q1406" s="15">
        <v>9</v>
      </c>
      <c r="R1406" s="19">
        <v>16</v>
      </c>
      <c r="S1406" s="19">
        <v>3</v>
      </c>
      <c r="T1406" s="15">
        <v>40</v>
      </c>
      <c r="U1406" s="19">
        <v>66</v>
      </c>
      <c r="V1406" s="14" t="s">
        <v>69</v>
      </c>
      <c r="W1406" s="14"/>
      <c r="X1406" s="14">
        <f>IF(V1406="Yes",1,0)</f>
        <v>1</v>
      </c>
      <c r="Y1406" s="14">
        <f>IF(H1406="Active",0,1)</f>
        <v>0</v>
      </c>
    </row>
    <row r="1407" spans="1:25" ht="18" customHeight="1" x14ac:dyDescent="0.35">
      <c r="A1407" s="14" t="s">
        <v>1388</v>
      </c>
      <c r="B1407" s="14" t="s">
        <v>267</v>
      </c>
      <c r="C1407" s="14" t="s">
        <v>34</v>
      </c>
      <c r="D1407" s="15">
        <v>47</v>
      </c>
      <c r="E1407" s="14" t="s">
        <v>67</v>
      </c>
      <c r="F1407" s="14" t="s">
        <v>43</v>
      </c>
      <c r="G1407" s="16">
        <v>45508</v>
      </c>
      <c r="H1407" s="14" t="s">
        <v>26</v>
      </c>
      <c r="I1407" s="14" t="s">
        <v>27</v>
      </c>
      <c r="J1407" s="14" t="s">
        <v>2270</v>
      </c>
      <c r="K1407" s="14" t="s">
        <v>28</v>
      </c>
      <c r="L1407" s="14" t="s">
        <v>68</v>
      </c>
      <c r="M1407" s="14" t="s">
        <v>45</v>
      </c>
      <c r="N1407" s="17">
        <v>150491</v>
      </c>
      <c r="O1407" s="17">
        <v>7275</v>
      </c>
      <c r="P1407" s="18">
        <v>94.4</v>
      </c>
      <c r="Q1407" s="15">
        <v>8</v>
      </c>
      <c r="R1407" s="19">
        <v>28</v>
      </c>
      <c r="S1407" s="19">
        <v>3</v>
      </c>
      <c r="T1407" s="15">
        <v>31</v>
      </c>
      <c r="U1407" s="19">
        <v>70</v>
      </c>
      <c r="V1407" s="14" t="s">
        <v>31</v>
      </c>
      <c r="W1407" s="14"/>
      <c r="X1407" s="14">
        <f>IF(V1407="Yes",1,0)</f>
        <v>0</v>
      </c>
      <c r="Y1407" s="14">
        <f>IF(H1407="Active",0,1)</f>
        <v>0</v>
      </c>
    </row>
    <row r="1408" spans="1:25" ht="18" customHeight="1" x14ac:dyDescent="0.35">
      <c r="A1408" s="8" t="s">
        <v>1711</v>
      </c>
      <c r="B1408" s="8" t="s">
        <v>464</v>
      </c>
      <c r="C1408" s="8" t="s">
        <v>25</v>
      </c>
      <c r="D1408" s="9">
        <v>28</v>
      </c>
      <c r="E1408" s="8" t="s">
        <v>2303</v>
      </c>
      <c r="F1408" s="8" t="s">
        <v>72</v>
      </c>
      <c r="G1408" s="10">
        <v>45508</v>
      </c>
      <c r="H1408" s="8" t="s">
        <v>26</v>
      </c>
      <c r="I1408" s="8" t="s">
        <v>2267</v>
      </c>
      <c r="J1408" s="8" t="s">
        <v>2268</v>
      </c>
      <c r="K1408" s="8" t="s">
        <v>73</v>
      </c>
      <c r="L1408" s="8" t="s">
        <v>49</v>
      </c>
      <c r="M1408" s="8" t="s">
        <v>30</v>
      </c>
      <c r="N1408" s="11">
        <v>242536</v>
      </c>
      <c r="O1408" s="11">
        <v>16171</v>
      </c>
      <c r="P1408" s="12">
        <v>95.7</v>
      </c>
      <c r="Q1408" s="9">
        <v>1</v>
      </c>
      <c r="R1408" s="13">
        <v>19</v>
      </c>
      <c r="S1408" s="13">
        <v>2</v>
      </c>
      <c r="T1408" s="9">
        <v>1</v>
      </c>
      <c r="U1408" s="13">
        <v>79</v>
      </c>
      <c r="V1408" s="8" t="s">
        <v>31</v>
      </c>
      <c r="W1408" s="8"/>
      <c r="X1408" s="22">
        <f>IF(V1408="Yes",1,0)</f>
        <v>0</v>
      </c>
      <c r="Y1408" s="22">
        <f>IF(H1408="Active",0,1)</f>
        <v>0</v>
      </c>
    </row>
    <row r="1409" spans="1:25" ht="18" customHeight="1" x14ac:dyDescent="0.35">
      <c r="A1409" s="14" t="s">
        <v>2158</v>
      </c>
      <c r="B1409" s="14" t="s">
        <v>520</v>
      </c>
      <c r="C1409" s="14" t="s">
        <v>34</v>
      </c>
      <c r="D1409" s="15">
        <v>25</v>
      </c>
      <c r="E1409" s="14" t="s">
        <v>93</v>
      </c>
      <c r="F1409" s="14" t="s">
        <v>12</v>
      </c>
      <c r="G1409" s="16">
        <v>45508</v>
      </c>
      <c r="H1409" s="14" t="s">
        <v>26</v>
      </c>
      <c r="I1409" s="14" t="s">
        <v>36</v>
      </c>
      <c r="J1409" s="14" t="s">
        <v>2269</v>
      </c>
      <c r="K1409" s="14" t="s">
        <v>73</v>
      </c>
      <c r="L1409" s="14" t="s">
        <v>116</v>
      </c>
      <c r="M1409" s="14" t="s">
        <v>64</v>
      </c>
      <c r="N1409" s="17">
        <v>54796</v>
      </c>
      <c r="O1409" s="17">
        <v>10428</v>
      </c>
      <c r="P1409" s="18">
        <v>91</v>
      </c>
      <c r="Q1409" s="15">
        <v>5</v>
      </c>
      <c r="R1409" s="19">
        <v>16</v>
      </c>
      <c r="S1409" s="19">
        <v>5</v>
      </c>
      <c r="T1409" s="15">
        <v>36</v>
      </c>
      <c r="U1409" s="19">
        <v>79</v>
      </c>
      <c r="V1409" s="14" t="s">
        <v>31</v>
      </c>
      <c r="W1409" s="14"/>
      <c r="X1409" s="14">
        <f>IF(V1409="Yes",1,0)</f>
        <v>0</v>
      </c>
      <c r="Y1409" s="14">
        <f>IF(H1409="Active",0,1)</f>
        <v>0</v>
      </c>
    </row>
    <row r="1410" spans="1:25" ht="18" customHeight="1" x14ac:dyDescent="0.35">
      <c r="A1410" s="8" t="s">
        <v>1657</v>
      </c>
      <c r="B1410" s="8" t="s">
        <v>261</v>
      </c>
      <c r="C1410" s="8" t="s">
        <v>25</v>
      </c>
      <c r="D1410" s="9">
        <v>28</v>
      </c>
      <c r="E1410" s="8" t="s">
        <v>63</v>
      </c>
      <c r="F1410" s="8" t="s">
        <v>76</v>
      </c>
      <c r="G1410" s="10">
        <v>45507</v>
      </c>
      <c r="H1410" s="8" t="s">
        <v>26</v>
      </c>
      <c r="I1410" s="8" t="s">
        <v>36</v>
      </c>
      <c r="J1410" s="8" t="s">
        <v>80</v>
      </c>
      <c r="K1410" s="8" t="s">
        <v>28</v>
      </c>
      <c r="L1410" s="8" t="s">
        <v>44</v>
      </c>
      <c r="M1410" s="8" t="s">
        <v>30</v>
      </c>
      <c r="N1410" s="11">
        <v>139392</v>
      </c>
      <c r="O1410" s="11">
        <v>40551</v>
      </c>
      <c r="P1410" s="12">
        <v>88.8</v>
      </c>
      <c r="Q1410" s="9">
        <v>5</v>
      </c>
      <c r="R1410" s="13">
        <v>21</v>
      </c>
      <c r="S1410" s="13">
        <v>2</v>
      </c>
      <c r="T1410" s="9">
        <v>35</v>
      </c>
      <c r="U1410" s="13">
        <v>100</v>
      </c>
      <c r="V1410" s="8" t="s">
        <v>31</v>
      </c>
      <c r="W1410" s="8"/>
      <c r="X1410" s="22">
        <f>IF(V1410="Yes",1,0)</f>
        <v>0</v>
      </c>
      <c r="Y1410" s="22">
        <f>IF(H1410="Active",0,1)</f>
        <v>0</v>
      </c>
    </row>
    <row r="1411" spans="1:25" ht="18" customHeight="1" x14ac:dyDescent="0.35">
      <c r="A1411" s="8" t="s">
        <v>376</v>
      </c>
      <c r="B1411" s="8" t="s">
        <v>311</v>
      </c>
      <c r="C1411" s="8" t="s">
        <v>25</v>
      </c>
      <c r="D1411" s="9">
        <v>23</v>
      </c>
      <c r="E1411" s="8" t="s">
        <v>2304</v>
      </c>
      <c r="F1411" s="8" t="s">
        <v>79</v>
      </c>
      <c r="G1411" s="10">
        <v>45506</v>
      </c>
      <c r="H1411" s="8" t="s">
        <v>26</v>
      </c>
      <c r="I1411" s="8" t="s">
        <v>2267</v>
      </c>
      <c r="J1411" s="8" t="s">
        <v>80</v>
      </c>
      <c r="K1411" s="8" t="s">
        <v>73</v>
      </c>
      <c r="L1411" s="8" t="s">
        <v>38</v>
      </c>
      <c r="M1411" s="8" t="s">
        <v>60</v>
      </c>
      <c r="N1411" s="11">
        <v>82904</v>
      </c>
      <c r="O1411" s="11">
        <v>16684</v>
      </c>
      <c r="P1411" s="12">
        <v>98</v>
      </c>
      <c r="Q1411" s="9">
        <v>4</v>
      </c>
      <c r="R1411" s="13">
        <v>22</v>
      </c>
      <c r="S1411" s="13">
        <v>1</v>
      </c>
      <c r="T1411" s="9">
        <v>24</v>
      </c>
      <c r="U1411" s="13">
        <v>94</v>
      </c>
      <c r="V1411" s="8" t="s">
        <v>31</v>
      </c>
      <c r="W1411" s="8"/>
      <c r="X1411" s="22">
        <f>IF(V1411="Yes",1,0)</f>
        <v>0</v>
      </c>
      <c r="Y1411" s="22">
        <f>IF(H1411="Active",0,1)</f>
        <v>0</v>
      </c>
    </row>
    <row r="1412" spans="1:25" ht="18" customHeight="1" x14ac:dyDescent="0.35">
      <c r="A1412" s="8" t="s">
        <v>1180</v>
      </c>
      <c r="B1412" s="8" t="s">
        <v>261</v>
      </c>
      <c r="C1412" s="8" t="s">
        <v>25</v>
      </c>
      <c r="D1412" s="9">
        <v>41</v>
      </c>
      <c r="E1412" s="8" t="s">
        <v>42</v>
      </c>
      <c r="F1412" s="8" t="s">
        <v>53</v>
      </c>
      <c r="G1412" s="10">
        <v>45505</v>
      </c>
      <c r="H1412" s="8" t="s">
        <v>26</v>
      </c>
      <c r="I1412" s="8" t="s">
        <v>2267</v>
      </c>
      <c r="J1412" s="8" t="s">
        <v>2268</v>
      </c>
      <c r="K1412" s="8" t="s">
        <v>55</v>
      </c>
      <c r="L1412" s="8" t="s">
        <v>29</v>
      </c>
      <c r="M1412" s="8" t="s">
        <v>39</v>
      </c>
      <c r="N1412" s="11">
        <v>118854</v>
      </c>
      <c r="O1412" s="11">
        <v>22341</v>
      </c>
      <c r="P1412" s="12">
        <v>100</v>
      </c>
      <c r="Q1412" s="9">
        <v>7</v>
      </c>
      <c r="R1412" s="13">
        <v>17</v>
      </c>
      <c r="S1412" s="13">
        <v>2</v>
      </c>
      <c r="T1412" s="9">
        <v>27</v>
      </c>
      <c r="U1412" s="13">
        <v>60</v>
      </c>
      <c r="V1412" s="8" t="s">
        <v>31</v>
      </c>
      <c r="W1412" s="8"/>
      <c r="X1412" s="22">
        <f>IF(V1412="Yes",1,0)</f>
        <v>0</v>
      </c>
      <c r="Y1412" s="22">
        <f>IF(H1412="Active",0,1)</f>
        <v>0</v>
      </c>
    </row>
    <row r="1413" spans="1:25" ht="18" customHeight="1" x14ac:dyDescent="0.35">
      <c r="A1413" s="8" t="s">
        <v>1739</v>
      </c>
      <c r="B1413" s="8" t="s">
        <v>435</v>
      </c>
      <c r="C1413" s="8" t="s">
        <v>25</v>
      </c>
      <c r="D1413" s="9">
        <v>23</v>
      </c>
      <c r="E1413" s="8" t="s">
        <v>2304</v>
      </c>
      <c r="F1413" s="8" t="s">
        <v>43</v>
      </c>
      <c r="G1413" s="10">
        <v>45505</v>
      </c>
      <c r="H1413" s="8" t="s">
        <v>26</v>
      </c>
      <c r="I1413" s="8" t="s">
        <v>2267</v>
      </c>
      <c r="J1413" s="8" t="s">
        <v>2270</v>
      </c>
      <c r="K1413" s="8" t="s">
        <v>2271</v>
      </c>
      <c r="L1413" s="8" t="s">
        <v>44</v>
      </c>
      <c r="M1413" s="8" t="s">
        <v>45</v>
      </c>
      <c r="N1413" s="11">
        <v>214936</v>
      </c>
      <c r="O1413" s="11">
        <v>32299</v>
      </c>
      <c r="P1413" s="12">
        <v>98.4</v>
      </c>
      <c r="Q1413" s="9">
        <v>9</v>
      </c>
      <c r="R1413" s="13">
        <v>5</v>
      </c>
      <c r="S1413" s="13">
        <v>2</v>
      </c>
      <c r="T1413" s="9">
        <v>15</v>
      </c>
      <c r="U1413" s="13">
        <v>75</v>
      </c>
      <c r="V1413" s="8" t="s">
        <v>31</v>
      </c>
      <c r="W1413" s="8"/>
      <c r="X1413" s="22">
        <f>IF(V1413="Yes",1,0)</f>
        <v>0</v>
      </c>
      <c r="Y1413" s="22">
        <f>IF(H1413="Active",0,1)</f>
        <v>0</v>
      </c>
    </row>
    <row r="1414" spans="1:25" ht="18" customHeight="1" x14ac:dyDescent="0.35">
      <c r="A1414" s="14" t="s">
        <v>1888</v>
      </c>
      <c r="B1414" s="14" t="s">
        <v>201</v>
      </c>
      <c r="C1414" s="14" t="s">
        <v>34</v>
      </c>
      <c r="D1414" s="15">
        <v>41</v>
      </c>
      <c r="E1414" s="14" t="s">
        <v>2303</v>
      </c>
      <c r="F1414" s="14" t="s">
        <v>12</v>
      </c>
      <c r="G1414" s="16">
        <v>45505</v>
      </c>
      <c r="H1414" s="14" t="s">
        <v>26</v>
      </c>
      <c r="I1414" s="14" t="s">
        <v>27</v>
      </c>
      <c r="J1414" s="14" t="s">
        <v>2270</v>
      </c>
      <c r="K1414" s="14" t="s">
        <v>73</v>
      </c>
      <c r="L1414" s="14" t="s">
        <v>87</v>
      </c>
      <c r="M1414" s="14" t="s">
        <v>39</v>
      </c>
      <c r="N1414" s="17">
        <v>189055</v>
      </c>
      <c r="O1414" s="17">
        <v>6893</v>
      </c>
      <c r="P1414" s="18">
        <v>93.6</v>
      </c>
      <c r="Q1414" s="15">
        <v>1</v>
      </c>
      <c r="R1414" s="19">
        <v>15</v>
      </c>
      <c r="S1414" s="19">
        <v>5</v>
      </c>
      <c r="T1414" s="15">
        <v>26</v>
      </c>
      <c r="U1414" s="19">
        <v>68</v>
      </c>
      <c r="V1414" s="14" t="s">
        <v>31</v>
      </c>
      <c r="W1414" s="14"/>
      <c r="X1414" s="14">
        <f>IF(V1414="Yes",1,0)</f>
        <v>0</v>
      </c>
      <c r="Y1414" s="14">
        <f>IF(H1414="Active",0,1)</f>
        <v>0</v>
      </c>
    </row>
    <row r="1415" spans="1:25" ht="18" customHeight="1" x14ac:dyDescent="0.35">
      <c r="A1415" s="14" t="s">
        <v>1560</v>
      </c>
      <c r="B1415" s="14" t="s">
        <v>59</v>
      </c>
      <c r="C1415" s="14" t="s">
        <v>34</v>
      </c>
      <c r="D1415" s="15">
        <v>52</v>
      </c>
      <c r="E1415" s="14" t="s">
        <v>42</v>
      </c>
      <c r="F1415" s="14" t="s">
        <v>12</v>
      </c>
      <c r="G1415" s="16">
        <v>45504</v>
      </c>
      <c r="H1415" s="14" t="s">
        <v>26</v>
      </c>
      <c r="I1415" s="14" t="s">
        <v>2267</v>
      </c>
      <c r="J1415" s="14" t="s">
        <v>2269</v>
      </c>
      <c r="K1415" s="14" t="s">
        <v>2271</v>
      </c>
      <c r="L1415" s="14" t="s">
        <v>44</v>
      </c>
      <c r="M1415" s="14" t="s">
        <v>45</v>
      </c>
      <c r="N1415" s="17">
        <v>156119</v>
      </c>
      <c r="O1415" s="17">
        <v>48474</v>
      </c>
      <c r="P1415" s="18">
        <v>99.4</v>
      </c>
      <c r="Q1415" s="15">
        <v>5</v>
      </c>
      <c r="R1415" s="19">
        <v>22</v>
      </c>
      <c r="S1415" s="19">
        <v>4</v>
      </c>
      <c r="T1415" s="15">
        <v>40</v>
      </c>
      <c r="U1415" s="19">
        <v>79</v>
      </c>
      <c r="V1415" s="14" t="s">
        <v>31</v>
      </c>
      <c r="W1415" s="14"/>
      <c r="X1415" s="14">
        <f>IF(V1415="Yes",1,0)</f>
        <v>0</v>
      </c>
      <c r="Y1415" s="14">
        <f>IF(H1415="Active",0,1)</f>
        <v>0</v>
      </c>
    </row>
    <row r="1416" spans="1:25" ht="18" customHeight="1" x14ac:dyDescent="0.35">
      <c r="A1416" s="8" t="s">
        <v>241</v>
      </c>
      <c r="B1416" s="8" t="s">
        <v>104</v>
      </c>
      <c r="C1416" s="8" t="s">
        <v>34</v>
      </c>
      <c r="D1416" s="9">
        <v>27</v>
      </c>
      <c r="E1416" s="8" t="s">
        <v>42</v>
      </c>
      <c r="F1416" s="8" t="s">
        <v>43</v>
      </c>
      <c r="G1416" s="10">
        <v>45502</v>
      </c>
      <c r="H1416" s="8" t="s">
        <v>26</v>
      </c>
      <c r="I1416" s="8" t="s">
        <v>27</v>
      </c>
      <c r="J1416" s="8" t="s">
        <v>2270</v>
      </c>
      <c r="K1416" s="8" t="s">
        <v>37</v>
      </c>
      <c r="L1416" s="8" t="s">
        <v>29</v>
      </c>
      <c r="M1416" s="8" t="s">
        <v>60</v>
      </c>
      <c r="N1416" s="11">
        <v>77738</v>
      </c>
      <c r="O1416" s="11">
        <v>26512</v>
      </c>
      <c r="P1416" s="12">
        <v>95</v>
      </c>
      <c r="Q1416" s="9">
        <v>6</v>
      </c>
      <c r="R1416" s="13">
        <v>7</v>
      </c>
      <c r="S1416" s="13">
        <v>4</v>
      </c>
      <c r="T1416" s="9">
        <v>36</v>
      </c>
      <c r="U1416" s="13">
        <v>78</v>
      </c>
      <c r="V1416" s="8" t="s">
        <v>69</v>
      </c>
      <c r="W1416" s="8"/>
      <c r="X1416" s="22">
        <f>IF(V1416="Yes",1,0)</f>
        <v>1</v>
      </c>
      <c r="Y1416" s="22">
        <f>IF(H1416="Active",0,1)</f>
        <v>0</v>
      </c>
    </row>
    <row r="1417" spans="1:25" ht="18" customHeight="1" x14ac:dyDescent="0.35">
      <c r="A1417" s="14" t="s">
        <v>1183</v>
      </c>
      <c r="B1417" s="14" t="s">
        <v>467</v>
      </c>
      <c r="C1417" s="14" t="s">
        <v>34</v>
      </c>
      <c r="D1417" s="15">
        <v>44</v>
      </c>
      <c r="E1417" s="14" t="s">
        <v>2304</v>
      </c>
      <c r="F1417" s="14" t="s">
        <v>72</v>
      </c>
      <c r="G1417" s="16">
        <v>45502</v>
      </c>
      <c r="H1417" s="14" t="s">
        <v>26</v>
      </c>
      <c r="I1417" s="14" t="s">
        <v>36</v>
      </c>
      <c r="J1417" s="14" t="s">
        <v>2269</v>
      </c>
      <c r="K1417" s="14" t="s">
        <v>28</v>
      </c>
      <c r="L1417" s="14" t="s">
        <v>29</v>
      </c>
      <c r="M1417" s="14" t="s">
        <v>60</v>
      </c>
      <c r="N1417" s="17">
        <v>236117</v>
      </c>
      <c r="O1417" s="17">
        <v>47675</v>
      </c>
      <c r="P1417" s="18">
        <v>81</v>
      </c>
      <c r="Q1417" s="15">
        <v>8</v>
      </c>
      <c r="R1417" s="19">
        <v>17</v>
      </c>
      <c r="S1417" s="19">
        <v>2</v>
      </c>
      <c r="T1417" s="15">
        <v>17</v>
      </c>
      <c r="U1417" s="19">
        <v>97</v>
      </c>
      <c r="V1417" s="14" t="s">
        <v>31</v>
      </c>
      <c r="W1417" s="14"/>
      <c r="X1417" s="14">
        <f>IF(V1417="Yes",1,0)</f>
        <v>0</v>
      </c>
      <c r="Y1417" s="14">
        <f>IF(H1417="Active",0,1)</f>
        <v>0</v>
      </c>
    </row>
    <row r="1418" spans="1:25" ht="18" customHeight="1" x14ac:dyDescent="0.35">
      <c r="A1418" s="8" t="s">
        <v>2119</v>
      </c>
      <c r="B1418" s="8" t="s">
        <v>181</v>
      </c>
      <c r="C1418" s="8" t="s">
        <v>34</v>
      </c>
      <c r="D1418" s="9">
        <v>40</v>
      </c>
      <c r="E1418" s="8" t="s">
        <v>86</v>
      </c>
      <c r="F1418" s="8" t="s">
        <v>12</v>
      </c>
      <c r="G1418" s="10">
        <v>45502</v>
      </c>
      <c r="H1418" s="8" t="s">
        <v>26</v>
      </c>
      <c r="I1418" s="8" t="s">
        <v>2267</v>
      </c>
      <c r="J1418" s="8" t="s">
        <v>2270</v>
      </c>
      <c r="K1418" s="8" t="s">
        <v>73</v>
      </c>
      <c r="L1418" s="8" t="s">
        <v>116</v>
      </c>
      <c r="M1418" s="8" t="s">
        <v>39</v>
      </c>
      <c r="N1418" s="11">
        <v>71201</v>
      </c>
      <c r="O1418" s="11">
        <v>32120</v>
      </c>
      <c r="P1418" s="12">
        <v>87.4</v>
      </c>
      <c r="Q1418" s="9">
        <v>7</v>
      </c>
      <c r="R1418" s="13">
        <v>17</v>
      </c>
      <c r="S1418" s="13">
        <v>3</v>
      </c>
      <c r="T1418" s="9">
        <v>34</v>
      </c>
      <c r="U1418" s="13">
        <v>87</v>
      </c>
      <c r="V1418" s="8" t="s">
        <v>31</v>
      </c>
      <c r="W1418" s="8"/>
      <c r="X1418" s="22">
        <f>IF(V1418="Yes",1,0)</f>
        <v>0</v>
      </c>
      <c r="Y1418" s="22">
        <f>IF(H1418="Active",0,1)</f>
        <v>0</v>
      </c>
    </row>
    <row r="1419" spans="1:25" ht="18" customHeight="1" x14ac:dyDescent="0.35">
      <c r="A1419" s="8" t="s">
        <v>2207</v>
      </c>
      <c r="B1419" s="8" t="s">
        <v>329</v>
      </c>
      <c r="C1419" s="8" t="s">
        <v>25</v>
      </c>
      <c r="D1419" s="9">
        <v>44</v>
      </c>
      <c r="E1419" s="8" t="s">
        <v>52</v>
      </c>
      <c r="F1419" s="8" t="s">
        <v>79</v>
      </c>
      <c r="G1419" s="10">
        <v>45502</v>
      </c>
      <c r="H1419" s="8" t="s">
        <v>26</v>
      </c>
      <c r="I1419" s="8" t="s">
        <v>2267</v>
      </c>
      <c r="J1419" s="8" t="s">
        <v>2269</v>
      </c>
      <c r="K1419" s="8" t="s">
        <v>55</v>
      </c>
      <c r="L1419" s="8" t="s">
        <v>49</v>
      </c>
      <c r="M1419" s="8" t="s">
        <v>45</v>
      </c>
      <c r="N1419" s="11">
        <v>221972</v>
      </c>
      <c r="O1419" s="11">
        <v>49528</v>
      </c>
      <c r="P1419" s="12">
        <v>89.4</v>
      </c>
      <c r="Q1419" s="9">
        <v>5</v>
      </c>
      <c r="R1419" s="13">
        <v>15</v>
      </c>
      <c r="S1419" s="13">
        <v>2</v>
      </c>
      <c r="T1419" s="9">
        <v>24</v>
      </c>
      <c r="U1419" s="13">
        <v>75</v>
      </c>
      <c r="V1419" s="8" t="s">
        <v>69</v>
      </c>
      <c r="W1419" s="8"/>
      <c r="X1419" s="22">
        <f>IF(V1419="Yes",1,0)</f>
        <v>1</v>
      </c>
      <c r="Y1419" s="22">
        <f>IF(H1419="Active",0,1)</f>
        <v>0</v>
      </c>
    </row>
    <row r="1420" spans="1:25" ht="18" customHeight="1" x14ac:dyDescent="0.35">
      <c r="A1420" s="14" t="s">
        <v>1792</v>
      </c>
      <c r="B1420" s="14" t="s">
        <v>518</v>
      </c>
      <c r="C1420" s="14" t="s">
        <v>34</v>
      </c>
      <c r="D1420" s="15">
        <v>34</v>
      </c>
      <c r="E1420" s="14" t="s">
        <v>2304</v>
      </c>
      <c r="F1420" s="14" t="s">
        <v>72</v>
      </c>
      <c r="G1420" s="16">
        <v>45501</v>
      </c>
      <c r="H1420" s="14" t="s">
        <v>26</v>
      </c>
      <c r="I1420" s="14" t="s">
        <v>2267</v>
      </c>
      <c r="J1420" s="14" t="s">
        <v>80</v>
      </c>
      <c r="K1420" s="14" t="s">
        <v>55</v>
      </c>
      <c r="L1420" s="14" t="s">
        <v>68</v>
      </c>
      <c r="M1420" s="14" t="s">
        <v>60</v>
      </c>
      <c r="N1420" s="17">
        <v>223846</v>
      </c>
      <c r="O1420" s="17">
        <v>31064</v>
      </c>
      <c r="P1420" s="18">
        <v>94.7</v>
      </c>
      <c r="Q1420" s="15">
        <v>1</v>
      </c>
      <c r="R1420" s="19">
        <v>14</v>
      </c>
      <c r="S1420" s="19">
        <v>4</v>
      </c>
      <c r="T1420" s="15">
        <v>14</v>
      </c>
      <c r="U1420" s="19">
        <v>67</v>
      </c>
      <c r="V1420" s="14" t="s">
        <v>31</v>
      </c>
      <c r="W1420" s="14"/>
      <c r="X1420" s="14">
        <f>IF(V1420="Yes",1,0)</f>
        <v>0</v>
      </c>
      <c r="Y1420" s="14">
        <f>IF(H1420="Active",0,1)</f>
        <v>0</v>
      </c>
    </row>
    <row r="1421" spans="1:25" ht="18" customHeight="1" x14ac:dyDescent="0.35">
      <c r="A1421" s="14" t="s">
        <v>88</v>
      </c>
      <c r="B1421" s="14" t="s">
        <v>89</v>
      </c>
      <c r="C1421" s="14" t="s">
        <v>34</v>
      </c>
      <c r="D1421" s="15">
        <v>32</v>
      </c>
      <c r="E1421" s="14" t="s">
        <v>2304</v>
      </c>
      <c r="F1421" s="14" t="s">
        <v>90</v>
      </c>
      <c r="G1421" s="16">
        <v>45500</v>
      </c>
      <c r="H1421" s="14" t="s">
        <v>26</v>
      </c>
      <c r="I1421" s="14" t="s">
        <v>2267</v>
      </c>
      <c r="J1421" s="14" t="s">
        <v>2270</v>
      </c>
      <c r="K1421" s="14" t="s">
        <v>55</v>
      </c>
      <c r="L1421" s="14" t="s">
        <v>56</v>
      </c>
      <c r="M1421" s="14" t="s">
        <v>39</v>
      </c>
      <c r="N1421" s="17">
        <v>202776</v>
      </c>
      <c r="O1421" s="17">
        <v>35084</v>
      </c>
      <c r="P1421" s="18">
        <v>94.4</v>
      </c>
      <c r="Q1421" s="15">
        <v>7</v>
      </c>
      <c r="R1421" s="19">
        <v>15</v>
      </c>
      <c r="S1421" s="19">
        <v>2</v>
      </c>
      <c r="T1421" s="15">
        <v>33</v>
      </c>
      <c r="U1421" s="19">
        <v>61</v>
      </c>
      <c r="V1421" s="14" t="s">
        <v>31</v>
      </c>
      <c r="W1421" s="14"/>
      <c r="X1421" s="14">
        <f>IF(V1421="Yes",1,0)</f>
        <v>0</v>
      </c>
      <c r="Y1421" s="14">
        <f>IF(H1421="Active",0,1)</f>
        <v>0</v>
      </c>
    </row>
    <row r="1422" spans="1:25" ht="18" customHeight="1" x14ac:dyDescent="0.35">
      <c r="A1422" s="8" t="s">
        <v>1857</v>
      </c>
      <c r="B1422" s="8" t="s">
        <v>390</v>
      </c>
      <c r="C1422" s="8" t="s">
        <v>25</v>
      </c>
      <c r="D1422" s="9">
        <v>50</v>
      </c>
      <c r="E1422" s="8" t="s">
        <v>2303</v>
      </c>
      <c r="F1422" s="8" t="s">
        <v>76</v>
      </c>
      <c r="G1422" s="10">
        <v>45500</v>
      </c>
      <c r="H1422" s="8" t="s">
        <v>54</v>
      </c>
      <c r="I1422" s="8" t="s">
        <v>36</v>
      </c>
      <c r="J1422" s="8" t="s">
        <v>48</v>
      </c>
      <c r="K1422" s="8" t="s">
        <v>2271</v>
      </c>
      <c r="L1422" s="8" t="s">
        <v>29</v>
      </c>
      <c r="M1422" s="8" t="s">
        <v>64</v>
      </c>
      <c r="N1422" s="11">
        <v>150328</v>
      </c>
      <c r="O1422" s="11">
        <v>35853</v>
      </c>
      <c r="P1422" s="12">
        <v>94.5</v>
      </c>
      <c r="Q1422" s="9">
        <v>10</v>
      </c>
      <c r="R1422" s="13">
        <v>0</v>
      </c>
      <c r="S1422" s="13">
        <v>2</v>
      </c>
      <c r="T1422" s="9">
        <v>23</v>
      </c>
      <c r="U1422" s="13">
        <v>71</v>
      </c>
      <c r="V1422" s="8" t="s">
        <v>31</v>
      </c>
      <c r="W1422" s="8" t="s">
        <v>83</v>
      </c>
      <c r="X1422" s="22">
        <f>IF(V1422="Yes",1,0)</f>
        <v>0</v>
      </c>
      <c r="Y1422" s="22">
        <f>IF(H1422="Active",0,1)</f>
        <v>1</v>
      </c>
    </row>
    <row r="1423" spans="1:25" ht="18" customHeight="1" x14ac:dyDescent="0.35">
      <c r="A1423" s="14" t="s">
        <v>577</v>
      </c>
      <c r="B1423" s="14" t="s">
        <v>111</v>
      </c>
      <c r="C1423" s="14" t="s">
        <v>25</v>
      </c>
      <c r="D1423" s="15">
        <v>37</v>
      </c>
      <c r="E1423" s="14" t="s">
        <v>2303</v>
      </c>
      <c r="F1423" s="14" t="s">
        <v>72</v>
      </c>
      <c r="G1423" s="16">
        <v>45499</v>
      </c>
      <c r="H1423" s="14" t="s">
        <v>26</v>
      </c>
      <c r="I1423" s="14" t="s">
        <v>27</v>
      </c>
      <c r="J1423" s="14" t="s">
        <v>2269</v>
      </c>
      <c r="K1423" s="14" t="s">
        <v>73</v>
      </c>
      <c r="L1423" s="14" t="s">
        <v>29</v>
      </c>
      <c r="M1423" s="14" t="s">
        <v>45</v>
      </c>
      <c r="N1423" s="17">
        <v>177344</v>
      </c>
      <c r="O1423" s="17">
        <v>13409</v>
      </c>
      <c r="P1423" s="18">
        <v>84.7</v>
      </c>
      <c r="Q1423" s="15">
        <v>10</v>
      </c>
      <c r="R1423" s="19">
        <v>8</v>
      </c>
      <c r="S1423" s="19">
        <v>4</v>
      </c>
      <c r="T1423" s="15">
        <v>13</v>
      </c>
      <c r="U1423" s="19">
        <v>79</v>
      </c>
      <c r="V1423" s="14" t="s">
        <v>31</v>
      </c>
      <c r="W1423" s="14"/>
      <c r="X1423" s="14">
        <f>IF(V1423="Yes",1,0)</f>
        <v>0</v>
      </c>
      <c r="Y1423" s="14">
        <f>IF(H1423="Active",0,1)</f>
        <v>0</v>
      </c>
    </row>
    <row r="1424" spans="1:25" ht="18" customHeight="1" x14ac:dyDescent="0.35">
      <c r="A1424" s="8" t="s">
        <v>781</v>
      </c>
      <c r="B1424" s="8" t="s">
        <v>467</v>
      </c>
      <c r="C1424" s="8" t="s">
        <v>25</v>
      </c>
      <c r="D1424" s="9">
        <v>44</v>
      </c>
      <c r="E1424" s="8" t="s">
        <v>52</v>
      </c>
      <c r="F1424" s="8" t="s">
        <v>35</v>
      </c>
      <c r="G1424" s="10">
        <v>45499</v>
      </c>
      <c r="H1424" s="8" t="s">
        <v>26</v>
      </c>
      <c r="I1424" s="8" t="s">
        <v>2267</v>
      </c>
      <c r="J1424" s="8" t="s">
        <v>2270</v>
      </c>
      <c r="K1424" s="8" t="s">
        <v>2271</v>
      </c>
      <c r="L1424" s="8" t="s">
        <v>56</v>
      </c>
      <c r="M1424" s="8" t="s">
        <v>39</v>
      </c>
      <c r="N1424" s="11">
        <v>74946</v>
      </c>
      <c r="O1424" s="11">
        <v>8165</v>
      </c>
      <c r="P1424" s="12">
        <v>93.6</v>
      </c>
      <c r="Q1424" s="9">
        <v>9</v>
      </c>
      <c r="R1424" s="13">
        <v>4</v>
      </c>
      <c r="S1424" s="13">
        <v>2</v>
      </c>
      <c r="T1424" s="9">
        <v>13</v>
      </c>
      <c r="U1424" s="13">
        <v>70</v>
      </c>
      <c r="V1424" s="8" t="s">
        <v>31</v>
      </c>
      <c r="W1424" s="8"/>
      <c r="X1424" s="22">
        <f>IF(V1424="Yes",1,0)</f>
        <v>0</v>
      </c>
      <c r="Y1424" s="22">
        <f>IF(H1424="Active",0,1)</f>
        <v>0</v>
      </c>
    </row>
    <row r="1425" spans="1:25" ht="18" customHeight="1" x14ac:dyDescent="0.35">
      <c r="A1425" s="8" t="s">
        <v>985</v>
      </c>
      <c r="B1425" s="8" t="s">
        <v>149</v>
      </c>
      <c r="C1425" s="8" t="s">
        <v>25</v>
      </c>
      <c r="D1425" s="9">
        <v>24</v>
      </c>
      <c r="E1425" s="8" t="s">
        <v>52</v>
      </c>
      <c r="F1425" s="8" t="s">
        <v>53</v>
      </c>
      <c r="G1425" s="10">
        <v>45498</v>
      </c>
      <c r="H1425" s="8" t="s">
        <v>26</v>
      </c>
      <c r="I1425" s="8" t="s">
        <v>27</v>
      </c>
      <c r="J1425" s="8" t="s">
        <v>2268</v>
      </c>
      <c r="K1425" s="8" t="s">
        <v>73</v>
      </c>
      <c r="L1425" s="8" t="s">
        <v>49</v>
      </c>
      <c r="M1425" s="8" t="s">
        <v>30</v>
      </c>
      <c r="N1425" s="11">
        <v>49762</v>
      </c>
      <c r="O1425" s="11">
        <v>44190</v>
      </c>
      <c r="P1425" s="12">
        <v>84.2</v>
      </c>
      <c r="Q1425" s="9">
        <v>4</v>
      </c>
      <c r="R1425" s="13">
        <v>5</v>
      </c>
      <c r="S1425" s="13">
        <v>3</v>
      </c>
      <c r="T1425" s="9">
        <v>1</v>
      </c>
      <c r="U1425" s="13">
        <v>62</v>
      </c>
      <c r="V1425" s="8" t="s">
        <v>31</v>
      </c>
      <c r="W1425" s="8"/>
      <c r="X1425" s="22">
        <f>IF(V1425="Yes",1,0)</f>
        <v>0</v>
      </c>
      <c r="Y1425" s="22">
        <f>IF(H1425="Active",0,1)</f>
        <v>0</v>
      </c>
    </row>
    <row r="1426" spans="1:25" ht="18" customHeight="1" x14ac:dyDescent="0.35">
      <c r="A1426" s="14" t="s">
        <v>1698</v>
      </c>
      <c r="B1426" s="14" t="s">
        <v>85</v>
      </c>
      <c r="C1426" s="14" t="s">
        <v>34</v>
      </c>
      <c r="D1426" s="15">
        <v>58</v>
      </c>
      <c r="E1426" s="14" t="s">
        <v>2303</v>
      </c>
      <c r="F1426" s="14" t="s">
        <v>79</v>
      </c>
      <c r="G1426" s="16">
        <v>45498</v>
      </c>
      <c r="H1426" s="14" t="s">
        <v>26</v>
      </c>
      <c r="I1426" s="14" t="s">
        <v>27</v>
      </c>
      <c r="J1426" s="14" t="s">
        <v>80</v>
      </c>
      <c r="K1426" s="14" t="s">
        <v>73</v>
      </c>
      <c r="L1426" s="14" t="s">
        <v>116</v>
      </c>
      <c r="M1426" s="14" t="s">
        <v>45</v>
      </c>
      <c r="N1426" s="17">
        <v>91434</v>
      </c>
      <c r="O1426" s="17">
        <v>20463</v>
      </c>
      <c r="P1426" s="18">
        <v>93.4</v>
      </c>
      <c r="Q1426" s="15">
        <v>9</v>
      </c>
      <c r="R1426" s="19">
        <v>18</v>
      </c>
      <c r="S1426" s="19">
        <v>2</v>
      </c>
      <c r="T1426" s="15">
        <v>34</v>
      </c>
      <c r="U1426" s="19">
        <v>85</v>
      </c>
      <c r="V1426" s="14" t="s">
        <v>31</v>
      </c>
      <c r="W1426" s="14"/>
      <c r="X1426" s="14">
        <f>IF(V1426="Yes",1,0)</f>
        <v>0</v>
      </c>
      <c r="Y1426" s="14">
        <f>IF(H1426="Active",0,1)</f>
        <v>0</v>
      </c>
    </row>
    <row r="1427" spans="1:25" ht="18" customHeight="1" x14ac:dyDescent="0.35">
      <c r="A1427" s="14" t="s">
        <v>1312</v>
      </c>
      <c r="B1427" s="14" t="s">
        <v>817</v>
      </c>
      <c r="C1427" s="14" t="s">
        <v>34</v>
      </c>
      <c r="D1427" s="15">
        <v>31</v>
      </c>
      <c r="E1427" s="14" t="s">
        <v>63</v>
      </c>
      <c r="F1427" s="14" t="s">
        <v>72</v>
      </c>
      <c r="G1427" s="16">
        <v>45497</v>
      </c>
      <c r="H1427" s="14" t="s">
        <v>26</v>
      </c>
      <c r="I1427" s="14" t="s">
        <v>27</v>
      </c>
      <c r="J1427" s="14" t="s">
        <v>2270</v>
      </c>
      <c r="K1427" s="14" t="s">
        <v>73</v>
      </c>
      <c r="L1427" s="14" t="s">
        <v>38</v>
      </c>
      <c r="M1427" s="14" t="s">
        <v>64</v>
      </c>
      <c r="N1427" s="17">
        <v>75336</v>
      </c>
      <c r="O1427" s="17">
        <v>9346</v>
      </c>
      <c r="P1427" s="18">
        <v>98.4</v>
      </c>
      <c r="Q1427" s="15">
        <v>8</v>
      </c>
      <c r="R1427" s="19">
        <v>17</v>
      </c>
      <c r="S1427" s="19">
        <v>5</v>
      </c>
      <c r="T1427" s="15">
        <v>16</v>
      </c>
      <c r="U1427" s="19">
        <v>81</v>
      </c>
      <c r="V1427" s="14" t="s">
        <v>31</v>
      </c>
      <c r="W1427" s="14"/>
      <c r="X1427" s="14">
        <f>IF(V1427="Yes",1,0)</f>
        <v>0</v>
      </c>
      <c r="Y1427" s="14">
        <f>IF(H1427="Active",0,1)</f>
        <v>0</v>
      </c>
    </row>
    <row r="1428" spans="1:25" ht="18" customHeight="1" x14ac:dyDescent="0.35">
      <c r="A1428" s="8" t="s">
        <v>1957</v>
      </c>
      <c r="B1428" s="8" t="s">
        <v>475</v>
      </c>
      <c r="C1428" s="8" t="s">
        <v>25</v>
      </c>
      <c r="D1428" s="9">
        <v>21</v>
      </c>
      <c r="E1428" s="8" t="s">
        <v>42</v>
      </c>
      <c r="F1428" s="8" t="s">
        <v>90</v>
      </c>
      <c r="G1428" s="10">
        <v>45497</v>
      </c>
      <c r="H1428" s="8" t="s">
        <v>26</v>
      </c>
      <c r="I1428" s="8" t="s">
        <v>2267</v>
      </c>
      <c r="J1428" s="8" t="s">
        <v>2268</v>
      </c>
      <c r="K1428" s="8" t="s">
        <v>28</v>
      </c>
      <c r="L1428" s="8" t="s">
        <v>116</v>
      </c>
      <c r="M1428" s="8" t="s">
        <v>30</v>
      </c>
      <c r="N1428" s="11">
        <v>35261</v>
      </c>
      <c r="O1428" s="11">
        <v>28984</v>
      </c>
      <c r="P1428" s="12">
        <v>98.5</v>
      </c>
      <c r="Q1428" s="9">
        <v>5</v>
      </c>
      <c r="R1428" s="13">
        <v>28</v>
      </c>
      <c r="S1428" s="13">
        <v>5</v>
      </c>
      <c r="T1428" s="9">
        <v>32</v>
      </c>
      <c r="U1428" s="13">
        <v>91</v>
      </c>
      <c r="V1428" s="8" t="s">
        <v>31</v>
      </c>
      <c r="W1428" s="8"/>
      <c r="X1428" s="22">
        <f>IF(V1428="Yes",1,0)</f>
        <v>0</v>
      </c>
      <c r="Y1428" s="22">
        <f>IF(H1428="Active",0,1)</f>
        <v>0</v>
      </c>
    </row>
    <row r="1429" spans="1:25" ht="18" customHeight="1" x14ac:dyDescent="0.35">
      <c r="A1429" s="14" t="s">
        <v>236</v>
      </c>
      <c r="B1429" s="14" t="s">
        <v>237</v>
      </c>
      <c r="C1429" s="14" t="s">
        <v>34</v>
      </c>
      <c r="D1429" s="15">
        <v>39</v>
      </c>
      <c r="E1429" s="14" t="s">
        <v>2304</v>
      </c>
      <c r="F1429" s="14" t="s">
        <v>79</v>
      </c>
      <c r="G1429" s="16">
        <v>45494</v>
      </c>
      <c r="H1429" s="14" t="s">
        <v>26</v>
      </c>
      <c r="I1429" s="14" t="s">
        <v>36</v>
      </c>
      <c r="J1429" s="14" t="s">
        <v>2270</v>
      </c>
      <c r="K1429" s="14" t="s">
        <v>2271</v>
      </c>
      <c r="L1429" s="14" t="s">
        <v>68</v>
      </c>
      <c r="M1429" s="14" t="s">
        <v>60</v>
      </c>
      <c r="N1429" s="17">
        <v>136087</v>
      </c>
      <c r="O1429" s="17">
        <v>8087</v>
      </c>
      <c r="P1429" s="18">
        <v>95.7</v>
      </c>
      <c r="Q1429" s="15">
        <v>3</v>
      </c>
      <c r="R1429" s="19">
        <v>1</v>
      </c>
      <c r="S1429" s="19">
        <v>4</v>
      </c>
      <c r="T1429" s="15">
        <v>21</v>
      </c>
      <c r="U1429" s="19">
        <v>69</v>
      </c>
      <c r="V1429" s="14" t="s">
        <v>31</v>
      </c>
      <c r="W1429" s="14"/>
      <c r="X1429" s="14">
        <f>IF(V1429="Yes",1,0)</f>
        <v>0</v>
      </c>
      <c r="Y1429" s="14">
        <f>IF(H1429="Active",0,1)</f>
        <v>0</v>
      </c>
    </row>
    <row r="1430" spans="1:25" ht="18" customHeight="1" x14ac:dyDescent="0.35">
      <c r="A1430" s="8" t="s">
        <v>628</v>
      </c>
      <c r="B1430" s="8" t="s">
        <v>467</v>
      </c>
      <c r="C1430" s="8" t="s">
        <v>34</v>
      </c>
      <c r="D1430" s="9">
        <v>35</v>
      </c>
      <c r="E1430" s="8" t="s">
        <v>2304</v>
      </c>
      <c r="F1430" s="8" t="s">
        <v>43</v>
      </c>
      <c r="G1430" s="10">
        <v>45494</v>
      </c>
      <c r="H1430" s="8" t="s">
        <v>26</v>
      </c>
      <c r="I1430" s="8" t="s">
        <v>36</v>
      </c>
      <c r="J1430" s="8" t="s">
        <v>48</v>
      </c>
      <c r="K1430" s="8" t="s">
        <v>55</v>
      </c>
      <c r="L1430" s="8" t="s">
        <v>87</v>
      </c>
      <c r="M1430" s="8" t="s">
        <v>30</v>
      </c>
      <c r="N1430" s="11">
        <v>96782</v>
      </c>
      <c r="O1430" s="11">
        <v>36982</v>
      </c>
      <c r="P1430" s="12">
        <v>90.9</v>
      </c>
      <c r="Q1430" s="9">
        <v>8</v>
      </c>
      <c r="R1430" s="13">
        <v>19</v>
      </c>
      <c r="S1430" s="13">
        <v>1</v>
      </c>
      <c r="T1430" s="9">
        <v>6</v>
      </c>
      <c r="U1430" s="13">
        <v>74</v>
      </c>
      <c r="V1430" s="8" t="s">
        <v>31</v>
      </c>
      <c r="W1430" s="8"/>
      <c r="X1430" s="22">
        <f>IF(V1430="Yes",1,0)</f>
        <v>0</v>
      </c>
      <c r="Y1430" s="22">
        <f>IF(H1430="Active",0,1)</f>
        <v>0</v>
      </c>
    </row>
    <row r="1431" spans="1:25" ht="18" customHeight="1" x14ac:dyDescent="0.35">
      <c r="A1431" s="8" t="s">
        <v>1337</v>
      </c>
      <c r="B1431" s="8" t="s">
        <v>153</v>
      </c>
      <c r="C1431" s="8" t="s">
        <v>34</v>
      </c>
      <c r="D1431" s="9">
        <v>57</v>
      </c>
      <c r="E1431" s="8" t="s">
        <v>2304</v>
      </c>
      <c r="F1431" s="8" t="s">
        <v>12</v>
      </c>
      <c r="G1431" s="10">
        <v>45494</v>
      </c>
      <c r="H1431" s="8" t="s">
        <v>26</v>
      </c>
      <c r="I1431" s="8" t="s">
        <v>27</v>
      </c>
      <c r="J1431" s="8" t="s">
        <v>2268</v>
      </c>
      <c r="K1431" s="8" t="s">
        <v>2271</v>
      </c>
      <c r="L1431" s="8" t="s">
        <v>49</v>
      </c>
      <c r="M1431" s="8" t="s">
        <v>60</v>
      </c>
      <c r="N1431" s="11">
        <v>35240</v>
      </c>
      <c r="O1431" s="11">
        <v>20403</v>
      </c>
      <c r="P1431" s="12">
        <v>96.2</v>
      </c>
      <c r="Q1431" s="9">
        <v>4</v>
      </c>
      <c r="R1431" s="13">
        <v>7</v>
      </c>
      <c r="S1431" s="13">
        <v>2</v>
      </c>
      <c r="T1431" s="9">
        <v>2</v>
      </c>
      <c r="U1431" s="13">
        <v>72</v>
      </c>
      <c r="V1431" s="8" t="s">
        <v>31</v>
      </c>
      <c r="W1431" s="8"/>
      <c r="X1431" s="22">
        <f>IF(V1431="Yes",1,0)</f>
        <v>0</v>
      </c>
      <c r="Y1431" s="22">
        <f>IF(H1431="Active",0,1)</f>
        <v>0</v>
      </c>
    </row>
    <row r="1432" spans="1:25" ht="18" customHeight="1" x14ac:dyDescent="0.35">
      <c r="A1432" s="8" t="s">
        <v>2005</v>
      </c>
      <c r="B1432" s="8" t="s">
        <v>327</v>
      </c>
      <c r="C1432" s="8" t="s">
        <v>34</v>
      </c>
      <c r="D1432" s="9">
        <v>53</v>
      </c>
      <c r="E1432" s="8" t="s">
        <v>86</v>
      </c>
      <c r="F1432" s="8" t="s">
        <v>90</v>
      </c>
      <c r="G1432" s="10">
        <v>45494</v>
      </c>
      <c r="H1432" s="8" t="s">
        <v>26</v>
      </c>
      <c r="I1432" s="8" t="s">
        <v>27</v>
      </c>
      <c r="J1432" s="8" t="s">
        <v>2269</v>
      </c>
      <c r="K1432" s="8" t="s">
        <v>37</v>
      </c>
      <c r="L1432" s="8" t="s">
        <v>49</v>
      </c>
      <c r="M1432" s="8" t="s">
        <v>45</v>
      </c>
      <c r="N1432" s="11">
        <v>80480</v>
      </c>
      <c r="O1432" s="11">
        <v>39644</v>
      </c>
      <c r="P1432" s="12">
        <v>81.2</v>
      </c>
      <c r="Q1432" s="9">
        <v>3</v>
      </c>
      <c r="R1432" s="13">
        <v>27</v>
      </c>
      <c r="S1432" s="13">
        <v>4</v>
      </c>
      <c r="T1432" s="9">
        <v>20</v>
      </c>
      <c r="U1432" s="13">
        <v>99</v>
      </c>
      <c r="V1432" s="8" t="s">
        <v>31</v>
      </c>
      <c r="W1432" s="8"/>
      <c r="X1432" s="22">
        <f>IF(V1432="Yes",1,0)</f>
        <v>0</v>
      </c>
      <c r="Y1432" s="22">
        <f>IF(H1432="Active",0,1)</f>
        <v>0</v>
      </c>
    </row>
    <row r="1433" spans="1:25" ht="18" customHeight="1" x14ac:dyDescent="0.35">
      <c r="A1433" s="8" t="s">
        <v>247</v>
      </c>
      <c r="B1433" s="8" t="s">
        <v>248</v>
      </c>
      <c r="C1433" s="8" t="s">
        <v>34</v>
      </c>
      <c r="D1433" s="9">
        <v>51</v>
      </c>
      <c r="E1433" s="8" t="s">
        <v>52</v>
      </c>
      <c r="F1433" s="8" t="s">
        <v>53</v>
      </c>
      <c r="G1433" s="10">
        <v>45493</v>
      </c>
      <c r="H1433" s="8" t="s">
        <v>26</v>
      </c>
      <c r="I1433" s="8" t="s">
        <v>2267</v>
      </c>
      <c r="J1433" s="8" t="s">
        <v>2269</v>
      </c>
      <c r="K1433" s="8" t="s">
        <v>55</v>
      </c>
      <c r="L1433" s="8" t="s">
        <v>29</v>
      </c>
      <c r="M1433" s="8" t="s">
        <v>60</v>
      </c>
      <c r="N1433" s="11">
        <v>73063</v>
      </c>
      <c r="O1433" s="11">
        <v>48168</v>
      </c>
      <c r="P1433" s="12">
        <v>99.4</v>
      </c>
      <c r="Q1433" s="9">
        <v>9</v>
      </c>
      <c r="R1433" s="13">
        <v>21</v>
      </c>
      <c r="S1433" s="13">
        <v>3</v>
      </c>
      <c r="T1433" s="9">
        <v>4</v>
      </c>
      <c r="U1433" s="13">
        <v>68</v>
      </c>
      <c r="V1433" s="8" t="s">
        <v>31</v>
      </c>
      <c r="W1433" s="8"/>
      <c r="X1433" s="22">
        <f>IF(V1433="Yes",1,0)</f>
        <v>0</v>
      </c>
      <c r="Y1433" s="22">
        <f>IF(H1433="Active",0,1)</f>
        <v>0</v>
      </c>
    </row>
    <row r="1434" spans="1:25" ht="18" customHeight="1" x14ac:dyDescent="0.35">
      <c r="A1434" s="8" t="s">
        <v>995</v>
      </c>
      <c r="B1434" s="8" t="s">
        <v>327</v>
      </c>
      <c r="C1434" s="8" t="s">
        <v>25</v>
      </c>
      <c r="D1434" s="9">
        <v>25</v>
      </c>
      <c r="E1434" s="8" t="s">
        <v>42</v>
      </c>
      <c r="F1434" s="8" t="s">
        <v>53</v>
      </c>
      <c r="G1434" s="10">
        <v>45492</v>
      </c>
      <c r="H1434" s="8" t="s">
        <v>26</v>
      </c>
      <c r="I1434" s="8" t="s">
        <v>36</v>
      </c>
      <c r="J1434" s="8" t="s">
        <v>48</v>
      </c>
      <c r="K1434" s="8" t="s">
        <v>73</v>
      </c>
      <c r="L1434" s="8" t="s">
        <v>56</v>
      </c>
      <c r="M1434" s="8" t="s">
        <v>64</v>
      </c>
      <c r="N1434" s="11">
        <v>228518</v>
      </c>
      <c r="O1434" s="11">
        <v>8928</v>
      </c>
      <c r="P1434" s="12">
        <v>91.6</v>
      </c>
      <c r="Q1434" s="9">
        <v>9</v>
      </c>
      <c r="R1434" s="13">
        <v>24</v>
      </c>
      <c r="S1434" s="13">
        <v>1</v>
      </c>
      <c r="T1434" s="9">
        <v>14</v>
      </c>
      <c r="U1434" s="13">
        <v>75</v>
      </c>
      <c r="V1434" s="8" t="s">
        <v>31</v>
      </c>
      <c r="W1434" s="8"/>
      <c r="X1434" s="22">
        <f>IF(V1434="Yes",1,0)</f>
        <v>0</v>
      </c>
      <c r="Y1434" s="22">
        <f>IF(H1434="Active",0,1)</f>
        <v>0</v>
      </c>
    </row>
    <row r="1435" spans="1:25" ht="18" customHeight="1" x14ac:dyDescent="0.35">
      <c r="A1435" s="14" t="s">
        <v>1484</v>
      </c>
      <c r="B1435" s="14" t="s">
        <v>409</v>
      </c>
      <c r="C1435" s="14" t="s">
        <v>34</v>
      </c>
      <c r="D1435" s="15">
        <v>40</v>
      </c>
      <c r="E1435" s="14" t="s">
        <v>52</v>
      </c>
      <c r="F1435" s="14" t="s">
        <v>90</v>
      </c>
      <c r="G1435" s="16">
        <v>45492</v>
      </c>
      <c r="H1435" s="14" t="s">
        <v>26</v>
      </c>
      <c r="I1435" s="14" t="s">
        <v>2267</v>
      </c>
      <c r="J1435" s="14" t="s">
        <v>48</v>
      </c>
      <c r="K1435" s="14" t="s">
        <v>2271</v>
      </c>
      <c r="L1435" s="14" t="s">
        <v>56</v>
      </c>
      <c r="M1435" s="14" t="s">
        <v>64</v>
      </c>
      <c r="N1435" s="17">
        <v>211678</v>
      </c>
      <c r="O1435" s="17">
        <v>45766</v>
      </c>
      <c r="P1435" s="18">
        <v>94.4</v>
      </c>
      <c r="Q1435" s="15">
        <v>3</v>
      </c>
      <c r="R1435" s="19">
        <v>28</v>
      </c>
      <c r="S1435" s="19">
        <v>2</v>
      </c>
      <c r="T1435" s="15">
        <v>27</v>
      </c>
      <c r="U1435" s="19">
        <v>83</v>
      </c>
      <c r="V1435" s="14" t="s">
        <v>31</v>
      </c>
      <c r="W1435" s="14"/>
      <c r="X1435" s="14">
        <f>IF(V1435="Yes",1,0)</f>
        <v>0</v>
      </c>
      <c r="Y1435" s="14">
        <f>IF(H1435="Active",0,1)</f>
        <v>0</v>
      </c>
    </row>
    <row r="1436" spans="1:25" ht="18" customHeight="1" x14ac:dyDescent="0.35">
      <c r="A1436" s="14" t="s">
        <v>909</v>
      </c>
      <c r="B1436" s="14" t="s">
        <v>424</v>
      </c>
      <c r="C1436" s="14" t="s">
        <v>25</v>
      </c>
      <c r="D1436" s="15">
        <v>59</v>
      </c>
      <c r="E1436" s="14" t="s">
        <v>42</v>
      </c>
      <c r="F1436" s="14" t="s">
        <v>43</v>
      </c>
      <c r="G1436" s="16">
        <v>45491</v>
      </c>
      <c r="H1436" s="14" t="s">
        <v>26</v>
      </c>
      <c r="I1436" s="14" t="s">
        <v>36</v>
      </c>
      <c r="J1436" s="14" t="s">
        <v>2268</v>
      </c>
      <c r="K1436" s="14" t="s">
        <v>28</v>
      </c>
      <c r="L1436" s="14" t="s">
        <v>68</v>
      </c>
      <c r="M1436" s="14" t="s">
        <v>30</v>
      </c>
      <c r="N1436" s="17">
        <v>164357</v>
      </c>
      <c r="O1436" s="17">
        <v>26189</v>
      </c>
      <c r="P1436" s="18">
        <v>96.6</v>
      </c>
      <c r="Q1436" s="15">
        <v>5</v>
      </c>
      <c r="R1436" s="19">
        <v>3</v>
      </c>
      <c r="S1436" s="19">
        <v>2</v>
      </c>
      <c r="T1436" s="15">
        <v>8</v>
      </c>
      <c r="U1436" s="19">
        <v>61</v>
      </c>
      <c r="V1436" s="14" t="s">
        <v>31</v>
      </c>
      <c r="W1436" s="14"/>
      <c r="X1436" s="14">
        <f>IF(V1436="Yes",1,0)</f>
        <v>0</v>
      </c>
      <c r="Y1436" s="14">
        <f>IF(H1436="Active",0,1)</f>
        <v>0</v>
      </c>
    </row>
    <row r="1437" spans="1:25" ht="18" customHeight="1" x14ac:dyDescent="0.35">
      <c r="A1437" s="14" t="s">
        <v>1932</v>
      </c>
      <c r="B1437" s="14" t="s">
        <v>403</v>
      </c>
      <c r="C1437" s="14" t="s">
        <v>34</v>
      </c>
      <c r="D1437" s="15">
        <v>24</v>
      </c>
      <c r="E1437" s="14" t="s">
        <v>93</v>
      </c>
      <c r="F1437" s="14" t="s">
        <v>79</v>
      </c>
      <c r="G1437" s="16">
        <v>45491</v>
      </c>
      <c r="H1437" s="14" t="s">
        <v>54</v>
      </c>
      <c r="I1437" s="14" t="s">
        <v>27</v>
      </c>
      <c r="J1437" s="14" t="s">
        <v>2268</v>
      </c>
      <c r="K1437" s="14" t="s">
        <v>73</v>
      </c>
      <c r="L1437" s="14" t="s">
        <v>68</v>
      </c>
      <c r="M1437" s="14" t="s">
        <v>30</v>
      </c>
      <c r="N1437" s="17">
        <v>53130</v>
      </c>
      <c r="O1437" s="17">
        <v>38445</v>
      </c>
      <c r="P1437" s="18">
        <v>89.5</v>
      </c>
      <c r="Q1437" s="15">
        <v>4</v>
      </c>
      <c r="R1437" s="19">
        <v>26</v>
      </c>
      <c r="S1437" s="19">
        <v>2</v>
      </c>
      <c r="T1437" s="15">
        <v>34</v>
      </c>
      <c r="U1437" s="19">
        <v>90</v>
      </c>
      <c r="V1437" s="14" t="s">
        <v>69</v>
      </c>
      <c r="W1437" s="14" t="s">
        <v>123</v>
      </c>
      <c r="X1437" s="14">
        <f>IF(V1437="Yes",1,0)</f>
        <v>1</v>
      </c>
      <c r="Y1437" s="14">
        <f>IF(H1437="Active",0,1)</f>
        <v>1</v>
      </c>
    </row>
    <row r="1438" spans="1:25" ht="18" customHeight="1" x14ac:dyDescent="0.35">
      <c r="A1438" s="14" t="s">
        <v>1838</v>
      </c>
      <c r="B1438" s="14" t="s">
        <v>445</v>
      </c>
      <c r="C1438" s="14" t="s">
        <v>25</v>
      </c>
      <c r="D1438" s="15">
        <v>31</v>
      </c>
      <c r="E1438" s="14" t="s">
        <v>86</v>
      </c>
      <c r="F1438" s="14" t="s">
        <v>35</v>
      </c>
      <c r="G1438" s="16">
        <v>45490</v>
      </c>
      <c r="H1438" s="14" t="s">
        <v>26</v>
      </c>
      <c r="I1438" s="14" t="s">
        <v>36</v>
      </c>
      <c r="J1438" s="14" t="s">
        <v>2268</v>
      </c>
      <c r="K1438" s="14" t="s">
        <v>2271</v>
      </c>
      <c r="L1438" s="14" t="s">
        <v>49</v>
      </c>
      <c r="M1438" s="14" t="s">
        <v>64</v>
      </c>
      <c r="N1438" s="17">
        <v>244881</v>
      </c>
      <c r="O1438" s="17">
        <v>41627</v>
      </c>
      <c r="P1438" s="18">
        <v>91.8</v>
      </c>
      <c r="Q1438" s="15">
        <v>0</v>
      </c>
      <c r="R1438" s="19">
        <v>26</v>
      </c>
      <c r="S1438" s="19">
        <v>3</v>
      </c>
      <c r="T1438" s="15">
        <v>7</v>
      </c>
      <c r="U1438" s="19">
        <v>95</v>
      </c>
      <c r="V1438" s="14" t="s">
        <v>31</v>
      </c>
      <c r="W1438" s="14"/>
      <c r="X1438" s="14">
        <f>IF(V1438="Yes",1,0)</f>
        <v>0</v>
      </c>
      <c r="Y1438" s="14">
        <f>IF(H1438="Active",0,1)</f>
        <v>0</v>
      </c>
    </row>
    <row r="1439" spans="1:25" ht="18" customHeight="1" x14ac:dyDescent="0.35">
      <c r="A1439" s="14" t="s">
        <v>1207</v>
      </c>
      <c r="B1439" s="14" t="s">
        <v>62</v>
      </c>
      <c r="C1439" s="14" t="s">
        <v>34</v>
      </c>
      <c r="D1439" s="15">
        <v>42</v>
      </c>
      <c r="E1439" s="14" t="s">
        <v>86</v>
      </c>
      <c r="F1439" s="14" t="s">
        <v>35</v>
      </c>
      <c r="G1439" s="16">
        <v>45489</v>
      </c>
      <c r="H1439" s="14" t="s">
        <v>26</v>
      </c>
      <c r="I1439" s="14" t="s">
        <v>2267</v>
      </c>
      <c r="J1439" s="14" t="s">
        <v>80</v>
      </c>
      <c r="K1439" s="14" t="s">
        <v>37</v>
      </c>
      <c r="L1439" s="14" t="s">
        <v>68</v>
      </c>
      <c r="M1439" s="14" t="s">
        <v>30</v>
      </c>
      <c r="N1439" s="17">
        <v>52687</v>
      </c>
      <c r="O1439" s="17">
        <v>22550</v>
      </c>
      <c r="P1439" s="18">
        <v>99.9</v>
      </c>
      <c r="Q1439" s="15">
        <v>6</v>
      </c>
      <c r="R1439" s="19">
        <v>28</v>
      </c>
      <c r="S1439" s="19">
        <v>2</v>
      </c>
      <c r="T1439" s="15">
        <v>30</v>
      </c>
      <c r="U1439" s="19">
        <v>64</v>
      </c>
      <c r="V1439" s="14" t="s">
        <v>31</v>
      </c>
      <c r="W1439" s="14"/>
      <c r="X1439" s="14">
        <f>IF(V1439="Yes",1,0)</f>
        <v>0</v>
      </c>
      <c r="Y1439" s="14">
        <f>IF(H1439="Active",0,1)</f>
        <v>0</v>
      </c>
    </row>
    <row r="1440" spans="1:25" ht="18" customHeight="1" x14ac:dyDescent="0.35">
      <c r="A1440" s="14" t="s">
        <v>1236</v>
      </c>
      <c r="B1440" s="14" t="s">
        <v>129</v>
      </c>
      <c r="C1440" s="14" t="s">
        <v>34</v>
      </c>
      <c r="D1440" s="15">
        <v>58</v>
      </c>
      <c r="E1440" s="14" t="s">
        <v>93</v>
      </c>
      <c r="F1440" s="14" t="s">
        <v>79</v>
      </c>
      <c r="G1440" s="16">
        <v>45489</v>
      </c>
      <c r="H1440" s="14" t="s">
        <v>26</v>
      </c>
      <c r="I1440" s="14" t="s">
        <v>36</v>
      </c>
      <c r="J1440" s="14" t="s">
        <v>2269</v>
      </c>
      <c r="K1440" s="14" t="s">
        <v>55</v>
      </c>
      <c r="L1440" s="14" t="s">
        <v>29</v>
      </c>
      <c r="M1440" s="14" t="s">
        <v>30</v>
      </c>
      <c r="N1440" s="17">
        <v>79325</v>
      </c>
      <c r="O1440" s="17">
        <v>45592</v>
      </c>
      <c r="P1440" s="18">
        <v>86.8</v>
      </c>
      <c r="Q1440" s="15">
        <v>4</v>
      </c>
      <c r="R1440" s="19">
        <v>11</v>
      </c>
      <c r="S1440" s="19">
        <v>2</v>
      </c>
      <c r="T1440" s="15">
        <v>40</v>
      </c>
      <c r="U1440" s="19">
        <v>79</v>
      </c>
      <c r="V1440" s="14" t="s">
        <v>31</v>
      </c>
      <c r="W1440" s="14"/>
      <c r="X1440" s="14">
        <f>IF(V1440="Yes",1,0)</f>
        <v>0</v>
      </c>
      <c r="Y1440" s="14">
        <f>IF(H1440="Active",0,1)</f>
        <v>0</v>
      </c>
    </row>
    <row r="1441" spans="1:25" ht="18" customHeight="1" x14ac:dyDescent="0.35">
      <c r="A1441" s="14" t="s">
        <v>639</v>
      </c>
      <c r="B1441" s="14" t="s">
        <v>280</v>
      </c>
      <c r="C1441" s="14" t="s">
        <v>25</v>
      </c>
      <c r="D1441" s="15">
        <v>49</v>
      </c>
      <c r="E1441" s="14" t="s">
        <v>2304</v>
      </c>
      <c r="F1441" s="14" t="s">
        <v>53</v>
      </c>
      <c r="G1441" s="16">
        <v>45488</v>
      </c>
      <c r="H1441" s="14" t="s">
        <v>26</v>
      </c>
      <c r="I1441" s="14" t="s">
        <v>27</v>
      </c>
      <c r="J1441" s="14" t="s">
        <v>2268</v>
      </c>
      <c r="K1441" s="14" t="s">
        <v>37</v>
      </c>
      <c r="L1441" s="14" t="s">
        <v>116</v>
      </c>
      <c r="M1441" s="14" t="s">
        <v>30</v>
      </c>
      <c r="N1441" s="17">
        <v>106035</v>
      </c>
      <c r="O1441" s="17">
        <v>10132</v>
      </c>
      <c r="P1441" s="18">
        <v>86.9</v>
      </c>
      <c r="Q1441" s="15">
        <v>4</v>
      </c>
      <c r="R1441" s="19">
        <v>28</v>
      </c>
      <c r="S1441" s="19">
        <v>4</v>
      </c>
      <c r="T1441" s="15">
        <v>15</v>
      </c>
      <c r="U1441" s="19">
        <v>100</v>
      </c>
      <c r="V1441" s="14" t="s">
        <v>31</v>
      </c>
      <c r="W1441" s="14"/>
      <c r="X1441" s="14">
        <f>IF(V1441="Yes",1,0)</f>
        <v>0</v>
      </c>
      <c r="Y1441" s="14">
        <f>IF(H1441="Active",0,1)</f>
        <v>0</v>
      </c>
    </row>
    <row r="1442" spans="1:25" ht="18" customHeight="1" x14ac:dyDescent="0.35">
      <c r="A1442" s="14" t="s">
        <v>1832</v>
      </c>
      <c r="B1442" s="14" t="s">
        <v>144</v>
      </c>
      <c r="C1442" s="14" t="s">
        <v>34</v>
      </c>
      <c r="D1442" s="15">
        <v>21</v>
      </c>
      <c r="E1442" s="14" t="s">
        <v>86</v>
      </c>
      <c r="F1442" s="14" t="s">
        <v>53</v>
      </c>
      <c r="G1442" s="16">
        <v>45488</v>
      </c>
      <c r="H1442" s="14" t="s">
        <v>54</v>
      </c>
      <c r="I1442" s="14" t="s">
        <v>36</v>
      </c>
      <c r="J1442" s="14" t="s">
        <v>80</v>
      </c>
      <c r="K1442" s="14" t="s">
        <v>73</v>
      </c>
      <c r="L1442" s="14" t="s">
        <v>56</v>
      </c>
      <c r="M1442" s="14" t="s">
        <v>60</v>
      </c>
      <c r="N1442" s="17">
        <v>182467</v>
      </c>
      <c r="O1442" s="17">
        <v>24708</v>
      </c>
      <c r="P1442" s="18">
        <v>84.3</v>
      </c>
      <c r="Q1442" s="15">
        <v>9</v>
      </c>
      <c r="R1442" s="19">
        <v>4</v>
      </c>
      <c r="S1442" s="19">
        <v>4</v>
      </c>
      <c r="T1442" s="15">
        <v>22</v>
      </c>
      <c r="U1442" s="19">
        <v>100</v>
      </c>
      <c r="V1442" s="14" t="s">
        <v>31</v>
      </c>
      <c r="W1442" s="14" t="s">
        <v>96</v>
      </c>
      <c r="X1442" s="14">
        <f>IF(V1442="Yes",1,0)</f>
        <v>0</v>
      </c>
      <c r="Y1442" s="14">
        <f>IF(H1442="Active",0,1)</f>
        <v>1</v>
      </c>
    </row>
    <row r="1443" spans="1:25" ht="18" customHeight="1" x14ac:dyDescent="0.35">
      <c r="A1443" s="8" t="s">
        <v>726</v>
      </c>
      <c r="B1443" s="8" t="s">
        <v>353</v>
      </c>
      <c r="C1443" s="8" t="s">
        <v>25</v>
      </c>
      <c r="D1443" s="9">
        <v>36</v>
      </c>
      <c r="E1443" s="8" t="s">
        <v>86</v>
      </c>
      <c r="F1443" s="8" t="s">
        <v>90</v>
      </c>
      <c r="G1443" s="10">
        <v>45486</v>
      </c>
      <c r="H1443" s="8" t="s">
        <v>26</v>
      </c>
      <c r="I1443" s="8" t="s">
        <v>2267</v>
      </c>
      <c r="J1443" s="8" t="s">
        <v>2269</v>
      </c>
      <c r="K1443" s="8" t="s">
        <v>55</v>
      </c>
      <c r="L1443" s="8" t="s">
        <v>38</v>
      </c>
      <c r="M1443" s="8" t="s">
        <v>30</v>
      </c>
      <c r="N1443" s="11">
        <v>35418</v>
      </c>
      <c r="O1443" s="11">
        <v>42167</v>
      </c>
      <c r="P1443" s="12">
        <v>94.5</v>
      </c>
      <c r="Q1443" s="9">
        <v>3</v>
      </c>
      <c r="R1443" s="13">
        <v>19</v>
      </c>
      <c r="S1443" s="13">
        <v>4</v>
      </c>
      <c r="T1443" s="9">
        <v>4</v>
      </c>
      <c r="U1443" s="13">
        <v>67</v>
      </c>
      <c r="V1443" s="8" t="s">
        <v>31</v>
      </c>
      <c r="W1443" s="8"/>
      <c r="X1443" s="22">
        <f>IF(V1443="Yes",1,0)</f>
        <v>0</v>
      </c>
      <c r="Y1443" s="22">
        <f>IF(H1443="Active",0,1)</f>
        <v>0</v>
      </c>
    </row>
    <row r="1444" spans="1:25" ht="18" customHeight="1" x14ac:dyDescent="0.35">
      <c r="A1444" s="14" t="s">
        <v>1754</v>
      </c>
      <c r="B1444" s="14" t="s">
        <v>370</v>
      </c>
      <c r="C1444" s="14" t="s">
        <v>34</v>
      </c>
      <c r="D1444" s="15">
        <v>53</v>
      </c>
      <c r="E1444" s="14" t="s">
        <v>67</v>
      </c>
      <c r="F1444" s="14" t="s">
        <v>72</v>
      </c>
      <c r="G1444" s="16">
        <v>45486</v>
      </c>
      <c r="H1444" s="14" t="s">
        <v>26</v>
      </c>
      <c r="I1444" s="14" t="s">
        <v>36</v>
      </c>
      <c r="J1444" s="14" t="s">
        <v>2270</v>
      </c>
      <c r="K1444" s="14" t="s">
        <v>73</v>
      </c>
      <c r="L1444" s="14" t="s">
        <v>116</v>
      </c>
      <c r="M1444" s="14" t="s">
        <v>64</v>
      </c>
      <c r="N1444" s="17">
        <v>115895</v>
      </c>
      <c r="O1444" s="17">
        <v>24951</v>
      </c>
      <c r="P1444" s="18">
        <v>85.6</v>
      </c>
      <c r="Q1444" s="15">
        <v>0</v>
      </c>
      <c r="R1444" s="19">
        <v>15</v>
      </c>
      <c r="S1444" s="19">
        <v>2</v>
      </c>
      <c r="T1444" s="15">
        <v>11</v>
      </c>
      <c r="U1444" s="19">
        <v>66</v>
      </c>
      <c r="V1444" s="14" t="s">
        <v>31</v>
      </c>
      <c r="W1444" s="14"/>
      <c r="X1444" s="14">
        <f>IF(V1444="Yes",1,0)</f>
        <v>0</v>
      </c>
      <c r="Y1444" s="14">
        <f>IF(H1444="Active",0,1)</f>
        <v>0</v>
      </c>
    </row>
    <row r="1445" spans="1:25" ht="18" customHeight="1" x14ac:dyDescent="0.35">
      <c r="A1445" s="8" t="s">
        <v>926</v>
      </c>
      <c r="B1445" s="8" t="s">
        <v>220</v>
      </c>
      <c r="C1445" s="8" t="s">
        <v>25</v>
      </c>
      <c r="D1445" s="9">
        <v>28</v>
      </c>
      <c r="E1445" s="8" t="s">
        <v>2304</v>
      </c>
      <c r="F1445" s="8" t="s">
        <v>43</v>
      </c>
      <c r="G1445" s="10">
        <v>45485</v>
      </c>
      <c r="H1445" s="8" t="s">
        <v>26</v>
      </c>
      <c r="I1445" s="8" t="s">
        <v>36</v>
      </c>
      <c r="J1445" s="8" t="s">
        <v>80</v>
      </c>
      <c r="K1445" s="8" t="s">
        <v>37</v>
      </c>
      <c r="L1445" s="8" t="s">
        <v>49</v>
      </c>
      <c r="M1445" s="8" t="s">
        <v>30</v>
      </c>
      <c r="N1445" s="11">
        <v>199193</v>
      </c>
      <c r="O1445" s="11">
        <v>21869</v>
      </c>
      <c r="P1445" s="12">
        <v>92.2</v>
      </c>
      <c r="Q1445" s="9">
        <v>8</v>
      </c>
      <c r="R1445" s="13">
        <v>25</v>
      </c>
      <c r="S1445" s="13">
        <v>1</v>
      </c>
      <c r="T1445" s="9">
        <v>25</v>
      </c>
      <c r="U1445" s="13">
        <v>95</v>
      </c>
      <c r="V1445" s="8" t="s">
        <v>69</v>
      </c>
      <c r="W1445" s="8"/>
      <c r="X1445" s="22">
        <f>IF(V1445="Yes",1,0)</f>
        <v>1</v>
      </c>
      <c r="Y1445" s="22">
        <f>IF(H1445="Active",0,1)</f>
        <v>0</v>
      </c>
    </row>
    <row r="1446" spans="1:25" ht="18" customHeight="1" x14ac:dyDescent="0.35">
      <c r="A1446" s="14" t="s">
        <v>1386</v>
      </c>
      <c r="B1446" s="14" t="s">
        <v>267</v>
      </c>
      <c r="C1446" s="14" t="s">
        <v>25</v>
      </c>
      <c r="D1446" s="15">
        <v>49</v>
      </c>
      <c r="E1446" s="14" t="s">
        <v>63</v>
      </c>
      <c r="F1446" s="14" t="s">
        <v>12</v>
      </c>
      <c r="G1446" s="16">
        <v>45485</v>
      </c>
      <c r="H1446" s="14" t="s">
        <v>26</v>
      </c>
      <c r="I1446" s="14" t="s">
        <v>27</v>
      </c>
      <c r="J1446" s="14" t="s">
        <v>2269</v>
      </c>
      <c r="K1446" s="14" t="s">
        <v>28</v>
      </c>
      <c r="L1446" s="14" t="s">
        <v>56</v>
      </c>
      <c r="M1446" s="14" t="s">
        <v>64</v>
      </c>
      <c r="N1446" s="17">
        <v>110461</v>
      </c>
      <c r="O1446" s="17">
        <v>49258</v>
      </c>
      <c r="P1446" s="18">
        <v>92.3</v>
      </c>
      <c r="Q1446" s="15">
        <v>8</v>
      </c>
      <c r="R1446" s="19">
        <v>16</v>
      </c>
      <c r="S1446" s="19">
        <v>1</v>
      </c>
      <c r="T1446" s="15">
        <v>0</v>
      </c>
      <c r="U1446" s="19">
        <v>86</v>
      </c>
      <c r="V1446" s="14" t="s">
        <v>69</v>
      </c>
      <c r="W1446" s="14"/>
      <c r="X1446" s="14">
        <f>IF(V1446="Yes",1,0)</f>
        <v>1</v>
      </c>
      <c r="Y1446" s="14">
        <f>IF(H1446="Active",0,1)</f>
        <v>0</v>
      </c>
    </row>
    <row r="1447" spans="1:25" ht="18" customHeight="1" x14ac:dyDescent="0.35">
      <c r="A1447" s="8" t="s">
        <v>126</v>
      </c>
      <c r="B1447" s="8" t="s">
        <v>127</v>
      </c>
      <c r="C1447" s="8" t="s">
        <v>34</v>
      </c>
      <c r="D1447" s="9">
        <v>47</v>
      </c>
      <c r="E1447" s="8" t="s">
        <v>2304</v>
      </c>
      <c r="F1447" s="8" t="s">
        <v>12</v>
      </c>
      <c r="G1447" s="10">
        <v>45484</v>
      </c>
      <c r="H1447" s="8" t="s">
        <v>26</v>
      </c>
      <c r="I1447" s="8" t="s">
        <v>2267</v>
      </c>
      <c r="J1447" s="8" t="s">
        <v>2269</v>
      </c>
      <c r="K1447" s="8" t="s">
        <v>73</v>
      </c>
      <c r="L1447" s="8" t="s">
        <v>44</v>
      </c>
      <c r="M1447" s="8" t="s">
        <v>39</v>
      </c>
      <c r="N1447" s="11">
        <v>248678</v>
      </c>
      <c r="O1447" s="11">
        <v>42128</v>
      </c>
      <c r="P1447" s="12">
        <v>90</v>
      </c>
      <c r="Q1447" s="9">
        <v>8</v>
      </c>
      <c r="R1447" s="13">
        <v>27</v>
      </c>
      <c r="S1447" s="13">
        <v>1</v>
      </c>
      <c r="T1447" s="9">
        <v>15</v>
      </c>
      <c r="U1447" s="13">
        <v>66</v>
      </c>
      <c r="V1447" s="8" t="s">
        <v>31</v>
      </c>
      <c r="W1447" s="8"/>
      <c r="X1447" s="22">
        <f>IF(V1447="Yes",1,0)</f>
        <v>0</v>
      </c>
      <c r="Y1447" s="22">
        <f>IF(H1447="Active",0,1)</f>
        <v>0</v>
      </c>
    </row>
    <row r="1448" spans="1:25" ht="18" customHeight="1" x14ac:dyDescent="0.35">
      <c r="A1448" s="8" t="s">
        <v>510</v>
      </c>
      <c r="B1448" s="8" t="s">
        <v>265</v>
      </c>
      <c r="C1448" s="8" t="s">
        <v>25</v>
      </c>
      <c r="D1448" s="9">
        <v>44</v>
      </c>
      <c r="E1448" s="8" t="s">
        <v>93</v>
      </c>
      <c r="F1448" s="8" t="s">
        <v>90</v>
      </c>
      <c r="G1448" s="10">
        <v>45484</v>
      </c>
      <c r="H1448" s="8" t="s">
        <v>26</v>
      </c>
      <c r="I1448" s="8" t="s">
        <v>36</v>
      </c>
      <c r="J1448" s="8" t="s">
        <v>2270</v>
      </c>
      <c r="K1448" s="8" t="s">
        <v>28</v>
      </c>
      <c r="L1448" s="8" t="s">
        <v>116</v>
      </c>
      <c r="M1448" s="8" t="s">
        <v>39</v>
      </c>
      <c r="N1448" s="11">
        <v>94812</v>
      </c>
      <c r="O1448" s="11">
        <v>20472</v>
      </c>
      <c r="P1448" s="12">
        <v>80.2</v>
      </c>
      <c r="Q1448" s="9">
        <v>1</v>
      </c>
      <c r="R1448" s="13">
        <v>28</v>
      </c>
      <c r="S1448" s="13">
        <v>1</v>
      </c>
      <c r="T1448" s="9">
        <v>35</v>
      </c>
      <c r="U1448" s="13">
        <v>88</v>
      </c>
      <c r="V1448" s="8" t="s">
        <v>31</v>
      </c>
      <c r="W1448" s="8"/>
      <c r="X1448" s="22">
        <f>IF(V1448="Yes",1,0)</f>
        <v>0</v>
      </c>
      <c r="Y1448" s="22">
        <f>IF(H1448="Active",0,1)</f>
        <v>0</v>
      </c>
    </row>
    <row r="1449" spans="1:25" ht="18" customHeight="1" x14ac:dyDescent="0.35">
      <c r="A1449" s="8" t="s">
        <v>1913</v>
      </c>
      <c r="B1449" s="8" t="s">
        <v>134</v>
      </c>
      <c r="C1449" s="8" t="s">
        <v>25</v>
      </c>
      <c r="D1449" s="9">
        <v>48</v>
      </c>
      <c r="E1449" s="8" t="s">
        <v>42</v>
      </c>
      <c r="F1449" s="8" t="s">
        <v>35</v>
      </c>
      <c r="G1449" s="10">
        <v>45484</v>
      </c>
      <c r="H1449" s="8" t="s">
        <v>26</v>
      </c>
      <c r="I1449" s="8" t="s">
        <v>27</v>
      </c>
      <c r="J1449" s="8" t="s">
        <v>48</v>
      </c>
      <c r="K1449" s="8" t="s">
        <v>28</v>
      </c>
      <c r="L1449" s="8" t="s">
        <v>29</v>
      </c>
      <c r="M1449" s="8" t="s">
        <v>30</v>
      </c>
      <c r="N1449" s="11">
        <v>158397</v>
      </c>
      <c r="O1449" s="11">
        <v>11290</v>
      </c>
      <c r="P1449" s="12">
        <v>80.2</v>
      </c>
      <c r="Q1449" s="9">
        <v>10</v>
      </c>
      <c r="R1449" s="13">
        <v>1</v>
      </c>
      <c r="S1449" s="13">
        <v>5</v>
      </c>
      <c r="T1449" s="9">
        <v>10</v>
      </c>
      <c r="U1449" s="13">
        <v>90</v>
      </c>
      <c r="V1449" s="8" t="s">
        <v>31</v>
      </c>
      <c r="W1449" s="8"/>
      <c r="X1449" s="22">
        <f>IF(V1449="Yes",1,0)</f>
        <v>0</v>
      </c>
      <c r="Y1449" s="22">
        <f>IF(H1449="Active",0,1)</f>
        <v>0</v>
      </c>
    </row>
    <row r="1450" spans="1:25" ht="18" customHeight="1" x14ac:dyDescent="0.35">
      <c r="A1450" s="14" t="s">
        <v>605</v>
      </c>
      <c r="B1450" s="14" t="s">
        <v>153</v>
      </c>
      <c r="C1450" s="14" t="s">
        <v>25</v>
      </c>
      <c r="D1450" s="15">
        <v>30</v>
      </c>
      <c r="E1450" s="14" t="s">
        <v>63</v>
      </c>
      <c r="F1450" s="14" t="s">
        <v>53</v>
      </c>
      <c r="G1450" s="16">
        <v>45483</v>
      </c>
      <c r="H1450" s="14" t="s">
        <v>26</v>
      </c>
      <c r="I1450" s="14" t="s">
        <v>2267</v>
      </c>
      <c r="J1450" s="14" t="s">
        <v>2268</v>
      </c>
      <c r="K1450" s="14" t="s">
        <v>2271</v>
      </c>
      <c r="L1450" s="14" t="s">
        <v>44</v>
      </c>
      <c r="M1450" s="14" t="s">
        <v>60</v>
      </c>
      <c r="N1450" s="17">
        <v>157356</v>
      </c>
      <c r="O1450" s="17">
        <v>8613</v>
      </c>
      <c r="P1450" s="18">
        <v>85</v>
      </c>
      <c r="Q1450" s="15">
        <v>0</v>
      </c>
      <c r="R1450" s="19">
        <v>16</v>
      </c>
      <c r="S1450" s="19">
        <v>4</v>
      </c>
      <c r="T1450" s="15">
        <v>16</v>
      </c>
      <c r="U1450" s="19">
        <v>97</v>
      </c>
      <c r="V1450" s="14" t="s">
        <v>31</v>
      </c>
      <c r="W1450" s="14"/>
      <c r="X1450" s="14">
        <f>IF(V1450="Yes",1,0)</f>
        <v>0</v>
      </c>
      <c r="Y1450" s="14">
        <f>IF(H1450="Active",0,1)</f>
        <v>0</v>
      </c>
    </row>
    <row r="1451" spans="1:25" ht="18" customHeight="1" x14ac:dyDescent="0.35">
      <c r="A1451" s="14" t="s">
        <v>1724</v>
      </c>
      <c r="B1451" s="14" t="s">
        <v>308</v>
      </c>
      <c r="C1451" s="14" t="s">
        <v>34</v>
      </c>
      <c r="D1451" s="15">
        <v>53</v>
      </c>
      <c r="E1451" s="14" t="s">
        <v>52</v>
      </c>
      <c r="F1451" s="14" t="s">
        <v>53</v>
      </c>
      <c r="G1451" s="16">
        <v>45483</v>
      </c>
      <c r="H1451" s="14" t="s">
        <v>26</v>
      </c>
      <c r="I1451" s="14" t="s">
        <v>27</v>
      </c>
      <c r="J1451" s="14" t="s">
        <v>2270</v>
      </c>
      <c r="K1451" s="14" t="s">
        <v>73</v>
      </c>
      <c r="L1451" s="14" t="s">
        <v>49</v>
      </c>
      <c r="M1451" s="14" t="s">
        <v>39</v>
      </c>
      <c r="N1451" s="17">
        <v>48840</v>
      </c>
      <c r="O1451" s="17">
        <v>15313</v>
      </c>
      <c r="P1451" s="18">
        <v>88</v>
      </c>
      <c r="Q1451" s="15">
        <v>10</v>
      </c>
      <c r="R1451" s="19">
        <v>26</v>
      </c>
      <c r="S1451" s="19">
        <v>3</v>
      </c>
      <c r="T1451" s="15">
        <v>13</v>
      </c>
      <c r="U1451" s="19">
        <v>68</v>
      </c>
      <c r="V1451" s="14" t="s">
        <v>31</v>
      </c>
      <c r="W1451" s="14"/>
      <c r="X1451" s="14">
        <f>IF(V1451="Yes",1,0)</f>
        <v>0</v>
      </c>
      <c r="Y1451" s="14">
        <f>IF(H1451="Active",0,1)</f>
        <v>0</v>
      </c>
    </row>
    <row r="1452" spans="1:25" ht="18" customHeight="1" x14ac:dyDescent="0.35">
      <c r="A1452" s="14" t="s">
        <v>711</v>
      </c>
      <c r="B1452" s="14" t="s">
        <v>388</v>
      </c>
      <c r="C1452" s="14" t="s">
        <v>34</v>
      </c>
      <c r="D1452" s="15">
        <v>58</v>
      </c>
      <c r="E1452" s="14" t="s">
        <v>67</v>
      </c>
      <c r="F1452" s="14" t="s">
        <v>12</v>
      </c>
      <c r="G1452" s="16">
        <v>45482</v>
      </c>
      <c r="H1452" s="14" t="s">
        <v>26</v>
      </c>
      <c r="I1452" s="14" t="s">
        <v>27</v>
      </c>
      <c r="J1452" s="14" t="s">
        <v>2270</v>
      </c>
      <c r="K1452" s="14" t="s">
        <v>55</v>
      </c>
      <c r="L1452" s="14" t="s">
        <v>29</v>
      </c>
      <c r="M1452" s="14" t="s">
        <v>39</v>
      </c>
      <c r="N1452" s="17">
        <v>125202</v>
      </c>
      <c r="O1452" s="17">
        <v>48880</v>
      </c>
      <c r="P1452" s="18">
        <v>87.1</v>
      </c>
      <c r="Q1452" s="15">
        <v>10</v>
      </c>
      <c r="R1452" s="19">
        <v>20</v>
      </c>
      <c r="S1452" s="19">
        <v>2</v>
      </c>
      <c r="T1452" s="15">
        <v>32</v>
      </c>
      <c r="U1452" s="19">
        <v>90</v>
      </c>
      <c r="V1452" s="14" t="s">
        <v>31</v>
      </c>
      <c r="W1452" s="14"/>
      <c r="X1452" s="14">
        <f>IF(V1452="Yes",1,0)</f>
        <v>0</v>
      </c>
      <c r="Y1452" s="14">
        <f>IF(H1452="Active",0,1)</f>
        <v>0</v>
      </c>
    </row>
    <row r="1453" spans="1:25" ht="18" customHeight="1" x14ac:dyDescent="0.35">
      <c r="A1453" s="8" t="s">
        <v>1647</v>
      </c>
      <c r="B1453" s="8" t="s">
        <v>256</v>
      </c>
      <c r="C1453" s="8" t="s">
        <v>25</v>
      </c>
      <c r="D1453" s="9">
        <v>41</v>
      </c>
      <c r="E1453" s="8" t="s">
        <v>2304</v>
      </c>
      <c r="F1453" s="8" t="s">
        <v>53</v>
      </c>
      <c r="G1453" s="10">
        <v>45482</v>
      </c>
      <c r="H1453" s="8" t="s">
        <v>26</v>
      </c>
      <c r="I1453" s="8" t="s">
        <v>27</v>
      </c>
      <c r="J1453" s="8" t="s">
        <v>2269</v>
      </c>
      <c r="K1453" s="8" t="s">
        <v>28</v>
      </c>
      <c r="L1453" s="8" t="s">
        <v>44</v>
      </c>
      <c r="M1453" s="8" t="s">
        <v>60</v>
      </c>
      <c r="N1453" s="11">
        <v>132330</v>
      </c>
      <c r="O1453" s="11">
        <v>9411</v>
      </c>
      <c r="P1453" s="12">
        <v>82.8</v>
      </c>
      <c r="Q1453" s="9">
        <v>4</v>
      </c>
      <c r="R1453" s="13">
        <v>29</v>
      </c>
      <c r="S1453" s="13">
        <v>1</v>
      </c>
      <c r="T1453" s="9">
        <v>13</v>
      </c>
      <c r="U1453" s="13">
        <v>79</v>
      </c>
      <c r="V1453" s="8" t="s">
        <v>31</v>
      </c>
      <c r="W1453" s="8"/>
      <c r="X1453" s="22">
        <f>IF(V1453="Yes",1,0)</f>
        <v>0</v>
      </c>
      <c r="Y1453" s="22">
        <f>IF(H1453="Active",0,1)</f>
        <v>0</v>
      </c>
    </row>
    <row r="1454" spans="1:25" ht="18" customHeight="1" x14ac:dyDescent="0.35">
      <c r="A1454" s="14" t="s">
        <v>1778</v>
      </c>
      <c r="B1454" s="14" t="s">
        <v>497</v>
      </c>
      <c r="C1454" s="14" t="s">
        <v>25</v>
      </c>
      <c r="D1454" s="15">
        <v>54</v>
      </c>
      <c r="E1454" s="14" t="s">
        <v>109</v>
      </c>
      <c r="F1454" s="14" t="s">
        <v>90</v>
      </c>
      <c r="G1454" s="16">
        <v>45482</v>
      </c>
      <c r="H1454" s="14" t="s">
        <v>26</v>
      </c>
      <c r="I1454" s="14" t="s">
        <v>36</v>
      </c>
      <c r="J1454" s="14" t="s">
        <v>2270</v>
      </c>
      <c r="K1454" s="14" t="s">
        <v>55</v>
      </c>
      <c r="L1454" s="14" t="s">
        <v>87</v>
      </c>
      <c r="M1454" s="14" t="s">
        <v>30</v>
      </c>
      <c r="N1454" s="17">
        <v>216231</v>
      </c>
      <c r="O1454" s="17">
        <v>23119</v>
      </c>
      <c r="P1454" s="18">
        <v>90.1</v>
      </c>
      <c r="Q1454" s="15">
        <v>7</v>
      </c>
      <c r="R1454" s="19">
        <v>26</v>
      </c>
      <c r="S1454" s="19">
        <v>2</v>
      </c>
      <c r="T1454" s="15">
        <v>17</v>
      </c>
      <c r="U1454" s="19">
        <v>94</v>
      </c>
      <c r="V1454" s="14" t="s">
        <v>31</v>
      </c>
      <c r="W1454" s="14"/>
      <c r="X1454" s="14">
        <f>IF(V1454="Yes",1,0)</f>
        <v>0</v>
      </c>
      <c r="Y1454" s="14">
        <f>IF(H1454="Active",0,1)</f>
        <v>0</v>
      </c>
    </row>
    <row r="1455" spans="1:25" ht="18" customHeight="1" x14ac:dyDescent="0.35">
      <c r="A1455" s="14" t="s">
        <v>622</v>
      </c>
      <c r="B1455" s="14" t="s">
        <v>64</v>
      </c>
      <c r="C1455" s="14" t="s">
        <v>34</v>
      </c>
      <c r="D1455" s="15">
        <v>37</v>
      </c>
      <c r="E1455" s="14" t="s">
        <v>86</v>
      </c>
      <c r="F1455" s="14" t="s">
        <v>76</v>
      </c>
      <c r="G1455" s="16">
        <v>45481</v>
      </c>
      <c r="H1455" s="14" t="s">
        <v>26</v>
      </c>
      <c r="I1455" s="14" t="s">
        <v>2267</v>
      </c>
      <c r="J1455" s="14" t="s">
        <v>2270</v>
      </c>
      <c r="K1455" s="14" t="s">
        <v>37</v>
      </c>
      <c r="L1455" s="14" t="s">
        <v>44</v>
      </c>
      <c r="M1455" s="14" t="s">
        <v>39</v>
      </c>
      <c r="N1455" s="17">
        <v>42319</v>
      </c>
      <c r="O1455" s="17">
        <v>41158</v>
      </c>
      <c r="P1455" s="18">
        <v>92</v>
      </c>
      <c r="Q1455" s="15">
        <v>2</v>
      </c>
      <c r="R1455" s="19">
        <v>13</v>
      </c>
      <c r="S1455" s="19">
        <v>2</v>
      </c>
      <c r="T1455" s="15">
        <v>10</v>
      </c>
      <c r="U1455" s="19">
        <v>89</v>
      </c>
      <c r="V1455" s="14" t="s">
        <v>69</v>
      </c>
      <c r="W1455" s="14"/>
      <c r="X1455" s="14">
        <f>IF(V1455="Yes",1,0)</f>
        <v>1</v>
      </c>
      <c r="Y1455" s="14">
        <f>IF(H1455="Active",0,1)</f>
        <v>0</v>
      </c>
    </row>
    <row r="1456" spans="1:25" ht="18" customHeight="1" x14ac:dyDescent="0.35">
      <c r="A1456" s="8" t="s">
        <v>734</v>
      </c>
      <c r="B1456" s="8" t="s">
        <v>261</v>
      </c>
      <c r="C1456" s="8" t="s">
        <v>25</v>
      </c>
      <c r="D1456" s="9">
        <v>57</v>
      </c>
      <c r="E1456" s="8" t="s">
        <v>93</v>
      </c>
      <c r="F1456" s="8" t="s">
        <v>53</v>
      </c>
      <c r="G1456" s="10">
        <v>45481</v>
      </c>
      <c r="H1456" s="8" t="s">
        <v>26</v>
      </c>
      <c r="I1456" s="8" t="s">
        <v>2267</v>
      </c>
      <c r="J1456" s="8" t="s">
        <v>2270</v>
      </c>
      <c r="K1456" s="8" t="s">
        <v>55</v>
      </c>
      <c r="L1456" s="8" t="s">
        <v>29</v>
      </c>
      <c r="M1456" s="8" t="s">
        <v>45</v>
      </c>
      <c r="N1456" s="11">
        <v>73229</v>
      </c>
      <c r="O1456" s="11">
        <v>11794</v>
      </c>
      <c r="P1456" s="12">
        <v>90</v>
      </c>
      <c r="Q1456" s="9">
        <v>2</v>
      </c>
      <c r="R1456" s="13">
        <v>15</v>
      </c>
      <c r="S1456" s="13">
        <v>5</v>
      </c>
      <c r="T1456" s="9">
        <v>15</v>
      </c>
      <c r="U1456" s="13">
        <v>87</v>
      </c>
      <c r="V1456" s="8" t="s">
        <v>31</v>
      </c>
      <c r="W1456" s="8"/>
      <c r="X1456" s="22">
        <f>IF(V1456="Yes",1,0)</f>
        <v>0</v>
      </c>
      <c r="Y1456" s="22">
        <f>IF(H1456="Active",0,1)</f>
        <v>0</v>
      </c>
    </row>
    <row r="1457" spans="1:25" ht="18" customHeight="1" x14ac:dyDescent="0.35">
      <c r="A1457" s="14" t="s">
        <v>762</v>
      </c>
      <c r="B1457" s="14" t="s">
        <v>701</v>
      </c>
      <c r="C1457" s="14" t="s">
        <v>25</v>
      </c>
      <c r="D1457" s="15">
        <v>40</v>
      </c>
      <c r="E1457" s="14" t="s">
        <v>42</v>
      </c>
      <c r="F1457" s="14" t="s">
        <v>90</v>
      </c>
      <c r="G1457" s="16">
        <v>45481</v>
      </c>
      <c r="H1457" s="14" t="s">
        <v>26</v>
      </c>
      <c r="I1457" s="14" t="s">
        <v>27</v>
      </c>
      <c r="J1457" s="14" t="s">
        <v>2269</v>
      </c>
      <c r="K1457" s="14" t="s">
        <v>28</v>
      </c>
      <c r="L1457" s="14" t="s">
        <v>49</v>
      </c>
      <c r="M1457" s="14" t="s">
        <v>39</v>
      </c>
      <c r="N1457" s="17">
        <v>57123</v>
      </c>
      <c r="O1457" s="17">
        <v>6927</v>
      </c>
      <c r="P1457" s="18">
        <v>92.2</v>
      </c>
      <c r="Q1457" s="15">
        <v>1</v>
      </c>
      <c r="R1457" s="19">
        <v>20</v>
      </c>
      <c r="S1457" s="19">
        <v>1</v>
      </c>
      <c r="T1457" s="15">
        <v>5</v>
      </c>
      <c r="U1457" s="19">
        <v>72</v>
      </c>
      <c r="V1457" s="14" t="s">
        <v>31</v>
      </c>
      <c r="W1457" s="14"/>
      <c r="X1457" s="14">
        <f>IF(V1457="Yes",1,0)</f>
        <v>0</v>
      </c>
      <c r="Y1457" s="14">
        <f>IF(H1457="Active",0,1)</f>
        <v>0</v>
      </c>
    </row>
    <row r="1458" spans="1:25" ht="18" customHeight="1" x14ac:dyDescent="0.35">
      <c r="A1458" s="8" t="s">
        <v>993</v>
      </c>
      <c r="B1458" s="8" t="s">
        <v>169</v>
      </c>
      <c r="C1458" s="8" t="s">
        <v>25</v>
      </c>
      <c r="D1458" s="9">
        <v>26</v>
      </c>
      <c r="E1458" s="8" t="s">
        <v>52</v>
      </c>
      <c r="F1458" s="8" t="s">
        <v>76</v>
      </c>
      <c r="G1458" s="10">
        <v>45481</v>
      </c>
      <c r="H1458" s="8" t="s">
        <v>26</v>
      </c>
      <c r="I1458" s="8" t="s">
        <v>2267</v>
      </c>
      <c r="J1458" s="8" t="s">
        <v>2270</v>
      </c>
      <c r="K1458" s="8" t="s">
        <v>28</v>
      </c>
      <c r="L1458" s="8" t="s">
        <v>29</v>
      </c>
      <c r="M1458" s="8" t="s">
        <v>60</v>
      </c>
      <c r="N1458" s="11">
        <v>225454</v>
      </c>
      <c r="O1458" s="11">
        <v>30207</v>
      </c>
      <c r="P1458" s="12">
        <v>85.7</v>
      </c>
      <c r="Q1458" s="9">
        <v>3</v>
      </c>
      <c r="R1458" s="13">
        <v>24</v>
      </c>
      <c r="S1458" s="13">
        <v>4</v>
      </c>
      <c r="T1458" s="9">
        <v>19</v>
      </c>
      <c r="U1458" s="13">
        <v>77</v>
      </c>
      <c r="V1458" s="8" t="s">
        <v>31</v>
      </c>
      <c r="W1458" s="8"/>
      <c r="X1458" s="22">
        <f>IF(V1458="Yes",1,0)</f>
        <v>0</v>
      </c>
      <c r="Y1458" s="22">
        <f>IF(H1458="Active",0,1)</f>
        <v>0</v>
      </c>
    </row>
    <row r="1459" spans="1:25" ht="18" customHeight="1" x14ac:dyDescent="0.35">
      <c r="A1459" s="14" t="s">
        <v>451</v>
      </c>
      <c r="B1459" s="14" t="s">
        <v>197</v>
      </c>
      <c r="C1459" s="14" t="s">
        <v>34</v>
      </c>
      <c r="D1459" s="15">
        <v>33</v>
      </c>
      <c r="E1459" s="14" t="s">
        <v>63</v>
      </c>
      <c r="F1459" s="14" t="s">
        <v>53</v>
      </c>
      <c r="G1459" s="16">
        <v>45480</v>
      </c>
      <c r="H1459" s="14" t="s">
        <v>26</v>
      </c>
      <c r="I1459" s="14" t="s">
        <v>27</v>
      </c>
      <c r="J1459" s="14" t="s">
        <v>2268</v>
      </c>
      <c r="K1459" s="14" t="s">
        <v>28</v>
      </c>
      <c r="L1459" s="14" t="s">
        <v>56</v>
      </c>
      <c r="M1459" s="14" t="s">
        <v>39</v>
      </c>
      <c r="N1459" s="17">
        <v>56941</v>
      </c>
      <c r="O1459" s="17">
        <v>39276</v>
      </c>
      <c r="P1459" s="18">
        <v>97.4</v>
      </c>
      <c r="Q1459" s="15">
        <v>4</v>
      </c>
      <c r="R1459" s="19">
        <v>9</v>
      </c>
      <c r="S1459" s="19">
        <v>2</v>
      </c>
      <c r="T1459" s="15">
        <v>18</v>
      </c>
      <c r="U1459" s="19">
        <v>63</v>
      </c>
      <c r="V1459" s="14" t="s">
        <v>31</v>
      </c>
      <c r="W1459" s="14"/>
      <c r="X1459" s="14">
        <f>IF(V1459="Yes",1,0)</f>
        <v>0</v>
      </c>
      <c r="Y1459" s="14">
        <f>IF(H1459="Active",0,1)</f>
        <v>0</v>
      </c>
    </row>
    <row r="1460" spans="1:25" ht="18" customHeight="1" x14ac:dyDescent="0.35">
      <c r="A1460" s="8" t="s">
        <v>614</v>
      </c>
      <c r="B1460" s="8" t="s">
        <v>181</v>
      </c>
      <c r="C1460" s="8" t="s">
        <v>25</v>
      </c>
      <c r="D1460" s="9">
        <v>33</v>
      </c>
      <c r="E1460" s="8" t="s">
        <v>86</v>
      </c>
      <c r="F1460" s="8" t="s">
        <v>35</v>
      </c>
      <c r="G1460" s="10">
        <v>45480</v>
      </c>
      <c r="H1460" s="8" t="s">
        <v>26</v>
      </c>
      <c r="I1460" s="8" t="s">
        <v>36</v>
      </c>
      <c r="J1460" s="8" t="s">
        <v>2269</v>
      </c>
      <c r="K1460" s="8" t="s">
        <v>28</v>
      </c>
      <c r="L1460" s="8" t="s">
        <v>116</v>
      </c>
      <c r="M1460" s="8" t="s">
        <v>39</v>
      </c>
      <c r="N1460" s="11">
        <v>135724</v>
      </c>
      <c r="O1460" s="11">
        <v>36620</v>
      </c>
      <c r="P1460" s="12">
        <v>90.5</v>
      </c>
      <c r="Q1460" s="9">
        <v>6</v>
      </c>
      <c r="R1460" s="13">
        <v>7</v>
      </c>
      <c r="S1460" s="13">
        <v>5</v>
      </c>
      <c r="T1460" s="9">
        <v>35</v>
      </c>
      <c r="U1460" s="13">
        <v>62</v>
      </c>
      <c r="V1460" s="8" t="s">
        <v>31</v>
      </c>
      <c r="W1460" s="8"/>
      <c r="X1460" s="22">
        <f>IF(V1460="Yes",1,0)</f>
        <v>0</v>
      </c>
      <c r="Y1460" s="22">
        <f>IF(H1460="Active",0,1)</f>
        <v>0</v>
      </c>
    </row>
    <row r="1461" spans="1:25" ht="18" customHeight="1" x14ac:dyDescent="0.35">
      <c r="A1461" s="8" t="s">
        <v>2105</v>
      </c>
      <c r="B1461" s="8" t="s">
        <v>144</v>
      </c>
      <c r="C1461" s="8" t="s">
        <v>25</v>
      </c>
      <c r="D1461" s="9">
        <v>27</v>
      </c>
      <c r="E1461" s="8" t="s">
        <v>2303</v>
      </c>
      <c r="F1461" s="8" t="s">
        <v>90</v>
      </c>
      <c r="G1461" s="10">
        <v>45480</v>
      </c>
      <c r="H1461" s="8" t="s">
        <v>26</v>
      </c>
      <c r="I1461" s="8" t="s">
        <v>27</v>
      </c>
      <c r="J1461" s="8" t="s">
        <v>2268</v>
      </c>
      <c r="K1461" s="8" t="s">
        <v>55</v>
      </c>
      <c r="L1461" s="8" t="s">
        <v>44</v>
      </c>
      <c r="M1461" s="8" t="s">
        <v>64</v>
      </c>
      <c r="N1461" s="11">
        <v>36192</v>
      </c>
      <c r="O1461" s="11">
        <v>24171</v>
      </c>
      <c r="P1461" s="12">
        <v>82.4</v>
      </c>
      <c r="Q1461" s="9">
        <v>7</v>
      </c>
      <c r="R1461" s="13">
        <v>5</v>
      </c>
      <c r="S1461" s="13">
        <v>5</v>
      </c>
      <c r="T1461" s="9">
        <v>19</v>
      </c>
      <c r="U1461" s="13">
        <v>73</v>
      </c>
      <c r="V1461" s="8" t="s">
        <v>31</v>
      </c>
      <c r="W1461" s="8"/>
      <c r="X1461" s="22">
        <f>IF(V1461="Yes",1,0)</f>
        <v>0</v>
      </c>
      <c r="Y1461" s="22">
        <f>IF(H1461="Active",0,1)</f>
        <v>0</v>
      </c>
    </row>
    <row r="1462" spans="1:25" ht="18" customHeight="1" x14ac:dyDescent="0.35">
      <c r="A1462" s="14" t="s">
        <v>2248</v>
      </c>
      <c r="B1462" s="14" t="s">
        <v>471</v>
      </c>
      <c r="C1462" s="14" t="s">
        <v>34</v>
      </c>
      <c r="D1462" s="15">
        <v>35</v>
      </c>
      <c r="E1462" s="14" t="s">
        <v>63</v>
      </c>
      <c r="F1462" s="14" t="s">
        <v>53</v>
      </c>
      <c r="G1462" s="16">
        <v>45480</v>
      </c>
      <c r="H1462" s="14" t="s">
        <v>26</v>
      </c>
      <c r="I1462" s="14" t="s">
        <v>27</v>
      </c>
      <c r="J1462" s="14" t="s">
        <v>2270</v>
      </c>
      <c r="K1462" s="14" t="s">
        <v>37</v>
      </c>
      <c r="L1462" s="14" t="s">
        <v>56</v>
      </c>
      <c r="M1462" s="14" t="s">
        <v>60</v>
      </c>
      <c r="N1462" s="17">
        <v>139177</v>
      </c>
      <c r="O1462" s="17">
        <v>25831</v>
      </c>
      <c r="P1462" s="18">
        <v>82.5</v>
      </c>
      <c r="Q1462" s="15">
        <v>2</v>
      </c>
      <c r="R1462" s="19">
        <v>25</v>
      </c>
      <c r="S1462" s="19">
        <v>1</v>
      </c>
      <c r="T1462" s="15">
        <v>35</v>
      </c>
      <c r="U1462" s="19">
        <v>76</v>
      </c>
      <c r="V1462" s="14" t="s">
        <v>31</v>
      </c>
      <c r="W1462" s="14"/>
      <c r="X1462" s="14">
        <f>IF(V1462="Yes",1,0)</f>
        <v>0</v>
      </c>
      <c r="Y1462" s="14">
        <f>IF(H1462="Active",0,1)</f>
        <v>0</v>
      </c>
    </row>
    <row r="1463" spans="1:25" ht="18" customHeight="1" x14ac:dyDescent="0.35">
      <c r="A1463" s="14" t="s">
        <v>1024</v>
      </c>
      <c r="B1463" s="14" t="s">
        <v>267</v>
      </c>
      <c r="C1463" s="14" t="s">
        <v>34</v>
      </c>
      <c r="D1463" s="15">
        <v>41</v>
      </c>
      <c r="E1463" s="14" t="s">
        <v>42</v>
      </c>
      <c r="F1463" s="14" t="s">
        <v>53</v>
      </c>
      <c r="G1463" s="16">
        <v>45479</v>
      </c>
      <c r="H1463" s="14" t="s">
        <v>26</v>
      </c>
      <c r="I1463" s="14" t="s">
        <v>36</v>
      </c>
      <c r="J1463" s="14" t="s">
        <v>2269</v>
      </c>
      <c r="K1463" s="14" t="s">
        <v>37</v>
      </c>
      <c r="L1463" s="14" t="s">
        <v>116</v>
      </c>
      <c r="M1463" s="14" t="s">
        <v>60</v>
      </c>
      <c r="N1463" s="17">
        <v>116517</v>
      </c>
      <c r="O1463" s="17">
        <v>22936</v>
      </c>
      <c r="P1463" s="18">
        <v>83.1</v>
      </c>
      <c r="Q1463" s="15">
        <v>2</v>
      </c>
      <c r="R1463" s="19">
        <v>12</v>
      </c>
      <c r="S1463" s="19">
        <v>2</v>
      </c>
      <c r="T1463" s="15">
        <v>17</v>
      </c>
      <c r="U1463" s="19">
        <v>89</v>
      </c>
      <c r="V1463" s="14" t="s">
        <v>31</v>
      </c>
      <c r="W1463" s="14"/>
      <c r="X1463" s="14">
        <f>IF(V1463="Yes",1,0)</f>
        <v>0</v>
      </c>
      <c r="Y1463" s="14">
        <f>IF(H1463="Active",0,1)</f>
        <v>0</v>
      </c>
    </row>
    <row r="1464" spans="1:25" ht="18" customHeight="1" x14ac:dyDescent="0.35">
      <c r="A1464" s="8" t="s">
        <v>1521</v>
      </c>
      <c r="B1464" s="8" t="s">
        <v>256</v>
      </c>
      <c r="C1464" s="8" t="s">
        <v>25</v>
      </c>
      <c r="D1464" s="9">
        <v>57</v>
      </c>
      <c r="E1464" s="8" t="s">
        <v>63</v>
      </c>
      <c r="F1464" s="8" t="s">
        <v>90</v>
      </c>
      <c r="G1464" s="10">
        <v>45478</v>
      </c>
      <c r="H1464" s="8" t="s">
        <v>26</v>
      </c>
      <c r="I1464" s="8" t="s">
        <v>2267</v>
      </c>
      <c r="J1464" s="8" t="s">
        <v>48</v>
      </c>
      <c r="K1464" s="8" t="s">
        <v>28</v>
      </c>
      <c r="L1464" s="8" t="s">
        <v>116</v>
      </c>
      <c r="M1464" s="8" t="s">
        <v>39</v>
      </c>
      <c r="N1464" s="11">
        <v>45123</v>
      </c>
      <c r="O1464" s="11">
        <v>35014</v>
      </c>
      <c r="P1464" s="12">
        <v>92.4</v>
      </c>
      <c r="Q1464" s="9">
        <v>9</v>
      </c>
      <c r="R1464" s="13">
        <v>22</v>
      </c>
      <c r="S1464" s="13">
        <v>4</v>
      </c>
      <c r="T1464" s="9">
        <v>34</v>
      </c>
      <c r="U1464" s="13">
        <v>75</v>
      </c>
      <c r="V1464" s="8" t="s">
        <v>31</v>
      </c>
      <c r="W1464" s="8"/>
      <c r="X1464" s="22">
        <f>IF(V1464="Yes",1,0)</f>
        <v>0</v>
      </c>
      <c r="Y1464" s="22">
        <f>IF(H1464="Active",0,1)</f>
        <v>0</v>
      </c>
    </row>
    <row r="1465" spans="1:25" ht="18" customHeight="1" x14ac:dyDescent="0.35">
      <c r="A1465" s="8" t="s">
        <v>1537</v>
      </c>
      <c r="B1465" s="8" t="s">
        <v>51</v>
      </c>
      <c r="C1465" s="8" t="s">
        <v>25</v>
      </c>
      <c r="D1465" s="9">
        <v>23</v>
      </c>
      <c r="E1465" s="8" t="s">
        <v>52</v>
      </c>
      <c r="F1465" s="8" t="s">
        <v>53</v>
      </c>
      <c r="G1465" s="10">
        <v>45478</v>
      </c>
      <c r="H1465" s="8" t="s">
        <v>26</v>
      </c>
      <c r="I1465" s="8" t="s">
        <v>27</v>
      </c>
      <c r="J1465" s="8" t="s">
        <v>80</v>
      </c>
      <c r="K1465" s="8" t="s">
        <v>73</v>
      </c>
      <c r="L1465" s="8" t="s">
        <v>87</v>
      </c>
      <c r="M1465" s="8" t="s">
        <v>30</v>
      </c>
      <c r="N1465" s="11">
        <v>209827</v>
      </c>
      <c r="O1465" s="11">
        <v>26774</v>
      </c>
      <c r="P1465" s="12">
        <v>86.5</v>
      </c>
      <c r="Q1465" s="9">
        <v>9</v>
      </c>
      <c r="R1465" s="13">
        <v>13</v>
      </c>
      <c r="S1465" s="13">
        <v>5</v>
      </c>
      <c r="T1465" s="9">
        <v>23</v>
      </c>
      <c r="U1465" s="13">
        <v>91</v>
      </c>
      <c r="V1465" s="8" t="s">
        <v>31</v>
      </c>
      <c r="W1465" s="8"/>
      <c r="X1465" s="22">
        <f>IF(V1465="Yes",1,0)</f>
        <v>0</v>
      </c>
      <c r="Y1465" s="22">
        <f>IF(H1465="Active",0,1)</f>
        <v>0</v>
      </c>
    </row>
    <row r="1466" spans="1:25" ht="18" customHeight="1" x14ac:dyDescent="0.35">
      <c r="A1466" s="8" t="s">
        <v>2123</v>
      </c>
      <c r="B1466" s="8" t="s">
        <v>280</v>
      </c>
      <c r="C1466" s="8" t="s">
        <v>34</v>
      </c>
      <c r="D1466" s="9">
        <v>40</v>
      </c>
      <c r="E1466" s="8" t="s">
        <v>63</v>
      </c>
      <c r="F1466" s="8" t="s">
        <v>72</v>
      </c>
      <c r="G1466" s="10">
        <v>45477</v>
      </c>
      <c r="H1466" s="8" t="s">
        <v>54</v>
      </c>
      <c r="I1466" s="8" t="s">
        <v>27</v>
      </c>
      <c r="J1466" s="8" t="s">
        <v>80</v>
      </c>
      <c r="K1466" s="8" t="s">
        <v>37</v>
      </c>
      <c r="L1466" s="8" t="s">
        <v>38</v>
      </c>
      <c r="M1466" s="8" t="s">
        <v>39</v>
      </c>
      <c r="N1466" s="11">
        <v>118309</v>
      </c>
      <c r="O1466" s="11">
        <v>20976</v>
      </c>
      <c r="P1466" s="12">
        <v>84.6</v>
      </c>
      <c r="Q1466" s="9">
        <v>3</v>
      </c>
      <c r="R1466" s="13">
        <v>2</v>
      </c>
      <c r="S1466" s="13">
        <v>2</v>
      </c>
      <c r="T1466" s="9">
        <v>27</v>
      </c>
      <c r="U1466" s="13">
        <v>78</v>
      </c>
      <c r="V1466" s="8" t="s">
        <v>69</v>
      </c>
      <c r="W1466" s="8" t="s">
        <v>96</v>
      </c>
      <c r="X1466" s="22">
        <f>IF(V1466="Yes",1,0)</f>
        <v>1</v>
      </c>
      <c r="Y1466" s="22">
        <f>IF(H1466="Active",0,1)</f>
        <v>1</v>
      </c>
    </row>
    <row r="1467" spans="1:25" ht="18" customHeight="1" x14ac:dyDescent="0.35">
      <c r="A1467" s="8" t="s">
        <v>790</v>
      </c>
      <c r="B1467" s="8" t="s">
        <v>506</v>
      </c>
      <c r="C1467" s="8" t="s">
        <v>34</v>
      </c>
      <c r="D1467" s="9">
        <v>35</v>
      </c>
      <c r="E1467" s="8" t="s">
        <v>86</v>
      </c>
      <c r="F1467" s="8" t="s">
        <v>76</v>
      </c>
      <c r="G1467" s="10">
        <v>45476</v>
      </c>
      <c r="H1467" s="8" t="s">
        <v>26</v>
      </c>
      <c r="I1467" s="8" t="s">
        <v>2267</v>
      </c>
      <c r="J1467" s="8" t="s">
        <v>80</v>
      </c>
      <c r="K1467" s="8" t="s">
        <v>28</v>
      </c>
      <c r="L1467" s="8" t="s">
        <v>29</v>
      </c>
      <c r="M1467" s="8" t="s">
        <v>64</v>
      </c>
      <c r="N1467" s="11">
        <v>239233</v>
      </c>
      <c r="O1467" s="11">
        <v>48101</v>
      </c>
      <c r="P1467" s="12">
        <v>82.8</v>
      </c>
      <c r="Q1467" s="9">
        <v>2</v>
      </c>
      <c r="R1467" s="13">
        <v>13</v>
      </c>
      <c r="S1467" s="13">
        <v>4</v>
      </c>
      <c r="T1467" s="9">
        <v>8</v>
      </c>
      <c r="U1467" s="13">
        <v>74</v>
      </c>
      <c r="V1467" s="8" t="s">
        <v>31</v>
      </c>
      <c r="W1467" s="8"/>
      <c r="X1467" s="22">
        <f>IF(V1467="Yes",1,0)</f>
        <v>0</v>
      </c>
      <c r="Y1467" s="22">
        <f>IF(H1467="Active",0,1)</f>
        <v>0</v>
      </c>
    </row>
    <row r="1468" spans="1:25" ht="18" customHeight="1" x14ac:dyDescent="0.35">
      <c r="A1468" s="14" t="s">
        <v>1424</v>
      </c>
      <c r="B1468" s="14" t="s">
        <v>175</v>
      </c>
      <c r="C1468" s="14" t="s">
        <v>34</v>
      </c>
      <c r="D1468" s="15">
        <v>48</v>
      </c>
      <c r="E1468" s="14" t="s">
        <v>2304</v>
      </c>
      <c r="F1468" s="14" t="s">
        <v>53</v>
      </c>
      <c r="G1468" s="16">
        <v>45476</v>
      </c>
      <c r="H1468" s="14" t="s">
        <v>26</v>
      </c>
      <c r="I1468" s="14" t="s">
        <v>36</v>
      </c>
      <c r="J1468" s="14" t="s">
        <v>2270</v>
      </c>
      <c r="K1468" s="14" t="s">
        <v>2271</v>
      </c>
      <c r="L1468" s="14" t="s">
        <v>87</v>
      </c>
      <c r="M1468" s="14" t="s">
        <v>39</v>
      </c>
      <c r="N1468" s="17">
        <v>140825</v>
      </c>
      <c r="O1468" s="17">
        <v>43866</v>
      </c>
      <c r="P1468" s="18">
        <v>87.2</v>
      </c>
      <c r="Q1468" s="15">
        <v>2</v>
      </c>
      <c r="R1468" s="19">
        <v>21</v>
      </c>
      <c r="S1468" s="19">
        <v>4</v>
      </c>
      <c r="T1468" s="15">
        <v>12</v>
      </c>
      <c r="U1468" s="19">
        <v>83</v>
      </c>
      <c r="V1468" s="14" t="s">
        <v>31</v>
      </c>
      <c r="W1468" s="14"/>
      <c r="X1468" s="14">
        <f>IF(V1468="Yes",1,0)</f>
        <v>0</v>
      </c>
      <c r="Y1468" s="14">
        <f>IF(H1468="Active",0,1)</f>
        <v>0</v>
      </c>
    </row>
    <row r="1469" spans="1:25" ht="18" customHeight="1" x14ac:dyDescent="0.35">
      <c r="A1469" s="14" t="s">
        <v>1328</v>
      </c>
      <c r="B1469" s="14" t="s">
        <v>149</v>
      </c>
      <c r="C1469" s="14" t="s">
        <v>34</v>
      </c>
      <c r="D1469" s="15">
        <v>54</v>
      </c>
      <c r="E1469" s="14" t="s">
        <v>93</v>
      </c>
      <c r="F1469" s="14" t="s">
        <v>12</v>
      </c>
      <c r="G1469" s="16">
        <v>45475</v>
      </c>
      <c r="H1469" s="14" t="s">
        <v>26</v>
      </c>
      <c r="I1469" s="14" t="s">
        <v>2267</v>
      </c>
      <c r="J1469" s="14" t="s">
        <v>80</v>
      </c>
      <c r="K1469" s="14" t="s">
        <v>73</v>
      </c>
      <c r="L1469" s="14" t="s">
        <v>116</v>
      </c>
      <c r="M1469" s="14" t="s">
        <v>64</v>
      </c>
      <c r="N1469" s="17">
        <v>100315</v>
      </c>
      <c r="O1469" s="17">
        <v>39680</v>
      </c>
      <c r="P1469" s="18">
        <v>95.2</v>
      </c>
      <c r="Q1469" s="15">
        <v>4</v>
      </c>
      <c r="R1469" s="19">
        <v>5</v>
      </c>
      <c r="S1469" s="19">
        <v>5</v>
      </c>
      <c r="T1469" s="15">
        <v>10</v>
      </c>
      <c r="U1469" s="19">
        <v>65</v>
      </c>
      <c r="V1469" s="14" t="s">
        <v>31</v>
      </c>
      <c r="W1469" s="14"/>
      <c r="X1469" s="14">
        <f>IF(V1469="Yes",1,0)</f>
        <v>0</v>
      </c>
      <c r="Y1469" s="14">
        <f>IF(H1469="Active",0,1)</f>
        <v>0</v>
      </c>
    </row>
    <row r="1470" spans="1:25" ht="18" customHeight="1" x14ac:dyDescent="0.35">
      <c r="A1470" s="14" t="s">
        <v>1582</v>
      </c>
      <c r="B1470" s="14" t="s">
        <v>386</v>
      </c>
      <c r="C1470" s="14" t="s">
        <v>25</v>
      </c>
      <c r="D1470" s="15">
        <v>52</v>
      </c>
      <c r="E1470" s="14" t="s">
        <v>52</v>
      </c>
      <c r="F1470" s="14" t="s">
        <v>12</v>
      </c>
      <c r="G1470" s="16">
        <v>45475</v>
      </c>
      <c r="H1470" s="14" t="s">
        <v>26</v>
      </c>
      <c r="I1470" s="14" t="s">
        <v>36</v>
      </c>
      <c r="J1470" s="14" t="s">
        <v>80</v>
      </c>
      <c r="K1470" s="14" t="s">
        <v>37</v>
      </c>
      <c r="L1470" s="14" t="s">
        <v>56</v>
      </c>
      <c r="M1470" s="14" t="s">
        <v>60</v>
      </c>
      <c r="N1470" s="17">
        <v>182395</v>
      </c>
      <c r="O1470" s="17">
        <v>38058</v>
      </c>
      <c r="P1470" s="18">
        <v>99.4</v>
      </c>
      <c r="Q1470" s="15">
        <v>9</v>
      </c>
      <c r="R1470" s="19">
        <v>12</v>
      </c>
      <c r="S1470" s="19">
        <v>3</v>
      </c>
      <c r="T1470" s="15">
        <v>7</v>
      </c>
      <c r="U1470" s="19">
        <v>73</v>
      </c>
      <c r="V1470" s="14" t="s">
        <v>31</v>
      </c>
      <c r="W1470" s="14"/>
      <c r="X1470" s="14">
        <f>IF(V1470="Yes",1,0)</f>
        <v>0</v>
      </c>
      <c r="Y1470" s="14">
        <f>IF(H1470="Active",0,1)</f>
        <v>0</v>
      </c>
    </row>
    <row r="1471" spans="1:25" ht="18" customHeight="1" x14ac:dyDescent="0.35">
      <c r="A1471" s="8" t="s">
        <v>1639</v>
      </c>
      <c r="B1471" s="8" t="s">
        <v>127</v>
      </c>
      <c r="C1471" s="8" t="s">
        <v>25</v>
      </c>
      <c r="D1471" s="9">
        <v>52</v>
      </c>
      <c r="E1471" s="8" t="s">
        <v>86</v>
      </c>
      <c r="F1471" s="8" t="s">
        <v>72</v>
      </c>
      <c r="G1471" s="10">
        <v>45475</v>
      </c>
      <c r="H1471" s="8" t="s">
        <v>54</v>
      </c>
      <c r="I1471" s="8" t="s">
        <v>36</v>
      </c>
      <c r="J1471" s="8" t="s">
        <v>48</v>
      </c>
      <c r="K1471" s="8" t="s">
        <v>37</v>
      </c>
      <c r="L1471" s="8" t="s">
        <v>49</v>
      </c>
      <c r="M1471" s="8" t="s">
        <v>64</v>
      </c>
      <c r="N1471" s="11">
        <v>143701</v>
      </c>
      <c r="O1471" s="11">
        <v>8653</v>
      </c>
      <c r="P1471" s="12">
        <v>91.7</v>
      </c>
      <c r="Q1471" s="9">
        <v>9</v>
      </c>
      <c r="R1471" s="13">
        <v>4</v>
      </c>
      <c r="S1471" s="13">
        <v>1</v>
      </c>
      <c r="T1471" s="9">
        <v>34</v>
      </c>
      <c r="U1471" s="13">
        <v>92</v>
      </c>
      <c r="V1471" s="8" t="s">
        <v>31</v>
      </c>
      <c r="W1471" s="8" t="s">
        <v>83</v>
      </c>
      <c r="X1471" s="22">
        <f>IF(V1471="Yes",1,0)</f>
        <v>0</v>
      </c>
      <c r="Y1471" s="22">
        <f>IF(H1471="Active",0,1)</f>
        <v>1</v>
      </c>
    </row>
    <row r="1472" spans="1:25" ht="18" customHeight="1" x14ac:dyDescent="0.35">
      <c r="A1472" s="14" t="s">
        <v>1884</v>
      </c>
      <c r="B1472" s="14" t="s">
        <v>630</v>
      </c>
      <c r="C1472" s="14" t="s">
        <v>25</v>
      </c>
      <c r="D1472" s="15">
        <v>22</v>
      </c>
      <c r="E1472" s="14" t="s">
        <v>52</v>
      </c>
      <c r="F1472" s="14" t="s">
        <v>53</v>
      </c>
      <c r="G1472" s="16">
        <v>45475</v>
      </c>
      <c r="H1472" s="14" t="s">
        <v>26</v>
      </c>
      <c r="I1472" s="14" t="s">
        <v>27</v>
      </c>
      <c r="J1472" s="14" t="s">
        <v>80</v>
      </c>
      <c r="K1472" s="14" t="s">
        <v>28</v>
      </c>
      <c r="L1472" s="14" t="s">
        <v>56</v>
      </c>
      <c r="M1472" s="14" t="s">
        <v>30</v>
      </c>
      <c r="N1472" s="17">
        <v>179515</v>
      </c>
      <c r="O1472" s="17">
        <v>6674</v>
      </c>
      <c r="P1472" s="18">
        <v>94.7</v>
      </c>
      <c r="Q1472" s="15">
        <v>4</v>
      </c>
      <c r="R1472" s="19">
        <v>28</v>
      </c>
      <c r="S1472" s="19">
        <v>4</v>
      </c>
      <c r="T1472" s="15">
        <v>17</v>
      </c>
      <c r="U1472" s="19">
        <v>94</v>
      </c>
      <c r="V1472" s="14" t="s">
        <v>31</v>
      </c>
      <c r="W1472" s="14"/>
      <c r="X1472" s="14">
        <f>IF(V1472="Yes",1,0)</f>
        <v>0</v>
      </c>
      <c r="Y1472" s="14">
        <f>IF(H1472="Active",0,1)</f>
        <v>0</v>
      </c>
    </row>
    <row r="1473" spans="1:25" ht="18" customHeight="1" x14ac:dyDescent="0.35">
      <c r="A1473" s="8" t="s">
        <v>2197</v>
      </c>
      <c r="B1473" s="8" t="s">
        <v>240</v>
      </c>
      <c r="C1473" s="8" t="s">
        <v>25</v>
      </c>
      <c r="D1473" s="9">
        <v>24</v>
      </c>
      <c r="E1473" s="8" t="s">
        <v>109</v>
      </c>
      <c r="F1473" s="8" t="s">
        <v>72</v>
      </c>
      <c r="G1473" s="10">
        <v>45475</v>
      </c>
      <c r="H1473" s="8" t="s">
        <v>26</v>
      </c>
      <c r="I1473" s="8" t="s">
        <v>36</v>
      </c>
      <c r="J1473" s="8" t="s">
        <v>2270</v>
      </c>
      <c r="K1473" s="8" t="s">
        <v>2271</v>
      </c>
      <c r="L1473" s="8" t="s">
        <v>44</v>
      </c>
      <c r="M1473" s="8" t="s">
        <v>30</v>
      </c>
      <c r="N1473" s="11">
        <v>86374</v>
      </c>
      <c r="O1473" s="11">
        <v>9745</v>
      </c>
      <c r="P1473" s="12">
        <v>87.9</v>
      </c>
      <c r="Q1473" s="9">
        <v>2</v>
      </c>
      <c r="R1473" s="13">
        <v>28</v>
      </c>
      <c r="S1473" s="13">
        <v>3</v>
      </c>
      <c r="T1473" s="9">
        <v>12</v>
      </c>
      <c r="U1473" s="13">
        <v>75</v>
      </c>
      <c r="V1473" s="8" t="s">
        <v>31</v>
      </c>
      <c r="W1473" s="8"/>
      <c r="X1473" s="22">
        <f>IF(V1473="Yes",1,0)</f>
        <v>0</v>
      </c>
      <c r="Y1473" s="22">
        <f>IF(H1473="Active",0,1)</f>
        <v>0</v>
      </c>
    </row>
    <row r="1474" spans="1:25" ht="18" customHeight="1" x14ac:dyDescent="0.35">
      <c r="A1474" s="8" t="s">
        <v>200</v>
      </c>
      <c r="B1474" s="8" t="s">
        <v>201</v>
      </c>
      <c r="C1474" s="8" t="s">
        <v>34</v>
      </c>
      <c r="D1474" s="9">
        <v>31</v>
      </c>
      <c r="E1474" s="8" t="s">
        <v>52</v>
      </c>
      <c r="F1474" s="8" t="s">
        <v>76</v>
      </c>
      <c r="G1474" s="10">
        <v>45474</v>
      </c>
      <c r="H1474" s="8" t="s">
        <v>26</v>
      </c>
      <c r="I1474" s="8" t="s">
        <v>27</v>
      </c>
      <c r="J1474" s="8" t="s">
        <v>2269</v>
      </c>
      <c r="K1474" s="8" t="s">
        <v>73</v>
      </c>
      <c r="L1474" s="8" t="s">
        <v>29</v>
      </c>
      <c r="M1474" s="8" t="s">
        <v>30</v>
      </c>
      <c r="N1474" s="11">
        <v>138695</v>
      </c>
      <c r="O1474" s="11">
        <v>20926</v>
      </c>
      <c r="P1474" s="12">
        <v>95.1</v>
      </c>
      <c r="Q1474" s="9">
        <v>8</v>
      </c>
      <c r="R1474" s="13">
        <v>18</v>
      </c>
      <c r="S1474" s="13">
        <v>1</v>
      </c>
      <c r="T1474" s="9">
        <v>9</v>
      </c>
      <c r="U1474" s="13">
        <v>61</v>
      </c>
      <c r="V1474" s="8" t="s">
        <v>69</v>
      </c>
      <c r="W1474" s="8"/>
      <c r="X1474" s="22">
        <f>IF(V1474="Yes",1,0)</f>
        <v>1</v>
      </c>
      <c r="Y1474" s="22">
        <f>IF(H1474="Active",0,1)</f>
        <v>0</v>
      </c>
    </row>
    <row r="1475" spans="1:25" ht="18" customHeight="1" x14ac:dyDescent="0.35">
      <c r="A1475" s="8" t="s">
        <v>942</v>
      </c>
      <c r="B1475" s="8" t="s">
        <v>136</v>
      </c>
      <c r="C1475" s="8" t="s">
        <v>34</v>
      </c>
      <c r="D1475" s="9">
        <v>50</v>
      </c>
      <c r="E1475" s="8" t="s">
        <v>2304</v>
      </c>
      <c r="F1475" s="8" t="s">
        <v>72</v>
      </c>
      <c r="G1475" s="10">
        <v>45474</v>
      </c>
      <c r="H1475" s="8" t="s">
        <v>26</v>
      </c>
      <c r="I1475" s="8" t="s">
        <v>2267</v>
      </c>
      <c r="J1475" s="8" t="s">
        <v>2268</v>
      </c>
      <c r="K1475" s="8" t="s">
        <v>73</v>
      </c>
      <c r="L1475" s="8" t="s">
        <v>44</v>
      </c>
      <c r="M1475" s="8" t="s">
        <v>39</v>
      </c>
      <c r="N1475" s="11">
        <v>216765</v>
      </c>
      <c r="O1475" s="11">
        <v>48337</v>
      </c>
      <c r="P1475" s="12">
        <v>96</v>
      </c>
      <c r="Q1475" s="9">
        <v>6</v>
      </c>
      <c r="R1475" s="13">
        <v>3</v>
      </c>
      <c r="S1475" s="13">
        <v>2</v>
      </c>
      <c r="T1475" s="9">
        <v>29</v>
      </c>
      <c r="U1475" s="13">
        <v>98</v>
      </c>
      <c r="V1475" s="8" t="s">
        <v>31</v>
      </c>
      <c r="W1475" s="8"/>
      <c r="X1475" s="22">
        <f>IF(V1475="Yes",1,0)</f>
        <v>0</v>
      </c>
      <c r="Y1475" s="22">
        <f>IF(H1475="Active",0,1)</f>
        <v>0</v>
      </c>
    </row>
    <row r="1476" spans="1:25" ht="18" customHeight="1" x14ac:dyDescent="0.35">
      <c r="A1476" s="14" t="s">
        <v>1004</v>
      </c>
      <c r="B1476" s="14" t="s">
        <v>548</v>
      </c>
      <c r="C1476" s="14" t="s">
        <v>25</v>
      </c>
      <c r="D1476" s="15">
        <v>23</v>
      </c>
      <c r="E1476" s="14" t="s">
        <v>2303</v>
      </c>
      <c r="F1476" s="14" t="s">
        <v>79</v>
      </c>
      <c r="G1476" s="16">
        <v>45474</v>
      </c>
      <c r="H1476" s="14" t="s">
        <v>26</v>
      </c>
      <c r="I1476" s="14" t="s">
        <v>27</v>
      </c>
      <c r="J1476" s="14" t="s">
        <v>48</v>
      </c>
      <c r="K1476" s="14" t="s">
        <v>37</v>
      </c>
      <c r="L1476" s="14" t="s">
        <v>116</v>
      </c>
      <c r="M1476" s="14" t="s">
        <v>64</v>
      </c>
      <c r="N1476" s="17">
        <v>136514</v>
      </c>
      <c r="O1476" s="17">
        <v>38212</v>
      </c>
      <c r="P1476" s="18">
        <v>88.8</v>
      </c>
      <c r="Q1476" s="15">
        <v>10</v>
      </c>
      <c r="R1476" s="19">
        <v>24</v>
      </c>
      <c r="S1476" s="19">
        <v>1</v>
      </c>
      <c r="T1476" s="15">
        <v>19</v>
      </c>
      <c r="U1476" s="19">
        <v>85</v>
      </c>
      <c r="V1476" s="14" t="s">
        <v>31</v>
      </c>
      <c r="W1476" s="14"/>
      <c r="X1476" s="14">
        <f>IF(V1476="Yes",1,0)</f>
        <v>0</v>
      </c>
      <c r="Y1476" s="14">
        <f>IF(H1476="Active",0,1)</f>
        <v>0</v>
      </c>
    </row>
    <row r="1477" spans="1:25" ht="18" customHeight="1" x14ac:dyDescent="0.35">
      <c r="A1477" s="14" t="s">
        <v>1488</v>
      </c>
      <c r="B1477" s="14" t="s">
        <v>153</v>
      </c>
      <c r="C1477" s="14" t="s">
        <v>34</v>
      </c>
      <c r="D1477" s="15">
        <v>21</v>
      </c>
      <c r="E1477" s="14" t="s">
        <v>52</v>
      </c>
      <c r="F1477" s="14" t="s">
        <v>12</v>
      </c>
      <c r="G1477" s="16">
        <v>45474</v>
      </c>
      <c r="H1477" s="14" t="s">
        <v>26</v>
      </c>
      <c r="I1477" s="14" t="s">
        <v>36</v>
      </c>
      <c r="J1477" s="14" t="s">
        <v>80</v>
      </c>
      <c r="K1477" s="14" t="s">
        <v>37</v>
      </c>
      <c r="L1477" s="14" t="s">
        <v>56</v>
      </c>
      <c r="M1477" s="14" t="s">
        <v>64</v>
      </c>
      <c r="N1477" s="17">
        <v>96821</v>
      </c>
      <c r="O1477" s="17">
        <v>33445</v>
      </c>
      <c r="P1477" s="18">
        <v>96.3</v>
      </c>
      <c r="Q1477" s="15">
        <v>4</v>
      </c>
      <c r="R1477" s="19">
        <v>16</v>
      </c>
      <c r="S1477" s="19">
        <v>2</v>
      </c>
      <c r="T1477" s="15">
        <v>14</v>
      </c>
      <c r="U1477" s="19">
        <v>64</v>
      </c>
      <c r="V1477" s="14" t="s">
        <v>31</v>
      </c>
      <c r="W1477" s="14"/>
      <c r="X1477" s="14">
        <f>IF(V1477="Yes",1,0)</f>
        <v>0</v>
      </c>
      <c r="Y1477" s="14">
        <f>IF(H1477="Active",0,1)</f>
        <v>0</v>
      </c>
    </row>
    <row r="1478" spans="1:25" ht="18" customHeight="1" x14ac:dyDescent="0.35">
      <c r="A1478" s="8" t="s">
        <v>455</v>
      </c>
      <c r="B1478" s="8" t="s">
        <v>59</v>
      </c>
      <c r="C1478" s="8" t="s">
        <v>25</v>
      </c>
      <c r="D1478" s="9">
        <v>59</v>
      </c>
      <c r="E1478" s="8" t="s">
        <v>67</v>
      </c>
      <c r="F1478" s="8" t="s">
        <v>72</v>
      </c>
      <c r="G1478" s="10">
        <v>45473</v>
      </c>
      <c r="H1478" s="8" t="s">
        <v>26</v>
      </c>
      <c r="I1478" s="8" t="s">
        <v>2267</v>
      </c>
      <c r="J1478" s="8" t="s">
        <v>2270</v>
      </c>
      <c r="K1478" s="8" t="s">
        <v>37</v>
      </c>
      <c r="L1478" s="8" t="s">
        <v>29</v>
      </c>
      <c r="M1478" s="8" t="s">
        <v>39</v>
      </c>
      <c r="N1478" s="11">
        <v>120840</v>
      </c>
      <c r="O1478" s="11">
        <v>10939</v>
      </c>
      <c r="P1478" s="12">
        <v>92.7</v>
      </c>
      <c r="Q1478" s="9">
        <v>7</v>
      </c>
      <c r="R1478" s="13">
        <v>6</v>
      </c>
      <c r="S1478" s="13">
        <v>2</v>
      </c>
      <c r="T1478" s="9">
        <v>14</v>
      </c>
      <c r="U1478" s="13">
        <v>70</v>
      </c>
      <c r="V1478" s="8" t="s">
        <v>31</v>
      </c>
      <c r="W1478" s="8"/>
      <c r="X1478" s="22">
        <f>IF(V1478="Yes",1,0)</f>
        <v>0</v>
      </c>
      <c r="Y1478" s="22">
        <f>IF(H1478="Active",0,1)</f>
        <v>0</v>
      </c>
    </row>
    <row r="1479" spans="1:25" ht="18" customHeight="1" x14ac:dyDescent="0.35">
      <c r="A1479" s="8" t="s">
        <v>1753</v>
      </c>
      <c r="B1479" s="8" t="s">
        <v>714</v>
      </c>
      <c r="C1479" s="8" t="s">
        <v>25</v>
      </c>
      <c r="D1479" s="9">
        <v>33</v>
      </c>
      <c r="E1479" s="8" t="s">
        <v>2304</v>
      </c>
      <c r="F1479" s="8" t="s">
        <v>12</v>
      </c>
      <c r="G1479" s="10">
        <v>45473</v>
      </c>
      <c r="H1479" s="8" t="s">
        <v>54</v>
      </c>
      <c r="I1479" s="8" t="s">
        <v>36</v>
      </c>
      <c r="J1479" s="8" t="s">
        <v>2268</v>
      </c>
      <c r="K1479" s="8" t="s">
        <v>55</v>
      </c>
      <c r="L1479" s="8" t="s">
        <v>68</v>
      </c>
      <c r="M1479" s="8" t="s">
        <v>60</v>
      </c>
      <c r="N1479" s="11">
        <v>243951</v>
      </c>
      <c r="O1479" s="11">
        <v>32785</v>
      </c>
      <c r="P1479" s="12">
        <v>85.8</v>
      </c>
      <c r="Q1479" s="9">
        <v>10</v>
      </c>
      <c r="R1479" s="13">
        <v>29</v>
      </c>
      <c r="S1479" s="13">
        <v>5</v>
      </c>
      <c r="T1479" s="9">
        <v>18</v>
      </c>
      <c r="U1479" s="13">
        <v>72</v>
      </c>
      <c r="V1479" s="8" t="s">
        <v>31</v>
      </c>
      <c r="W1479" s="8" t="s">
        <v>205</v>
      </c>
      <c r="X1479" s="22">
        <f>IF(V1479="Yes",1,0)</f>
        <v>0</v>
      </c>
      <c r="Y1479" s="22">
        <f>IF(H1479="Active",0,1)</f>
        <v>1</v>
      </c>
    </row>
    <row r="1480" spans="1:25" ht="18" customHeight="1" x14ac:dyDescent="0.35">
      <c r="A1480" s="14" t="s">
        <v>1830</v>
      </c>
      <c r="B1480" s="14" t="s">
        <v>367</v>
      </c>
      <c r="C1480" s="14" t="s">
        <v>34</v>
      </c>
      <c r="D1480" s="15">
        <v>50</v>
      </c>
      <c r="E1480" s="14" t="s">
        <v>2304</v>
      </c>
      <c r="F1480" s="14" t="s">
        <v>35</v>
      </c>
      <c r="G1480" s="16">
        <v>45473</v>
      </c>
      <c r="H1480" s="14" t="s">
        <v>26</v>
      </c>
      <c r="I1480" s="14" t="s">
        <v>27</v>
      </c>
      <c r="J1480" s="14" t="s">
        <v>2270</v>
      </c>
      <c r="K1480" s="14" t="s">
        <v>73</v>
      </c>
      <c r="L1480" s="14" t="s">
        <v>87</v>
      </c>
      <c r="M1480" s="14" t="s">
        <v>60</v>
      </c>
      <c r="N1480" s="17">
        <v>136327</v>
      </c>
      <c r="O1480" s="17">
        <v>17085</v>
      </c>
      <c r="P1480" s="18">
        <v>82.7</v>
      </c>
      <c r="Q1480" s="15">
        <v>1</v>
      </c>
      <c r="R1480" s="19">
        <v>9</v>
      </c>
      <c r="S1480" s="19">
        <v>1</v>
      </c>
      <c r="T1480" s="15">
        <v>26</v>
      </c>
      <c r="U1480" s="19">
        <v>88</v>
      </c>
      <c r="V1480" s="14" t="s">
        <v>31</v>
      </c>
      <c r="W1480" s="14"/>
      <c r="X1480" s="14">
        <f>IF(V1480="Yes",1,0)</f>
        <v>0</v>
      </c>
      <c r="Y1480" s="14">
        <f>IF(H1480="Active",0,1)</f>
        <v>0</v>
      </c>
    </row>
    <row r="1481" spans="1:25" ht="18" customHeight="1" x14ac:dyDescent="0.35">
      <c r="A1481" s="8" t="s">
        <v>1981</v>
      </c>
      <c r="B1481" s="8" t="s">
        <v>173</v>
      </c>
      <c r="C1481" s="8" t="s">
        <v>34</v>
      </c>
      <c r="D1481" s="9">
        <v>59</v>
      </c>
      <c r="E1481" s="8" t="s">
        <v>52</v>
      </c>
      <c r="F1481" s="8" t="s">
        <v>76</v>
      </c>
      <c r="G1481" s="10">
        <v>45473</v>
      </c>
      <c r="H1481" s="8" t="s">
        <v>26</v>
      </c>
      <c r="I1481" s="8" t="s">
        <v>36</v>
      </c>
      <c r="J1481" s="8" t="s">
        <v>48</v>
      </c>
      <c r="K1481" s="8" t="s">
        <v>37</v>
      </c>
      <c r="L1481" s="8" t="s">
        <v>56</v>
      </c>
      <c r="M1481" s="8" t="s">
        <v>64</v>
      </c>
      <c r="N1481" s="11">
        <v>109571</v>
      </c>
      <c r="O1481" s="11">
        <v>33156</v>
      </c>
      <c r="P1481" s="12">
        <v>93.5</v>
      </c>
      <c r="Q1481" s="9">
        <v>7</v>
      </c>
      <c r="R1481" s="13">
        <v>8</v>
      </c>
      <c r="S1481" s="13">
        <v>1</v>
      </c>
      <c r="T1481" s="9">
        <v>14</v>
      </c>
      <c r="U1481" s="13">
        <v>73</v>
      </c>
      <c r="V1481" s="8" t="s">
        <v>31</v>
      </c>
      <c r="W1481" s="8"/>
      <c r="X1481" s="22">
        <f>IF(V1481="Yes",1,0)</f>
        <v>0</v>
      </c>
      <c r="Y1481" s="22">
        <f>IF(H1481="Active",0,1)</f>
        <v>0</v>
      </c>
    </row>
    <row r="1482" spans="1:25" ht="18" customHeight="1" x14ac:dyDescent="0.35">
      <c r="A1482" s="8" t="s">
        <v>2055</v>
      </c>
      <c r="B1482" s="8" t="s">
        <v>390</v>
      </c>
      <c r="C1482" s="8" t="s">
        <v>25</v>
      </c>
      <c r="D1482" s="9">
        <v>45</v>
      </c>
      <c r="E1482" s="8" t="s">
        <v>2303</v>
      </c>
      <c r="F1482" s="8" t="s">
        <v>43</v>
      </c>
      <c r="G1482" s="10">
        <v>45472</v>
      </c>
      <c r="H1482" s="8" t="s">
        <v>26</v>
      </c>
      <c r="I1482" s="8" t="s">
        <v>27</v>
      </c>
      <c r="J1482" s="8" t="s">
        <v>2268</v>
      </c>
      <c r="K1482" s="8" t="s">
        <v>2271</v>
      </c>
      <c r="L1482" s="8" t="s">
        <v>87</v>
      </c>
      <c r="M1482" s="8" t="s">
        <v>30</v>
      </c>
      <c r="N1482" s="11">
        <v>246843</v>
      </c>
      <c r="O1482" s="11">
        <v>42955</v>
      </c>
      <c r="P1482" s="12">
        <v>86</v>
      </c>
      <c r="Q1482" s="9">
        <v>10</v>
      </c>
      <c r="R1482" s="13">
        <v>20</v>
      </c>
      <c r="S1482" s="13">
        <v>5</v>
      </c>
      <c r="T1482" s="9">
        <v>18</v>
      </c>
      <c r="U1482" s="13">
        <v>95</v>
      </c>
      <c r="V1482" s="8" t="s">
        <v>69</v>
      </c>
      <c r="W1482" s="8"/>
      <c r="X1482" s="22">
        <f>IF(V1482="Yes",1,0)</f>
        <v>1</v>
      </c>
      <c r="Y1482" s="22">
        <f>IF(H1482="Active",0,1)</f>
        <v>0</v>
      </c>
    </row>
    <row r="1483" spans="1:25" ht="18" customHeight="1" x14ac:dyDescent="0.35">
      <c r="A1483" s="14" t="s">
        <v>1688</v>
      </c>
      <c r="B1483" s="14" t="s">
        <v>51</v>
      </c>
      <c r="C1483" s="14" t="s">
        <v>25</v>
      </c>
      <c r="D1483" s="15">
        <v>37</v>
      </c>
      <c r="E1483" s="14" t="s">
        <v>109</v>
      </c>
      <c r="F1483" s="14" t="s">
        <v>35</v>
      </c>
      <c r="G1483" s="16">
        <v>45471</v>
      </c>
      <c r="H1483" s="14" t="s">
        <v>26</v>
      </c>
      <c r="I1483" s="14" t="s">
        <v>36</v>
      </c>
      <c r="J1483" s="14" t="s">
        <v>2268</v>
      </c>
      <c r="K1483" s="14" t="s">
        <v>28</v>
      </c>
      <c r="L1483" s="14" t="s">
        <v>116</v>
      </c>
      <c r="M1483" s="14" t="s">
        <v>39</v>
      </c>
      <c r="N1483" s="17">
        <v>47427</v>
      </c>
      <c r="O1483" s="17">
        <v>15996</v>
      </c>
      <c r="P1483" s="18">
        <v>83.7</v>
      </c>
      <c r="Q1483" s="15">
        <v>7</v>
      </c>
      <c r="R1483" s="19">
        <v>14</v>
      </c>
      <c r="S1483" s="19">
        <v>5</v>
      </c>
      <c r="T1483" s="15">
        <v>22</v>
      </c>
      <c r="U1483" s="19">
        <v>65</v>
      </c>
      <c r="V1483" s="14" t="s">
        <v>31</v>
      </c>
      <c r="W1483" s="14"/>
      <c r="X1483" s="14">
        <f>IF(V1483="Yes",1,0)</f>
        <v>0</v>
      </c>
      <c r="Y1483" s="14">
        <f>IF(H1483="Active",0,1)</f>
        <v>0</v>
      </c>
    </row>
    <row r="1484" spans="1:25" ht="18" customHeight="1" x14ac:dyDescent="0.35">
      <c r="A1484" s="8" t="s">
        <v>1963</v>
      </c>
      <c r="B1484" s="8" t="s">
        <v>24</v>
      </c>
      <c r="C1484" s="8" t="s">
        <v>34</v>
      </c>
      <c r="D1484" s="9">
        <v>27</v>
      </c>
      <c r="E1484" s="8" t="s">
        <v>67</v>
      </c>
      <c r="F1484" s="8" t="s">
        <v>76</v>
      </c>
      <c r="G1484" s="10">
        <v>45471</v>
      </c>
      <c r="H1484" s="8" t="s">
        <v>26</v>
      </c>
      <c r="I1484" s="8" t="s">
        <v>36</v>
      </c>
      <c r="J1484" s="8" t="s">
        <v>48</v>
      </c>
      <c r="K1484" s="8" t="s">
        <v>73</v>
      </c>
      <c r="L1484" s="8" t="s">
        <v>56</v>
      </c>
      <c r="M1484" s="8" t="s">
        <v>39</v>
      </c>
      <c r="N1484" s="11">
        <v>232580</v>
      </c>
      <c r="O1484" s="11">
        <v>39057</v>
      </c>
      <c r="P1484" s="12">
        <v>95.8</v>
      </c>
      <c r="Q1484" s="9">
        <v>10</v>
      </c>
      <c r="R1484" s="13">
        <v>17</v>
      </c>
      <c r="S1484" s="13">
        <v>3</v>
      </c>
      <c r="T1484" s="9">
        <v>1</v>
      </c>
      <c r="U1484" s="13">
        <v>79</v>
      </c>
      <c r="V1484" s="8" t="s">
        <v>31</v>
      </c>
      <c r="W1484" s="8"/>
      <c r="X1484" s="22">
        <f>IF(V1484="Yes",1,0)</f>
        <v>0</v>
      </c>
      <c r="Y1484" s="22">
        <f>IF(H1484="Active",0,1)</f>
        <v>0</v>
      </c>
    </row>
    <row r="1485" spans="1:25" ht="18" customHeight="1" x14ac:dyDescent="0.35">
      <c r="A1485" s="14" t="s">
        <v>1130</v>
      </c>
      <c r="B1485" s="14" t="s">
        <v>447</v>
      </c>
      <c r="C1485" s="14" t="s">
        <v>25</v>
      </c>
      <c r="D1485" s="15">
        <v>25</v>
      </c>
      <c r="E1485" s="14" t="s">
        <v>63</v>
      </c>
      <c r="F1485" s="14" t="s">
        <v>90</v>
      </c>
      <c r="G1485" s="16">
        <v>45470</v>
      </c>
      <c r="H1485" s="14" t="s">
        <v>26</v>
      </c>
      <c r="I1485" s="14" t="s">
        <v>36</v>
      </c>
      <c r="J1485" s="14" t="s">
        <v>2269</v>
      </c>
      <c r="K1485" s="14" t="s">
        <v>28</v>
      </c>
      <c r="L1485" s="14" t="s">
        <v>116</v>
      </c>
      <c r="M1485" s="14" t="s">
        <v>45</v>
      </c>
      <c r="N1485" s="17">
        <v>74178</v>
      </c>
      <c r="O1485" s="17">
        <v>12562</v>
      </c>
      <c r="P1485" s="18">
        <v>95.2</v>
      </c>
      <c r="Q1485" s="15">
        <v>5</v>
      </c>
      <c r="R1485" s="19">
        <v>18</v>
      </c>
      <c r="S1485" s="19">
        <v>1</v>
      </c>
      <c r="T1485" s="15">
        <v>12</v>
      </c>
      <c r="U1485" s="19">
        <v>67</v>
      </c>
      <c r="V1485" s="14" t="s">
        <v>31</v>
      </c>
      <c r="W1485" s="14"/>
      <c r="X1485" s="14">
        <f>IF(V1485="Yes",1,0)</f>
        <v>0</v>
      </c>
      <c r="Y1485" s="14">
        <f>IF(H1485="Active",0,1)</f>
        <v>0</v>
      </c>
    </row>
    <row r="1486" spans="1:25" ht="18" customHeight="1" x14ac:dyDescent="0.35">
      <c r="A1486" s="8" t="s">
        <v>1259</v>
      </c>
      <c r="B1486" s="8" t="s">
        <v>129</v>
      </c>
      <c r="C1486" s="8" t="s">
        <v>34</v>
      </c>
      <c r="D1486" s="9">
        <v>60</v>
      </c>
      <c r="E1486" s="8" t="s">
        <v>109</v>
      </c>
      <c r="F1486" s="8" t="s">
        <v>35</v>
      </c>
      <c r="G1486" s="10">
        <v>45468</v>
      </c>
      <c r="H1486" s="8" t="s">
        <v>26</v>
      </c>
      <c r="I1486" s="8" t="s">
        <v>2267</v>
      </c>
      <c r="J1486" s="8" t="s">
        <v>80</v>
      </c>
      <c r="K1486" s="8" t="s">
        <v>73</v>
      </c>
      <c r="L1486" s="8" t="s">
        <v>38</v>
      </c>
      <c r="M1486" s="8" t="s">
        <v>30</v>
      </c>
      <c r="N1486" s="11">
        <v>44586</v>
      </c>
      <c r="O1486" s="11">
        <v>31904</v>
      </c>
      <c r="P1486" s="12">
        <v>93.3</v>
      </c>
      <c r="Q1486" s="9">
        <v>3</v>
      </c>
      <c r="R1486" s="13">
        <v>30</v>
      </c>
      <c r="S1486" s="13">
        <v>4</v>
      </c>
      <c r="T1486" s="9">
        <v>40</v>
      </c>
      <c r="U1486" s="13">
        <v>70</v>
      </c>
      <c r="V1486" s="8" t="s">
        <v>31</v>
      </c>
      <c r="W1486" s="8"/>
      <c r="X1486" s="22">
        <f>IF(V1486="Yes",1,0)</f>
        <v>0</v>
      </c>
      <c r="Y1486" s="22">
        <f>IF(H1486="Active",0,1)</f>
        <v>0</v>
      </c>
    </row>
    <row r="1487" spans="1:25" ht="18" customHeight="1" x14ac:dyDescent="0.35">
      <c r="A1487" s="8" t="s">
        <v>2143</v>
      </c>
      <c r="B1487" s="8" t="s">
        <v>230</v>
      </c>
      <c r="C1487" s="8" t="s">
        <v>34</v>
      </c>
      <c r="D1487" s="9">
        <v>40</v>
      </c>
      <c r="E1487" s="8" t="s">
        <v>67</v>
      </c>
      <c r="F1487" s="8" t="s">
        <v>90</v>
      </c>
      <c r="G1487" s="10">
        <v>45468</v>
      </c>
      <c r="H1487" s="8" t="s">
        <v>26</v>
      </c>
      <c r="I1487" s="8" t="s">
        <v>36</v>
      </c>
      <c r="J1487" s="8" t="s">
        <v>2269</v>
      </c>
      <c r="K1487" s="8" t="s">
        <v>28</v>
      </c>
      <c r="L1487" s="8" t="s">
        <v>49</v>
      </c>
      <c r="M1487" s="8" t="s">
        <v>45</v>
      </c>
      <c r="N1487" s="11">
        <v>101292</v>
      </c>
      <c r="O1487" s="11">
        <v>41367</v>
      </c>
      <c r="P1487" s="12">
        <v>98.9</v>
      </c>
      <c r="Q1487" s="9">
        <v>6</v>
      </c>
      <c r="R1487" s="13">
        <v>12</v>
      </c>
      <c r="S1487" s="13">
        <v>2</v>
      </c>
      <c r="T1487" s="9">
        <v>7</v>
      </c>
      <c r="U1487" s="13">
        <v>99</v>
      </c>
      <c r="V1487" s="8" t="s">
        <v>31</v>
      </c>
      <c r="W1487" s="8"/>
      <c r="X1487" s="22">
        <f>IF(V1487="Yes",1,0)</f>
        <v>0</v>
      </c>
      <c r="Y1487" s="22">
        <f>IF(H1487="Active",0,1)</f>
        <v>0</v>
      </c>
    </row>
    <row r="1488" spans="1:25" ht="18" customHeight="1" x14ac:dyDescent="0.35">
      <c r="A1488" s="8" t="s">
        <v>1009</v>
      </c>
      <c r="B1488" s="8" t="s">
        <v>1010</v>
      </c>
      <c r="C1488" s="8" t="s">
        <v>25</v>
      </c>
      <c r="D1488" s="9">
        <v>50</v>
      </c>
      <c r="E1488" s="8" t="s">
        <v>52</v>
      </c>
      <c r="F1488" s="8" t="s">
        <v>72</v>
      </c>
      <c r="G1488" s="10">
        <v>45467</v>
      </c>
      <c r="H1488" s="8" t="s">
        <v>26</v>
      </c>
      <c r="I1488" s="8" t="s">
        <v>36</v>
      </c>
      <c r="J1488" s="8" t="s">
        <v>80</v>
      </c>
      <c r="K1488" s="8" t="s">
        <v>73</v>
      </c>
      <c r="L1488" s="8" t="s">
        <v>49</v>
      </c>
      <c r="M1488" s="8" t="s">
        <v>45</v>
      </c>
      <c r="N1488" s="11">
        <v>220100</v>
      </c>
      <c r="O1488" s="11">
        <v>46437</v>
      </c>
      <c r="P1488" s="12">
        <v>81.7</v>
      </c>
      <c r="Q1488" s="9">
        <v>2</v>
      </c>
      <c r="R1488" s="13">
        <v>5</v>
      </c>
      <c r="S1488" s="13">
        <v>4</v>
      </c>
      <c r="T1488" s="9">
        <v>36</v>
      </c>
      <c r="U1488" s="13">
        <v>61</v>
      </c>
      <c r="V1488" s="8" t="s">
        <v>31</v>
      </c>
      <c r="W1488" s="8"/>
      <c r="X1488" s="22">
        <f>IF(V1488="Yes",1,0)</f>
        <v>0</v>
      </c>
      <c r="Y1488" s="22">
        <f>IF(H1488="Active",0,1)</f>
        <v>0</v>
      </c>
    </row>
    <row r="1489" spans="1:25" ht="18" customHeight="1" x14ac:dyDescent="0.35">
      <c r="A1489" s="8" t="s">
        <v>1243</v>
      </c>
      <c r="B1489" s="8" t="s">
        <v>447</v>
      </c>
      <c r="C1489" s="8" t="s">
        <v>25</v>
      </c>
      <c r="D1489" s="9">
        <v>30</v>
      </c>
      <c r="E1489" s="8" t="s">
        <v>52</v>
      </c>
      <c r="F1489" s="8" t="s">
        <v>12</v>
      </c>
      <c r="G1489" s="10">
        <v>45467</v>
      </c>
      <c r="H1489" s="8" t="s">
        <v>26</v>
      </c>
      <c r="I1489" s="8" t="s">
        <v>36</v>
      </c>
      <c r="J1489" s="8" t="s">
        <v>80</v>
      </c>
      <c r="K1489" s="8" t="s">
        <v>73</v>
      </c>
      <c r="L1489" s="8" t="s">
        <v>29</v>
      </c>
      <c r="M1489" s="8" t="s">
        <v>60</v>
      </c>
      <c r="N1489" s="11">
        <v>243948</v>
      </c>
      <c r="O1489" s="11">
        <v>30732</v>
      </c>
      <c r="P1489" s="12">
        <v>95.9</v>
      </c>
      <c r="Q1489" s="9">
        <v>6</v>
      </c>
      <c r="R1489" s="13">
        <v>25</v>
      </c>
      <c r="S1489" s="13">
        <v>4</v>
      </c>
      <c r="T1489" s="9">
        <v>0</v>
      </c>
      <c r="U1489" s="13">
        <v>90</v>
      </c>
      <c r="V1489" s="8" t="s">
        <v>31</v>
      </c>
      <c r="W1489" s="8"/>
      <c r="X1489" s="22">
        <f>IF(V1489="Yes",1,0)</f>
        <v>0</v>
      </c>
      <c r="Y1489" s="22">
        <f>IF(H1489="Active",0,1)</f>
        <v>0</v>
      </c>
    </row>
    <row r="1490" spans="1:25" ht="18" customHeight="1" x14ac:dyDescent="0.35">
      <c r="A1490" s="8" t="s">
        <v>289</v>
      </c>
      <c r="B1490" s="8" t="s">
        <v>41</v>
      </c>
      <c r="C1490" s="8" t="s">
        <v>25</v>
      </c>
      <c r="D1490" s="9">
        <v>48</v>
      </c>
      <c r="E1490" s="8" t="s">
        <v>63</v>
      </c>
      <c r="F1490" s="8" t="s">
        <v>35</v>
      </c>
      <c r="G1490" s="10">
        <v>45466</v>
      </c>
      <c r="H1490" s="8" t="s">
        <v>26</v>
      </c>
      <c r="I1490" s="8" t="s">
        <v>27</v>
      </c>
      <c r="J1490" s="8" t="s">
        <v>2269</v>
      </c>
      <c r="K1490" s="8" t="s">
        <v>73</v>
      </c>
      <c r="L1490" s="8" t="s">
        <v>56</v>
      </c>
      <c r="M1490" s="8" t="s">
        <v>60</v>
      </c>
      <c r="N1490" s="11">
        <v>40387</v>
      </c>
      <c r="O1490" s="11">
        <v>43290</v>
      </c>
      <c r="P1490" s="12">
        <v>92.3</v>
      </c>
      <c r="Q1490" s="9">
        <v>3</v>
      </c>
      <c r="R1490" s="13">
        <v>19</v>
      </c>
      <c r="S1490" s="13">
        <v>2</v>
      </c>
      <c r="T1490" s="9">
        <v>8</v>
      </c>
      <c r="U1490" s="13">
        <v>95</v>
      </c>
      <c r="V1490" s="8" t="s">
        <v>31</v>
      </c>
      <c r="W1490" s="8"/>
      <c r="X1490" s="22">
        <f>IF(V1490="Yes",1,0)</f>
        <v>0</v>
      </c>
      <c r="Y1490" s="22">
        <f>IF(H1490="Active",0,1)</f>
        <v>0</v>
      </c>
    </row>
    <row r="1491" spans="1:25" ht="18" customHeight="1" x14ac:dyDescent="0.35">
      <c r="A1491" s="8" t="s">
        <v>568</v>
      </c>
      <c r="B1491" s="8" t="s">
        <v>409</v>
      </c>
      <c r="C1491" s="8" t="s">
        <v>34</v>
      </c>
      <c r="D1491" s="9">
        <v>23</v>
      </c>
      <c r="E1491" s="8" t="s">
        <v>93</v>
      </c>
      <c r="F1491" s="8" t="s">
        <v>90</v>
      </c>
      <c r="G1491" s="10">
        <v>45466</v>
      </c>
      <c r="H1491" s="8" t="s">
        <v>26</v>
      </c>
      <c r="I1491" s="8" t="s">
        <v>36</v>
      </c>
      <c r="J1491" s="8" t="s">
        <v>2268</v>
      </c>
      <c r="K1491" s="8" t="s">
        <v>73</v>
      </c>
      <c r="L1491" s="8" t="s">
        <v>68</v>
      </c>
      <c r="M1491" s="8" t="s">
        <v>30</v>
      </c>
      <c r="N1491" s="11">
        <v>122704</v>
      </c>
      <c r="O1491" s="11">
        <v>5798</v>
      </c>
      <c r="P1491" s="12">
        <v>97.3</v>
      </c>
      <c r="Q1491" s="9">
        <v>6</v>
      </c>
      <c r="R1491" s="13">
        <v>8</v>
      </c>
      <c r="S1491" s="13">
        <v>2</v>
      </c>
      <c r="T1491" s="9">
        <v>1</v>
      </c>
      <c r="U1491" s="13">
        <v>66</v>
      </c>
      <c r="V1491" s="8" t="s">
        <v>31</v>
      </c>
      <c r="W1491" s="8"/>
      <c r="X1491" s="22">
        <f>IF(V1491="Yes",1,0)</f>
        <v>0</v>
      </c>
      <c r="Y1491" s="22">
        <f>IF(H1491="Active",0,1)</f>
        <v>0</v>
      </c>
    </row>
    <row r="1492" spans="1:25" ht="18" customHeight="1" x14ac:dyDescent="0.35">
      <c r="A1492" s="8" t="s">
        <v>2087</v>
      </c>
      <c r="B1492" s="8" t="s">
        <v>153</v>
      </c>
      <c r="C1492" s="8" t="s">
        <v>34</v>
      </c>
      <c r="D1492" s="9">
        <v>26</v>
      </c>
      <c r="E1492" s="8" t="s">
        <v>67</v>
      </c>
      <c r="F1492" s="8" t="s">
        <v>90</v>
      </c>
      <c r="G1492" s="10">
        <v>45466</v>
      </c>
      <c r="H1492" s="8" t="s">
        <v>26</v>
      </c>
      <c r="I1492" s="8" t="s">
        <v>2267</v>
      </c>
      <c r="J1492" s="8" t="s">
        <v>2269</v>
      </c>
      <c r="K1492" s="8" t="s">
        <v>2271</v>
      </c>
      <c r="L1492" s="8" t="s">
        <v>49</v>
      </c>
      <c r="M1492" s="8" t="s">
        <v>45</v>
      </c>
      <c r="N1492" s="11">
        <v>228181</v>
      </c>
      <c r="O1492" s="11">
        <v>13764</v>
      </c>
      <c r="P1492" s="12">
        <v>84.3</v>
      </c>
      <c r="Q1492" s="9">
        <v>2</v>
      </c>
      <c r="R1492" s="13">
        <v>30</v>
      </c>
      <c r="S1492" s="13">
        <v>4</v>
      </c>
      <c r="T1492" s="9">
        <v>3</v>
      </c>
      <c r="U1492" s="13">
        <v>78</v>
      </c>
      <c r="V1492" s="8" t="s">
        <v>31</v>
      </c>
      <c r="W1492" s="8"/>
      <c r="X1492" s="22">
        <f>IF(V1492="Yes",1,0)</f>
        <v>0</v>
      </c>
      <c r="Y1492" s="22">
        <f>IF(H1492="Active",0,1)</f>
        <v>0</v>
      </c>
    </row>
    <row r="1493" spans="1:25" ht="18" customHeight="1" x14ac:dyDescent="0.35">
      <c r="A1493" s="14" t="s">
        <v>2252</v>
      </c>
      <c r="B1493" s="14" t="s">
        <v>447</v>
      </c>
      <c r="C1493" s="14" t="s">
        <v>25</v>
      </c>
      <c r="D1493" s="15">
        <v>55</v>
      </c>
      <c r="E1493" s="14" t="s">
        <v>93</v>
      </c>
      <c r="F1493" s="14" t="s">
        <v>12</v>
      </c>
      <c r="G1493" s="16">
        <v>45466</v>
      </c>
      <c r="H1493" s="14" t="s">
        <v>26</v>
      </c>
      <c r="I1493" s="14" t="s">
        <v>2267</v>
      </c>
      <c r="J1493" s="14" t="s">
        <v>2270</v>
      </c>
      <c r="K1493" s="14" t="s">
        <v>28</v>
      </c>
      <c r="L1493" s="14" t="s">
        <v>49</v>
      </c>
      <c r="M1493" s="14" t="s">
        <v>39</v>
      </c>
      <c r="N1493" s="17">
        <v>48771</v>
      </c>
      <c r="O1493" s="17">
        <v>16466</v>
      </c>
      <c r="P1493" s="18">
        <v>91.1</v>
      </c>
      <c r="Q1493" s="15">
        <v>4</v>
      </c>
      <c r="R1493" s="19">
        <v>30</v>
      </c>
      <c r="S1493" s="19">
        <v>3</v>
      </c>
      <c r="T1493" s="15">
        <v>39</v>
      </c>
      <c r="U1493" s="19">
        <v>63</v>
      </c>
      <c r="V1493" s="14" t="s">
        <v>31</v>
      </c>
      <c r="W1493" s="14"/>
      <c r="X1493" s="14">
        <f>IF(V1493="Yes",1,0)</f>
        <v>0</v>
      </c>
      <c r="Y1493" s="14">
        <f>IF(H1493="Active",0,1)</f>
        <v>0</v>
      </c>
    </row>
    <row r="1494" spans="1:25" ht="18" customHeight="1" x14ac:dyDescent="0.35">
      <c r="A1494" s="14" t="s">
        <v>741</v>
      </c>
      <c r="B1494" s="14" t="s">
        <v>742</v>
      </c>
      <c r="C1494" s="14" t="s">
        <v>34</v>
      </c>
      <c r="D1494" s="15">
        <v>30</v>
      </c>
      <c r="E1494" s="14" t="s">
        <v>2303</v>
      </c>
      <c r="F1494" s="14" t="s">
        <v>12</v>
      </c>
      <c r="G1494" s="16">
        <v>45465</v>
      </c>
      <c r="H1494" s="14" t="s">
        <v>26</v>
      </c>
      <c r="I1494" s="14" t="s">
        <v>36</v>
      </c>
      <c r="J1494" s="14" t="s">
        <v>80</v>
      </c>
      <c r="K1494" s="14" t="s">
        <v>37</v>
      </c>
      <c r="L1494" s="14" t="s">
        <v>49</v>
      </c>
      <c r="M1494" s="14" t="s">
        <v>45</v>
      </c>
      <c r="N1494" s="17">
        <v>230279</v>
      </c>
      <c r="O1494" s="17">
        <v>38810</v>
      </c>
      <c r="P1494" s="18">
        <v>86.3</v>
      </c>
      <c r="Q1494" s="15">
        <v>1</v>
      </c>
      <c r="R1494" s="19">
        <v>4</v>
      </c>
      <c r="S1494" s="19">
        <v>5</v>
      </c>
      <c r="T1494" s="15">
        <v>40</v>
      </c>
      <c r="U1494" s="19">
        <v>64</v>
      </c>
      <c r="V1494" s="14" t="s">
        <v>31</v>
      </c>
      <c r="W1494" s="14"/>
      <c r="X1494" s="14">
        <f>IF(V1494="Yes",1,0)</f>
        <v>0</v>
      </c>
      <c r="Y1494" s="14">
        <f>IF(H1494="Active",0,1)</f>
        <v>0</v>
      </c>
    </row>
    <row r="1495" spans="1:25" ht="18" customHeight="1" x14ac:dyDescent="0.35">
      <c r="A1495" s="14" t="s">
        <v>852</v>
      </c>
      <c r="B1495" s="14" t="s">
        <v>435</v>
      </c>
      <c r="C1495" s="14" t="s">
        <v>25</v>
      </c>
      <c r="D1495" s="15">
        <v>51</v>
      </c>
      <c r="E1495" s="14" t="s">
        <v>67</v>
      </c>
      <c r="F1495" s="14" t="s">
        <v>79</v>
      </c>
      <c r="G1495" s="16">
        <v>45465</v>
      </c>
      <c r="H1495" s="14" t="s">
        <v>26</v>
      </c>
      <c r="I1495" s="14" t="s">
        <v>2267</v>
      </c>
      <c r="J1495" s="14" t="s">
        <v>2269</v>
      </c>
      <c r="K1495" s="14" t="s">
        <v>73</v>
      </c>
      <c r="L1495" s="14" t="s">
        <v>49</v>
      </c>
      <c r="M1495" s="14" t="s">
        <v>45</v>
      </c>
      <c r="N1495" s="17">
        <v>42519</v>
      </c>
      <c r="O1495" s="17">
        <v>26544</v>
      </c>
      <c r="P1495" s="18">
        <v>96.1</v>
      </c>
      <c r="Q1495" s="15">
        <v>0</v>
      </c>
      <c r="R1495" s="19">
        <v>26</v>
      </c>
      <c r="S1495" s="19">
        <v>1</v>
      </c>
      <c r="T1495" s="15">
        <v>36</v>
      </c>
      <c r="U1495" s="19">
        <v>83</v>
      </c>
      <c r="V1495" s="14" t="s">
        <v>31</v>
      </c>
      <c r="W1495" s="14"/>
      <c r="X1495" s="14">
        <f>IF(V1495="Yes",1,0)</f>
        <v>0</v>
      </c>
      <c r="Y1495" s="14">
        <f>IF(H1495="Active",0,1)</f>
        <v>0</v>
      </c>
    </row>
    <row r="1496" spans="1:25" ht="18" customHeight="1" x14ac:dyDescent="0.35">
      <c r="A1496" s="8" t="s">
        <v>2083</v>
      </c>
      <c r="B1496" s="8" t="s">
        <v>201</v>
      </c>
      <c r="C1496" s="8" t="s">
        <v>25</v>
      </c>
      <c r="D1496" s="9">
        <v>39</v>
      </c>
      <c r="E1496" s="8" t="s">
        <v>2304</v>
      </c>
      <c r="F1496" s="8" t="s">
        <v>12</v>
      </c>
      <c r="G1496" s="10">
        <v>45465</v>
      </c>
      <c r="H1496" s="8" t="s">
        <v>26</v>
      </c>
      <c r="I1496" s="8" t="s">
        <v>36</v>
      </c>
      <c r="J1496" s="8" t="s">
        <v>80</v>
      </c>
      <c r="K1496" s="8" t="s">
        <v>2271</v>
      </c>
      <c r="L1496" s="8" t="s">
        <v>56</v>
      </c>
      <c r="M1496" s="8" t="s">
        <v>39</v>
      </c>
      <c r="N1496" s="11">
        <v>140475</v>
      </c>
      <c r="O1496" s="11">
        <v>39857</v>
      </c>
      <c r="P1496" s="12">
        <v>81.5</v>
      </c>
      <c r="Q1496" s="9">
        <v>2</v>
      </c>
      <c r="R1496" s="13">
        <v>18</v>
      </c>
      <c r="S1496" s="13">
        <v>1</v>
      </c>
      <c r="T1496" s="9">
        <v>10</v>
      </c>
      <c r="U1496" s="13">
        <v>100</v>
      </c>
      <c r="V1496" s="8" t="s">
        <v>31</v>
      </c>
      <c r="W1496" s="8"/>
      <c r="X1496" s="22">
        <f>IF(V1496="Yes",1,0)</f>
        <v>0</v>
      </c>
      <c r="Y1496" s="22">
        <f>IF(H1496="Active",0,1)</f>
        <v>0</v>
      </c>
    </row>
    <row r="1497" spans="1:25" ht="18" customHeight="1" x14ac:dyDescent="0.35">
      <c r="A1497" s="14" t="s">
        <v>2114</v>
      </c>
      <c r="B1497" s="14" t="s">
        <v>102</v>
      </c>
      <c r="C1497" s="14" t="s">
        <v>34</v>
      </c>
      <c r="D1497" s="15">
        <v>41</v>
      </c>
      <c r="E1497" s="14" t="s">
        <v>109</v>
      </c>
      <c r="F1497" s="14" t="s">
        <v>76</v>
      </c>
      <c r="G1497" s="16">
        <v>45465</v>
      </c>
      <c r="H1497" s="14" t="s">
        <v>26</v>
      </c>
      <c r="I1497" s="14" t="s">
        <v>2267</v>
      </c>
      <c r="J1497" s="14" t="s">
        <v>2268</v>
      </c>
      <c r="K1497" s="14" t="s">
        <v>37</v>
      </c>
      <c r="L1497" s="14" t="s">
        <v>49</v>
      </c>
      <c r="M1497" s="14" t="s">
        <v>30</v>
      </c>
      <c r="N1497" s="17">
        <v>53630</v>
      </c>
      <c r="O1497" s="17">
        <v>32271</v>
      </c>
      <c r="P1497" s="18">
        <v>95.5</v>
      </c>
      <c r="Q1497" s="15">
        <v>0</v>
      </c>
      <c r="R1497" s="19">
        <v>15</v>
      </c>
      <c r="S1497" s="19">
        <v>1</v>
      </c>
      <c r="T1497" s="15">
        <v>34</v>
      </c>
      <c r="U1497" s="19">
        <v>83</v>
      </c>
      <c r="V1497" s="14" t="s">
        <v>31</v>
      </c>
      <c r="W1497" s="14"/>
      <c r="X1497" s="14">
        <f>IF(V1497="Yes",1,0)</f>
        <v>0</v>
      </c>
      <c r="Y1497" s="14">
        <f>IF(H1497="Active",0,1)</f>
        <v>0</v>
      </c>
    </row>
    <row r="1498" spans="1:25" ht="18" customHeight="1" x14ac:dyDescent="0.35">
      <c r="A1498" s="8" t="s">
        <v>2085</v>
      </c>
      <c r="B1498" s="8" t="s">
        <v>134</v>
      </c>
      <c r="C1498" s="8" t="s">
        <v>25</v>
      </c>
      <c r="D1498" s="9">
        <v>58</v>
      </c>
      <c r="E1498" s="8" t="s">
        <v>93</v>
      </c>
      <c r="F1498" s="8" t="s">
        <v>76</v>
      </c>
      <c r="G1498" s="10">
        <v>45464</v>
      </c>
      <c r="H1498" s="8" t="s">
        <v>54</v>
      </c>
      <c r="I1498" s="8" t="s">
        <v>36</v>
      </c>
      <c r="J1498" s="8" t="s">
        <v>2268</v>
      </c>
      <c r="K1498" s="8" t="s">
        <v>2271</v>
      </c>
      <c r="L1498" s="8" t="s">
        <v>116</v>
      </c>
      <c r="M1498" s="8" t="s">
        <v>45</v>
      </c>
      <c r="N1498" s="11">
        <v>84514</v>
      </c>
      <c r="O1498" s="11">
        <v>47515</v>
      </c>
      <c r="P1498" s="12">
        <v>90.1</v>
      </c>
      <c r="Q1498" s="9">
        <v>2</v>
      </c>
      <c r="R1498" s="13">
        <v>10</v>
      </c>
      <c r="S1498" s="13">
        <v>5</v>
      </c>
      <c r="T1498" s="9">
        <v>3</v>
      </c>
      <c r="U1498" s="13">
        <v>72</v>
      </c>
      <c r="V1498" s="8" t="s">
        <v>69</v>
      </c>
      <c r="W1498" s="8" t="s">
        <v>96</v>
      </c>
      <c r="X1498" s="22">
        <f>IF(V1498="Yes",1,0)</f>
        <v>1</v>
      </c>
      <c r="Y1498" s="22">
        <f>IF(H1498="Active",0,1)</f>
        <v>1</v>
      </c>
    </row>
    <row r="1499" spans="1:25" ht="18" customHeight="1" x14ac:dyDescent="0.35">
      <c r="A1499" s="8" t="s">
        <v>2239</v>
      </c>
      <c r="B1499" s="8" t="s">
        <v>537</v>
      </c>
      <c r="C1499" s="8" t="s">
        <v>34</v>
      </c>
      <c r="D1499" s="9">
        <v>48</v>
      </c>
      <c r="E1499" s="8" t="s">
        <v>67</v>
      </c>
      <c r="F1499" s="8" t="s">
        <v>79</v>
      </c>
      <c r="G1499" s="10">
        <v>45464</v>
      </c>
      <c r="H1499" s="8" t="s">
        <v>54</v>
      </c>
      <c r="I1499" s="8" t="s">
        <v>27</v>
      </c>
      <c r="J1499" s="8" t="s">
        <v>80</v>
      </c>
      <c r="K1499" s="8" t="s">
        <v>28</v>
      </c>
      <c r="L1499" s="8" t="s">
        <v>87</v>
      </c>
      <c r="M1499" s="8" t="s">
        <v>45</v>
      </c>
      <c r="N1499" s="11">
        <v>224887</v>
      </c>
      <c r="O1499" s="11">
        <v>29305</v>
      </c>
      <c r="P1499" s="12">
        <v>93.5</v>
      </c>
      <c r="Q1499" s="9">
        <v>2</v>
      </c>
      <c r="R1499" s="13">
        <v>1</v>
      </c>
      <c r="S1499" s="13">
        <v>3</v>
      </c>
      <c r="T1499" s="9">
        <v>27</v>
      </c>
      <c r="U1499" s="13">
        <v>66</v>
      </c>
      <c r="V1499" s="8" t="s">
        <v>69</v>
      </c>
      <c r="W1499" s="8" t="s">
        <v>57</v>
      </c>
      <c r="X1499" s="22">
        <f>IF(V1499="Yes",1,0)</f>
        <v>1</v>
      </c>
      <c r="Y1499" s="22">
        <f>IF(H1499="Active",0,1)</f>
        <v>1</v>
      </c>
    </row>
    <row r="1500" spans="1:25" ht="18" customHeight="1" x14ac:dyDescent="0.35">
      <c r="A1500" s="8" t="s">
        <v>152</v>
      </c>
      <c r="B1500" s="8" t="s">
        <v>153</v>
      </c>
      <c r="C1500" s="8" t="s">
        <v>34</v>
      </c>
      <c r="D1500" s="9">
        <v>56</v>
      </c>
      <c r="E1500" s="8" t="s">
        <v>93</v>
      </c>
      <c r="F1500" s="8" t="s">
        <v>43</v>
      </c>
      <c r="G1500" s="10">
        <v>45463</v>
      </c>
      <c r="H1500" s="8" t="s">
        <v>26</v>
      </c>
      <c r="I1500" s="8" t="s">
        <v>36</v>
      </c>
      <c r="J1500" s="8" t="s">
        <v>2269</v>
      </c>
      <c r="K1500" s="8" t="s">
        <v>73</v>
      </c>
      <c r="L1500" s="8" t="s">
        <v>56</v>
      </c>
      <c r="M1500" s="8" t="s">
        <v>30</v>
      </c>
      <c r="N1500" s="11">
        <v>45266</v>
      </c>
      <c r="O1500" s="11">
        <v>31080</v>
      </c>
      <c r="P1500" s="12">
        <v>98.9</v>
      </c>
      <c r="Q1500" s="9">
        <v>1</v>
      </c>
      <c r="R1500" s="13">
        <v>0</v>
      </c>
      <c r="S1500" s="13">
        <v>1</v>
      </c>
      <c r="T1500" s="9">
        <v>21</v>
      </c>
      <c r="U1500" s="13">
        <v>95</v>
      </c>
      <c r="V1500" s="8" t="s">
        <v>69</v>
      </c>
      <c r="W1500" s="8"/>
      <c r="X1500" s="22">
        <f>IF(V1500="Yes",1,0)</f>
        <v>1</v>
      </c>
      <c r="Y1500" s="22">
        <f>IF(H1500="Active",0,1)</f>
        <v>0</v>
      </c>
    </row>
    <row r="1501" spans="1:25" ht="18" customHeight="1" x14ac:dyDescent="0.35">
      <c r="A1501" s="8" t="s">
        <v>653</v>
      </c>
      <c r="B1501" s="8" t="s">
        <v>358</v>
      </c>
      <c r="C1501" s="8" t="s">
        <v>34</v>
      </c>
      <c r="D1501" s="9">
        <v>30</v>
      </c>
      <c r="E1501" s="8" t="s">
        <v>109</v>
      </c>
      <c r="F1501" s="8" t="s">
        <v>53</v>
      </c>
      <c r="G1501" s="10">
        <v>45463</v>
      </c>
      <c r="H1501" s="8" t="s">
        <v>26</v>
      </c>
      <c r="I1501" s="8" t="s">
        <v>36</v>
      </c>
      <c r="J1501" s="8" t="s">
        <v>2269</v>
      </c>
      <c r="K1501" s="8" t="s">
        <v>2271</v>
      </c>
      <c r="L1501" s="8" t="s">
        <v>68</v>
      </c>
      <c r="M1501" s="8" t="s">
        <v>39</v>
      </c>
      <c r="N1501" s="11">
        <v>54554</v>
      </c>
      <c r="O1501" s="11">
        <v>24143</v>
      </c>
      <c r="P1501" s="12">
        <v>84.7</v>
      </c>
      <c r="Q1501" s="9">
        <v>10</v>
      </c>
      <c r="R1501" s="13">
        <v>15</v>
      </c>
      <c r="S1501" s="13">
        <v>1</v>
      </c>
      <c r="T1501" s="9">
        <v>33</v>
      </c>
      <c r="U1501" s="13">
        <v>88</v>
      </c>
      <c r="V1501" s="8" t="s">
        <v>69</v>
      </c>
      <c r="W1501" s="8"/>
      <c r="X1501" s="22">
        <f>IF(V1501="Yes",1,0)</f>
        <v>1</v>
      </c>
      <c r="Y1501" s="22">
        <f>IF(H1501="Active",0,1)</f>
        <v>0</v>
      </c>
    </row>
    <row r="1502" spans="1:25" ht="18" customHeight="1" x14ac:dyDescent="0.35">
      <c r="A1502" s="8" t="s">
        <v>732</v>
      </c>
      <c r="B1502" s="8" t="s">
        <v>467</v>
      </c>
      <c r="C1502" s="8" t="s">
        <v>25</v>
      </c>
      <c r="D1502" s="9">
        <v>28</v>
      </c>
      <c r="E1502" s="8" t="s">
        <v>2303</v>
      </c>
      <c r="F1502" s="8" t="s">
        <v>79</v>
      </c>
      <c r="G1502" s="10">
        <v>45463</v>
      </c>
      <c r="H1502" s="8" t="s">
        <v>26</v>
      </c>
      <c r="I1502" s="8" t="s">
        <v>36</v>
      </c>
      <c r="J1502" s="8" t="s">
        <v>2269</v>
      </c>
      <c r="K1502" s="8" t="s">
        <v>73</v>
      </c>
      <c r="L1502" s="8" t="s">
        <v>56</v>
      </c>
      <c r="M1502" s="8" t="s">
        <v>30</v>
      </c>
      <c r="N1502" s="11">
        <v>179516</v>
      </c>
      <c r="O1502" s="11">
        <v>44899</v>
      </c>
      <c r="P1502" s="12">
        <v>82.1</v>
      </c>
      <c r="Q1502" s="9">
        <v>8</v>
      </c>
      <c r="R1502" s="13">
        <v>19</v>
      </c>
      <c r="S1502" s="13">
        <v>5</v>
      </c>
      <c r="T1502" s="9">
        <v>25</v>
      </c>
      <c r="U1502" s="13">
        <v>72</v>
      </c>
      <c r="V1502" s="8" t="s">
        <v>31</v>
      </c>
      <c r="W1502" s="8"/>
      <c r="X1502" s="22">
        <f>IF(V1502="Yes",1,0)</f>
        <v>0</v>
      </c>
      <c r="Y1502" s="22">
        <f>IF(H1502="Active",0,1)</f>
        <v>0</v>
      </c>
    </row>
    <row r="1503" spans="1:25" ht="18" customHeight="1" x14ac:dyDescent="0.35">
      <c r="A1503" s="14" t="s">
        <v>1622</v>
      </c>
      <c r="B1503" s="14" t="s">
        <v>349</v>
      </c>
      <c r="C1503" s="14" t="s">
        <v>34</v>
      </c>
      <c r="D1503" s="15">
        <v>39</v>
      </c>
      <c r="E1503" s="14" t="s">
        <v>2304</v>
      </c>
      <c r="F1503" s="14" t="s">
        <v>12</v>
      </c>
      <c r="G1503" s="16">
        <v>45463</v>
      </c>
      <c r="H1503" s="14" t="s">
        <v>54</v>
      </c>
      <c r="I1503" s="14" t="s">
        <v>2267</v>
      </c>
      <c r="J1503" s="14" t="s">
        <v>48</v>
      </c>
      <c r="K1503" s="14" t="s">
        <v>2271</v>
      </c>
      <c r="L1503" s="14" t="s">
        <v>49</v>
      </c>
      <c r="M1503" s="14" t="s">
        <v>60</v>
      </c>
      <c r="N1503" s="17">
        <v>84716</v>
      </c>
      <c r="O1503" s="17">
        <v>35855</v>
      </c>
      <c r="P1503" s="18">
        <v>91.3</v>
      </c>
      <c r="Q1503" s="15">
        <v>5</v>
      </c>
      <c r="R1503" s="19">
        <v>12</v>
      </c>
      <c r="S1503" s="19">
        <v>2</v>
      </c>
      <c r="T1503" s="15">
        <v>10</v>
      </c>
      <c r="U1503" s="19">
        <v>81</v>
      </c>
      <c r="V1503" s="14" t="s">
        <v>31</v>
      </c>
      <c r="W1503" s="14" t="s">
        <v>57</v>
      </c>
      <c r="X1503" s="14">
        <f>IF(V1503="Yes",1,0)</f>
        <v>0</v>
      </c>
      <c r="Y1503" s="14">
        <f>IF(H1503="Active",0,1)</f>
        <v>1</v>
      </c>
    </row>
    <row r="1504" spans="1:25" ht="18" customHeight="1" x14ac:dyDescent="0.35">
      <c r="A1504" s="14" t="s">
        <v>1910</v>
      </c>
      <c r="B1504" s="14" t="s">
        <v>102</v>
      </c>
      <c r="C1504" s="14" t="s">
        <v>25</v>
      </c>
      <c r="D1504" s="15">
        <v>25</v>
      </c>
      <c r="E1504" s="14" t="s">
        <v>67</v>
      </c>
      <c r="F1504" s="14" t="s">
        <v>79</v>
      </c>
      <c r="G1504" s="16">
        <v>45463</v>
      </c>
      <c r="H1504" s="14" t="s">
        <v>26</v>
      </c>
      <c r="I1504" s="14" t="s">
        <v>36</v>
      </c>
      <c r="J1504" s="14" t="s">
        <v>48</v>
      </c>
      <c r="K1504" s="14" t="s">
        <v>2271</v>
      </c>
      <c r="L1504" s="14" t="s">
        <v>87</v>
      </c>
      <c r="M1504" s="14" t="s">
        <v>30</v>
      </c>
      <c r="N1504" s="17">
        <v>175601</v>
      </c>
      <c r="O1504" s="17">
        <v>15144</v>
      </c>
      <c r="P1504" s="18">
        <v>94.4</v>
      </c>
      <c r="Q1504" s="15">
        <v>7</v>
      </c>
      <c r="R1504" s="19">
        <v>16</v>
      </c>
      <c r="S1504" s="19">
        <v>3</v>
      </c>
      <c r="T1504" s="15">
        <v>28</v>
      </c>
      <c r="U1504" s="19">
        <v>71</v>
      </c>
      <c r="V1504" s="14" t="s">
        <v>31</v>
      </c>
      <c r="W1504" s="14"/>
      <c r="X1504" s="14">
        <f>IF(V1504="Yes",1,0)</f>
        <v>0</v>
      </c>
      <c r="Y1504" s="14">
        <f>IF(H1504="Active",0,1)</f>
        <v>0</v>
      </c>
    </row>
    <row r="1505" spans="1:25" ht="18" customHeight="1" x14ac:dyDescent="0.35">
      <c r="A1505" s="14" t="s">
        <v>2076</v>
      </c>
      <c r="B1505" s="14" t="s">
        <v>475</v>
      </c>
      <c r="C1505" s="14" t="s">
        <v>34</v>
      </c>
      <c r="D1505" s="15">
        <v>48</v>
      </c>
      <c r="E1505" s="14" t="s">
        <v>52</v>
      </c>
      <c r="F1505" s="14" t="s">
        <v>79</v>
      </c>
      <c r="G1505" s="16">
        <v>45463</v>
      </c>
      <c r="H1505" s="14" t="s">
        <v>54</v>
      </c>
      <c r="I1505" s="14" t="s">
        <v>27</v>
      </c>
      <c r="J1505" s="14" t="s">
        <v>2268</v>
      </c>
      <c r="K1505" s="14" t="s">
        <v>73</v>
      </c>
      <c r="L1505" s="14" t="s">
        <v>38</v>
      </c>
      <c r="M1505" s="14" t="s">
        <v>30</v>
      </c>
      <c r="N1505" s="17">
        <v>196925</v>
      </c>
      <c r="O1505" s="17">
        <v>32369</v>
      </c>
      <c r="P1505" s="18">
        <v>97.6</v>
      </c>
      <c r="Q1505" s="15">
        <v>10</v>
      </c>
      <c r="R1505" s="19">
        <v>28</v>
      </c>
      <c r="S1505" s="19">
        <v>3</v>
      </c>
      <c r="T1505" s="15">
        <v>2</v>
      </c>
      <c r="U1505" s="19">
        <v>85</v>
      </c>
      <c r="V1505" s="14" t="s">
        <v>31</v>
      </c>
      <c r="W1505" s="14" t="s">
        <v>96</v>
      </c>
      <c r="X1505" s="14">
        <f>IF(V1505="Yes",1,0)</f>
        <v>0</v>
      </c>
      <c r="Y1505" s="14">
        <f>IF(H1505="Active",0,1)</f>
        <v>1</v>
      </c>
    </row>
    <row r="1506" spans="1:25" ht="18" customHeight="1" x14ac:dyDescent="0.35">
      <c r="A1506" s="8" t="s">
        <v>2217</v>
      </c>
      <c r="B1506" s="8" t="s">
        <v>71</v>
      </c>
      <c r="C1506" s="8" t="s">
        <v>25</v>
      </c>
      <c r="D1506" s="9">
        <v>25</v>
      </c>
      <c r="E1506" s="8" t="s">
        <v>93</v>
      </c>
      <c r="F1506" s="8" t="s">
        <v>35</v>
      </c>
      <c r="G1506" s="10">
        <v>45463</v>
      </c>
      <c r="H1506" s="8" t="s">
        <v>26</v>
      </c>
      <c r="I1506" s="8" t="s">
        <v>27</v>
      </c>
      <c r="J1506" s="8" t="s">
        <v>80</v>
      </c>
      <c r="K1506" s="8" t="s">
        <v>37</v>
      </c>
      <c r="L1506" s="8" t="s">
        <v>29</v>
      </c>
      <c r="M1506" s="8" t="s">
        <v>30</v>
      </c>
      <c r="N1506" s="11">
        <v>182425</v>
      </c>
      <c r="O1506" s="11">
        <v>19495</v>
      </c>
      <c r="P1506" s="12">
        <v>87.3</v>
      </c>
      <c r="Q1506" s="9">
        <v>4</v>
      </c>
      <c r="R1506" s="13">
        <v>5</v>
      </c>
      <c r="S1506" s="13">
        <v>1</v>
      </c>
      <c r="T1506" s="9">
        <v>21</v>
      </c>
      <c r="U1506" s="13">
        <v>98</v>
      </c>
      <c r="V1506" s="8" t="s">
        <v>69</v>
      </c>
      <c r="W1506" s="8"/>
      <c r="X1506" s="22">
        <f>IF(V1506="Yes",1,0)</f>
        <v>1</v>
      </c>
      <c r="Y1506" s="22">
        <f>IF(H1506="Active",0,1)</f>
        <v>0</v>
      </c>
    </row>
    <row r="1507" spans="1:25" ht="18" customHeight="1" x14ac:dyDescent="0.35">
      <c r="A1507" s="14" t="s">
        <v>562</v>
      </c>
      <c r="B1507" s="14" t="s">
        <v>226</v>
      </c>
      <c r="C1507" s="14" t="s">
        <v>25</v>
      </c>
      <c r="D1507" s="15">
        <v>49</v>
      </c>
      <c r="E1507" s="14" t="s">
        <v>52</v>
      </c>
      <c r="F1507" s="14" t="s">
        <v>43</v>
      </c>
      <c r="G1507" s="16">
        <v>45462</v>
      </c>
      <c r="H1507" s="14" t="s">
        <v>26</v>
      </c>
      <c r="I1507" s="14" t="s">
        <v>2267</v>
      </c>
      <c r="J1507" s="14" t="s">
        <v>80</v>
      </c>
      <c r="K1507" s="14" t="s">
        <v>2271</v>
      </c>
      <c r="L1507" s="14" t="s">
        <v>116</v>
      </c>
      <c r="M1507" s="14" t="s">
        <v>39</v>
      </c>
      <c r="N1507" s="17">
        <v>136491</v>
      </c>
      <c r="O1507" s="17">
        <v>15973</v>
      </c>
      <c r="P1507" s="18">
        <v>99.3</v>
      </c>
      <c r="Q1507" s="15">
        <v>5</v>
      </c>
      <c r="R1507" s="19">
        <v>30</v>
      </c>
      <c r="S1507" s="19">
        <v>5</v>
      </c>
      <c r="T1507" s="15">
        <v>31</v>
      </c>
      <c r="U1507" s="19">
        <v>68</v>
      </c>
      <c r="V1507" s="14" t="s">
        <v>31</v>
      </c>
      <c r="W1507" s="14"/>
      <c r="X1507" s="14">
        <f>IF(V1507="Yes",1,0)</f>
        <v>0</v>
      </c>
      <c r="Y1507" s="14">
        <f>IF(H1507="Active",0,1)</f>
        <v>0</v>
      </c>
    </row>
    <row r="1508" spans="1:25" ht="18" customHeight="1" x14ac:dyDescent="0.35">
      <c r="A1508" s="14" t="s">
        <v>1760</v>
      </c>
      <c r="B1508" s="14" t="s">
        <v>384</v>
      </c>
      <c r="C1508" s="14" t="s">
        <v>34</v>
      </c>
      <c r="D1508" s="15">
        <v>29</v>
      </c>
      <c r="E1508" s="14" t="s">
        <v>2303</v>
      </c>
      <c r="F1508" s="14" t="s">
        <v>35</v>
      </c>
      <c r="G1508" s="16">
        <v>45462</v>
      </c>
      <c r="H1508" s="14" t="s">
        <v>26</v>
      </c>
      <c r="I1508" s="14" t="s">
        <v>36</v>
      </c>
      <c r="J1508" s="14" t="s">
        <v>80</v>
      </c>
      <c r="K1508" s="14" t="s">
        <v>28</v>
      </c>
      <c r="L1508" s="14" t="s">
        <v>38</v>
      </c>
      <c r="M1508" s="14" t="s">
        <v>45</v>
      </c>
      <c r="N1508" s="17">
        <v>87487</v>
      </c>
      <c r="O1508" s="17">
        <v>32621</v>
      </c>
      <c r="P1508" s="18">
        <v>85.9</v>
      </c>
      <c r="Q1508" s="15">
        <v>5</v>
      </c>
      <c r="R1508" s="19">
        <v>15</v>
      </c>
      <c r="S1508" s="19">
        <v>2</v>
      </c>
      <c r="T1508" s="15">
        <v>11</v>
      </c>
      <c r="U1508" s="19">
        <v>74</v>
      </c>
      <c r="V1508" s="14" t="s">
        <v>31</v>
      </c>
      <c r="W1508" s="14"/>
      <c r="X1508" s="14">
        <f>IF(V1508="Yes",1,0)</f>
        <v>0</v>
      </c>
      <c r="Y1508" s="14">
        <f>IF(H1508="Active",0,1)</f>
        <v>0</v>
      </c>
    </row>
    <row r="1509" spans="1:25" ht="18" customHeight="1" x14ac:dyDescent="0.35">
      <c r="A1509" s="14" t="s">
        <v>829</v>
      </c>
      <c r="B1509" s="14" t="s">
        <v>718</v>
      </c>
      <c r="C1509" s="14" t="s">
        <v>34</v>
      </c>
      <c r="D1509" s="15">
        <v>34</v>
      </c>
      <c r="E1509" s="14" t="s">
        <v>86</v>
      </c>
      <c r="F1509" s="14" t="s">
        <v>35</v>
      </c>
      <c r="G1509" s="16">
        <v>45461</v>
      </c>
      <c r="H1509" s="14" t="s">
        <v>26</v>
      </c>
      <c r="I1509" s="14" t="s">
        <v>2267</v>
      </c>
      <c r="J1509" s="14" t="s">
        <v>48</v>
      </c>
      <c r="K1509" s="14" t="s">
        <v>55</v>
      </c>
      <c r="L1509" s="14" t="s">
        <v>38</v>
      </c>
      <c r="M1509" s="14" t="s">
        <v>64</v>
      </c>
      <c r="N1509" s="17">
        <v>149849</v>
      </c>
      <c r="O1509" s="17">
        <v>35397</v>
      </c>
      <c r="P1509" s="18">
        <v>96.3</v>
      </c>
      <c r="Q1509" s="15">
        <v>7</v>
      </c>
      <c r="R1509" s="19">
        <v>2</v>
      </c>
      <c r="S1509" s="19">
        <v>1</v>
      </c>
      <c r="T1509" s="15">
        <v>22</v>
      </c>
      <c r="U1509" s="19">
        <v>100</v>
      </c>
      <c r="V1509" s="14" t="s">
        <v>31</v>
      </c>
      <c r="W1509" s="14"/>
      <c r="X1509" s="14">
        <f>IF(V1509="Yes",1,0)</f>
        <v>0</v>
      </c>
      <c r="Y1509" s="14">
        <f>IF(H1509="Active",0,1)</f>
        <v>0</v>
      </c>
    </row>
    <row r="1510" spans="1:25" ht="18" customHeight="1" x14ac:dyDescent="0.35">
      <c r="A1510" s="8" t="s">
        <v>1791</v>
      </c>
      <c r="B1510" s="8" t="s">
        <v>157</v>
      </c>
      <c r="C1510" s="8" t="s">
        <v>34</v>
      </c>
      <c r="D1510" s="9">
        <v>30</v>
      </c>
      <c r="E1510" s="8" t="s">
        <v>93</v>
      </c>
      <c r="F1510" s="8" t="s">
        <v>90</v>
      </c>
      <c r="G1510" s="10">
        <v>45461</v>
      </c>
      <c r="H1510" s="8" t="s">
        <v>26</v>
      </c>
      <c r="I1510" s="8" t="s">
        <v>36</v>
      </c>
      <c r="J1510" s="8" t="s">
        <v>2268</v>
      </c>
      <c r="K1510" s="8" t="s">
        <v>73</v>
      </c>
      <c r="L1510" s="8" t="s">
        <v>49</v>
      </c>
      <c r="M1510" s="8" t="s">
        <v>60</v>
      </c>
      <c r="N1510" s="11">
        <v>114438</v>
      </c>
      <c r="O1510" s="11">
        <v>46475</v>
      </c>
      <c r="P1510" s="12">
        <v>92</v>
      </c>
      <c r="Q1510" s="9">
        <v>5</v>
      </c>
      <c r="R1510" s="13">
        <v>30</v>
      </c>
      <c r="S1510" s="13">
        <v>1</v>
      </c>
      <c r="T1510" s="9">
        <v>38</v>
      </c>
      <c r="U1510" s="13">
        <v>72</v>
      </c>
      <c r="V1510" s="8" t="s">
        <v>31</v>
      </c>
      <c r="W1510" s="8"/>
      <c r="X1510" s="22">
        <f>IF(V1510="Yes",1,0)</f>
        <v>0</v>
      </c>
      <c r="Y1510" s="22">
        <f>IF(H1510="Active",0,1)</f>
        <v>0</v>
      </c>
    </row>
    <row r="1511" spans="1:25" ht="18" customHeight="1" x14ac:dyDescent="0.35">
      <c r="A1511" s="8" t="s">
        <v>2243</v>
      </c>
      <c r="B1511" s="8" t="s">
        <v>817</v>
      </c>
      <c r="C1511" s="8" t="s">
        <v>34</v>
      </c>
      <c r="D1511" s="9">
        <v>56</v>
      </c>
      <c r="E1511" s="8" t="s">
        <v>86</v>
      </c>
      <c r="F1511" s="8" t="s">
        <v>90</v>
      </c>
      <c r="G1511" s="10">
        <v>45461</v>
      </c>
      <c r="H1511" s="8" t="s">
        <v>26</v>
      </c>
      <c r="I1511" s="8" t="s">
        <v>27</v>
      </c>
      <c r="J1511" s="8" t="s">
        <v>2270</v>
      </c>
      <c r="K1511" s="8" t="s">
        <v>55</v>
      </c>
      <c r="L1511" s="8" t="s">
        <v>87</v>
      </c>
      <c r="M1511" s="8" t="s">
        <v>39</v>
      </c>
      <c r="N1511" s="11">
        <v>89499</v>
      </c>
      <c r="O1511" s="11">
        <v>42239</v>
      </c>
      <c r="P1511" s="12">
        <v>85.4</v>
      </c>
      <c r="Q1511" s="9">
        <v>4</v>
      </c>
      <c r="R1511" s="13">
        <v>1</v>
      </c>
      <c r="S1511" s="13">
        <v>4</v>
      </c>
      <c r="T1511" s="9">
        <v>12</v>
      </c>
      <c r="U1511" s="13">
        <v>68</v>
      </c>
      <c r="V1511" s="8" t="s">
        <v>31</v>
      </c>
      <c r="W1511" s="8"/>
      <c r="X1511" s="22">
        <f>IF(V1511="Yes",1,0)</f>
        <v>0</v>
      </c>
      <c r="Y1511" s="22">
        <f>IF(H1511="Active",0,1)</f>
        <v>0</v>
      </c>
    </row>
    <row r="1512" spans="1:25" ht="18" customHeight="1" x14ac:dyDescent="0.35">
      <c r="A1512" s="14" t="s">
        <v>735</v>
      </c>
      <c r="B1512" s="14" t="s">
        <v>327</v>
      </c>
      <c r="C1512" s="14" t="s">
        <v>34</v>
      </c>
      <c r="D1512" s="15">
        <v>21</v>
      </c>
      <c r="E1512" s="14" t="s">
        <v>52</v>
      </c>
      <c r="F1512" s="14" t="s">
        <v>72</v>
      </c>
      <c r="G1512" s="16">
        <v>45460</v>
      </c>
      <c r="H1512" s="14" t="s">
        <v>26</v>
      </c>
      <c r="I1512" s="14" t="s">
        <v>36</v>
      </c>
      <c r="J1512" s="14" t="s">
        <v>2269</v>
      </c>
      <c r="K1512" s="14" t="s">
        <v>2271</v>
      </c>
      <c r="L1512" s="14" t="s">
        <v>49</v>
      </c>
      <c r="M1512" s="14" t="s">
        <v>64</v>
      </c>
      <c r="N1512" s="17">
        <v>135816</v>
      </c>
      <c r="O1512" s="17">
        <v>49738</v>
      </c>
      <c r="P1512" s="18">
        <v>83.8</v>
      </c>
      <c r="Q1512" s="15">
        <v>1</v>
      </c>
      <c r="R1512" s="19">
        <v>30</v>
      </c>
      <c r="S1512" s="19">
        <v>2</v>
      </c>
      <c r="T1512" s="15">
        <v>24</v>
      </c>
      <c r="U1512" s="19">
        <v>87</v>
      </c>
      <c r="V1512" s="14" t="s">
        <v>31</v>
      </c>
      <c r="W1512" s="14"/>
      <c r="X1512" s="14">
        <f>IF(V1512="Yes",1,0)</f>
        <v>0</v>
      </c>
      <c r="Y1512" s="14">
        <f>IF(H1512="Active",0,1)</f>
        <v>0</v>
      </c>
    </row>
    <row r="1513" spans="1:25" ht="18" customHeight="1" x14ac:dyDescent="0.35">
      <c r="A1513" s="8" t="s">
        <v>1039</v>
      </c>
      <c r="B1513" s="8" t="s">
        <v>261</v>
      </c>
      <c r="C1513" s="8" t="s">
        <v>25</v>
      </c>
      <c r="D1513" s="9">
        <v>50</v>
      </c>
      <c r="E1513" s="8" t="s">
        <v>2303</v>
      </c>
      <c r="F1513" s="8" t="s">
        <v>12</v>
      </c>
      <c r="G1513" s="10">
        <v>45460</v>
      </c>
      <c r="H1513" s="8" t="s">
        <v>26</v>
      </c>
      <c r="I1513" s="8" t="s">
        <v>36</v>
      </c>
      <c r="J1513" s="8" t="s">
        <v>80</v>
      </c>
      <c r="K1513" s="8" t="s">
        <v>28</v>
      </c>
      <c r="L1513" s="8" t="s">
        <v>44</v>
      </c>
      <c r="M1513" s="8" t="s">
        <v>45</v>
      </c>
      <c r="N1513" s="11">
        <v>52641</v>
      </c>
      <c r="O1513" s="11">
        <v>18980</v>
      </c>
      <c r="P1513" s="12">
        <v>82.3</v>
      </c>
      <c r="Q1513" s="9">
        <v>3</v>
      </c>
      <c r="R1513" s="13">
        <v>21</v>
      </c>
      <c r="S1513" s="13">
        <v>1</v>
      </c>
      <c r="T1513" s="9">
        <v>10</v>
      </c>
      <c r="U1513" s="13">
        <v>99</v>
      </c>
      <c r="V1513" s="8" t="s">
        <v>31</v>
      </c>
      <c r="W1513" s="8"/>
      <c r="X1513" s="22">
        <f>IF(V1513="Yes",1,0)</f>
        <v>0</v>
      </c>
      <c r="Y1513" s="22">
        <f>IF(H1513="Active",0,1)</f>
        <v>0</v>
      </c>
    </row>
    <row r="1514" spans="1:25" ht="18" customHeight="1" x14ac:dyDescent="0.35">
      <c r="A1514" s="14" t="s">
        <v>1161</v>
      </c>
      <c r="B1514" s="14" t="s">
        <v>293</v>
      </c>
      <c r="C1514" s="14" t="s">
        <v>25</v>
      </c>
      <c r="D1514" s="15">
        <v>42</v>
      </c>
      <c r="E1514" s="14" t="s">
        <v>42</v>
      </c>
      <c r="F1514" s="14" t="s">
        <v>12</v>
      </c>
      <c r="G1514" s="16">
        <v>45459</v>
      </c>
      <c r="H1514" s="14" t="s">
        <v>26</v>
      </c>
      <c r="I1514" s="14" t="s">
        <v>36</v>
      </c>
      <c r="J1514" s="14" t="s">
        <v>48</v>
      </c>
      <c r="K1514" s="14" t="s">
        <v>2271</v>
      </c>
      <c r="L1514" s="14" t="s">
        <v>38</v>
      </c>
      <c r="M1514" s="14" t="s">
        <v>64</v>
      </c>
      <c r="N1514" s="17">
        <v>58971</v>
      </c>
      <c r="O1514" s="17">
        <v>28314</v>
      </c>
      <c r="P1514" s="18">
        <v>86.2</v>
      </c>
      <c r="Q1514" s="15">
        <v>4</v>
      </c>
      <c r="R1514" s="19">
        <v>24</v>
      </c>
      <c r="S1514" s="19">
        <v>4</v>
      </c>
      <c r="T1514" s="15">
        <v>32</v>
      </c>
      <c r="U1514" s="19">
        <v>61</v>
      </c>
      <c r="V1514" s="14" t="s">
        <v>31</v>
      </c>
      <c r="W1514" s="14"/>
      <c r="X1514" s="14">
        <f>IF(V1514="Yes",1,0)</f>
        <v>0</v>
      </c>
      <c r="Y1514" s="14">
        <f>IF(H1514="Active",0,1)</f>
        <v>0</v>
      </c>
    </row>
    <row r="1515" spans="1:25" ht="18" customHeight="1" x14ac:dyDescent="0.35">
      <c r="A1515" s="8" t="s">
        <v>1887</v>
      </c>
      <c r="B1515" s="8" t="s">
        <v>285</v>
      </c>
      <c r="C1515" s="8" t="s">
        <v>34</v>
      </c>
      <c r="D1515" s="9">
        <v>33</v>
      </c>
      <c r="E1515" s="8" t="s">
        <v>2304</v>
      </c>
      <c r="F1515" s="8" t="s">
        <v>53</v>
      </c>
      <c r="G1515" s="10">
        <v>45459</v>
      </c>
      <c r="H1515" s="8" t="s">
        <v>26</v>
      </c>
      <c r="I1515" s="8" t="s">
        <v>27</v>
      </c>
      <c r="J1515" s="8" t="s">
        <v>2270</v>
      </c>
      <c r="K1515" s="8" t="s">
        <v>73</v>
      </c>
      <c r="L1515" s="8" t="s">
        <v>87</v>
      </c>
      <c r="M1515" s="8" t="s">
        <v>45</v>
      </c>
      <c r="N1515" s="11">
        <v>185562</v>
      </c>
      <c r="O1515" s="11">
        <v>8252</v>
      </c>
      <c r="P1515" s="12">
        <v>82</v>
      </c>
      <c r="Q1515" s="9">
        <v>9</v>
      </c>
      <c r="R1515" s="13">
        <v>15</v>
      </c>
      <c r="S1515" s="13">
        <v>3</v>
      </c>
      <c r="T1515" s="9">
        <v>12</v>
      </c>
      <c r="U1515" s="13">
        <v>89</v>
      </c>
      <c r="V1515" s="8" t="s">
        <v>31</v>
      </c>
      <c r="W1515" s="8"/>
      <c r="X1515" s="22">
        <f>IF(V1515="Yes",1,0)</f>
        <v>0</v>
      </c>
      <c r="Y1515" s="22">
        <f>IF(H1515="Active",0,1)</f>
        <v>0</v>
      </c>
    </row>
    <row r="1516" spans="1:25" ht="18" customHeight="1" x14ac:dyDescent="0.35">
      <c r="A1516" s="8" t="s">
        <v>759</v>
      </c>
      <c r="B1516" s="8" t="s">
        <v>370</v>
      </c>
      <c r="C1516" s="8" t="s">
        <v>25</v>
      </c>
      <c r="D1516" s="9">
        <v>60</v>
      </c>
      <c r="E1516" s="8" t="s">
        <v>52</v>
      </c>
      <c r="F1516" s="8" t="s">
        <v>43</v>
      </c>
      <c r="G1516" s="10">
        <v>45458</v>
      </c>
      <c r="H1516" s="8" t="s">
        <v>26</v>
      </c>
      <c r="I1516" s="8" t="s">
        <v>2267</v>
      </c>
      <c r="J1516" s="8" t="s">
        <v>80</v>
      </c>
      <c r="K1516" s="8" t="s">
        <v>55</v>
      </c>
      <c r="L1516" s="8" t="s">
        <v>116</v>
      </c>
      <c r="M1516" s="8" t="s">
        <v>64</v>
      </c>
      <c r="N1516" s="11">
        <v>243464</v>
      </c>
      <c r="O1516" s="11">
        <v>19981</v>
      </c>
      <c r="P1516" s="12">
        <v>91.2</v>
      </c>
      <c r="Q1516" s="9">
        <v>1</v>
      </c>
      <c r="R1516" s="13">
        <v>15</v>
      </c>
      <c r="S1516" s="13">
        <v>5</v>
      </c>
      <c r="T1516" s="9">
        <v>20</v>
      </c>
      <c r="U1516" s="13">
        <v>93</v>
      </c>
      <c r="V1516" s="8" t="s">
        <v>31</v>
      </c>
      <c r="W1516" s="8"/>
      <c r="X1516" s="22">
        <f>IF(V1516="Yes",1,0)</f>
        <v>0</v>
      </c>
      <c r="Y1516" s="22">
        <f>IF(H1516="Active",0,1)</f>
        <v>0</v>
      </c>
    </row>
    <row r="1517" spans="1:25" ht="18" customHeight="1" x14ac:dyDescent="0.35">
      <c r="A1517" s="8" t="s">
        <v>1497</v>
      </c>
      <c r="B1517" s="8" t="s">
        <v>372</v>
      </c>
      <c r="C1517" s="8" t="s">
        <v>34</v>
      </c>
      <c r="D1517" s="9">
        <v>29</v>
      </c>
      <c r="E1517" s="8" t="s">
        <v>52</v>
      </c>
      <c r="F1517" s="8" t="s">
        <v>76</v>
      </c>
      <c r="G1517" s="10">
        <v>45458</v>
      </c>
      <c r="H1517" s="8" t="s">
        <v>54</v>
      </c>
      <c r="I1517" s="8" t="s">
        <v>36</v>
      </c>
      <c r="J1517" s="8" t="s">
        <v>48</v>
      </c>
      <c r="K1517" s="8" t="s">
        <v>55</v>
      </c>
      <c r="L1517" s="8" t="s">
        <v>56</v>
      </c>
      <c r="M1517" s="8" t="s">
        <v>60</v>
      </c>
      <c r="N1517" s="11">
        <v>239155</v>
      </c>
      <c r="O1517" s="11">
        <v>36629</v>
      </c>
      <c r="P1517" s="12">
        <v>81.599999999999994</v>
      </c>
      <c r="Q1517" s="9">
        <v>6</v>
      </c>
      <c r="R1517" s="13">
        <v>13</v>
      </c>
      <c r="S1517" s="13">
        <v>5</v>
      </c>
      <c r="T1517" s="9">
        <v>31</v>
      </c>
      <c r="U1517" s="13">
        <v>65</v>
      </c>
      <c r="V1517" s="8" t="s">
        <v>31</v>
      </c>
      <c r="W1517" s="8" t="s">
        <v>83</v>
      </c>
      <c r="X1517" s="22">
        <f>IF(V1517="Yes",1,0)</f>
        <v>0</v>
      </c>
      <c r="Y1517" s="22">
        <f>IF(H1517="Active",0,1)</f>
        <v>1</v>
      </c>
    </row>
    <row r="1518" spans="1:25" ht="18" customHeight="1" x14ac:dyDescent="0.35">
      <c r="A1518" s="14" t="s">
        <v>352</v>
      </c>
      <c r="B1518" s="14" t="s">
        <v>353</v>
      </c>
      <c r="C1518" s="14" t="s">
        <v>25</v>
      </c>
      <c r="D1518" s="15">
        <v>39</v>
      </c>
      <c r="E1518" s="14" t="s">
        <v>67</v>
      </c>
      <c r="F1518" s="14" t="s">
        <v>90</v>
      </c>
      <c r="G1518" s="16">
        <v>45457</v>
      </c>
      <c r="H1518" s="14" t="s">
        <v>26</v>
      </c>
      <c r="I1518" s="14" t="s">
        <v>36</v>
      </c>
      <c r="J1518" s="14" t="s">
        <v>2268</v>
      </c>
      <c r="K1518" s="14" t="s">
        <v>2271</v>
      </c>
      <c r="L1518" s="14" t="s">
        <v>116</v>
      </c>
      <c r="M1518" s="14" t="s">
        <v>45</v>
      </c>
      <c r="N1518" s="17">
        <v>85957</v>
      </c>
      <c r="O1518" s="17">
        <v>17205</v>
      </c>
      <c r="P1518" s="18">
        <v>87.6</v>
      </c>
      <c r="Q1518" s="15">
        <v>3</v>
      </c>
      <c r="R1518" s="19">
        <v>13</v>
      </c>
      <c r="S1518" s="19">
        <v>3</v>
      </c>
      <c r="T1518" s="15">
        <v>39</v>
      </c>
      <c r="U1518" s="19">
        <v>61</v>
      </c>
      <c r="V1518" s="14" t="s">
        <v>31</v>
      </c>
      <c r="W1518" s="14"/>
      <c r="X1518" s="14">
        <f>IF(V1518="Yes",1,0)</f>
        <v>0</v>
      </c>
      <c r="Y1518" s="14">
        <f>IF(H1518="Active",0,1)</f>
        <v>0</v>
      </c>
    </row>
    <row r="1519" spans="1:25" ht="18" customHeight="1" x14ac:dyDescent="0.35">
      <c r="A1519" s="14" t="s">
        <v>1558</v>
      </c>
      <c r="B1519" s="14" t="s">
        <v>256</v>
      </c>
      <c r="C1519" s="14" t="s">
        <v>34</v>
      </c>
      <c r="D1519" s="15">
        <v>33</v>
      </c>
      <c r="E1519" s="14" t="s">
        <v>2304</v>
      </c>
      <c r="F1519" s="14" t="s">
        <v>43</v>
      </c>
      <c r="G1519" s="16">
        <v>45457</v>
      </c>
      <c r="H1519" s="14" t="s">
        <v>26</v>
      </c>
      <c r="I1519" s="14" t="s">
        <v>27</v>
      </c>
      <c r="J1519" s="14" t="s">
        <v>2269</v>
      </c>
      <c r="K1519" s="14" t="s">
        <v>37</v>
      </c>
      <c r="L1519" s="14" t="s">
        <v>116</v>
      </c>
      <c r="M1519" s="14" t="s">
        <v>30</v>
      </c>
      <c r="N1519" s="17">
        <v>234810</v>
      </c>
      <c r="O1519" s="17">
        <v>5798</v>
      </c>
      <c r="P1519" s="18">
        <v>94.6</v>
      </c>
      <c r="Q1519" s="15">
        <v>10</v>
      </c>
      <c r="R1519" s="19">
        <v>8</v>
      </c>
      <c r="S1519" s="19">
        <v>5</v>
      </c>
      <c r="T1519" s="15">
        <v>0</v>
      </c>
      <c r="U1519" s="19">
        <v>75</v>
      </c>
      <c r="V1519" s="14" t="s">
        <v>31</v>
      </c>
      <c r="W1519" s="14"/>
      <c r="X1519" s="14">
        <f>IF(V1519="Yes",1,0)</f>
        <v>0</v>
      </c>
      <c r="Y1519" s="14">
        <f>IF(H1519="Active",0,1)</f>
        <v>0</v>
      </c>
    </row>
    <row r="1520" spans="1:25" ht="18" customHeight="1" x14ac:dyDescent="0.35">
      <c r="A1520" s="14" t="s">
        <v>1664</v>
      </c>
      <c r="B1520" s="14" t="s">
        <v>111</v>
      </c>
      <c r="C1520" s="14" t="s">
        <v>34</v>
      </c>
      <c r="D1520" s="15">
        <v>38</v>
      </c>
      <c r="E1520" s="14" t="s">
        <v>52</v>
      </c>
      <c r="F1520" s="14" t="s">
        <v>12</v>
      </c>
      <c r="G1520" s="16">
        <v>45457</v>
      </c>
      <c r="H1520" s="14" t="s">
        <v>26</v>
      </c>
      <c r="I1520" s="14" t="s">
        <v>2267</v>
      </c>
      <c r="J1520" s="14" t="s">
        <v>48</v>
      </c>
      <c r="K1520" s="14" t="s">
        <v>73</v>
      </c>
      <c r="L1520" s="14" t="s">
        <v>29</v>
      </c>
      <c r="M1520" s="14" t="s">
        <v>30</v>
      </c>
      <c r="N1520" s="17">
        <v>96368</v>
      </c>
      <c r="O1520" s="17">
        <v>14739</v>
      </c>
      <c r="P1520" s="18">
        <v>85.6</v>
      </c>
      <c r="Q1520" s="15">
        <v>10</v>
      </c>
      <c r="R1520" s="19">
        <v>21</v>
      </c>
      <c r="S1520" s="19">
        <v>3</v>
      </c>
      <c r="T1520" s="15">
        <v>11</v>
      </c>
      <c r="U1520" s="19">
        <v>98</v>
      </c>
      <c r="V1520" s="14" t="s">
        <v>31</v>
      </c>
      <c r="W1520" s="14"/>
      <c r="X1520" s="14">
        <f>IF(V1520="Yes",1,0)</f>
        <v>0</v>
      </c>
      <c r="Y1520" s="14">
        <f>IF(H1520="Active",0,1)</f>
        <v>0</v>
      </c>
    </row>
    <row r="1521" spans="1:25" ht="18" customHeight="1" x14ac:dyDescent="0.35">
      <c r="A1521" s="14" t="s">
        <v>1898</v>
      </c>
      <c r="B1521" s="14" t="s">
        <v>581</v>
      </c>
      <c r="C1521" s="14" t="s">
        <v>34</v>
      </c>
      <c r="D1521" s="15">
        <v>44</v>
      </c>
      <c r="E1521" s="14" t="s">
        <v>63</v>
      </c>
      <c r="F1521" s="14" t="s">
        <v>76</v>
      </c>
      <c r="G1521" s="16">
        <v>45457</v>
      </c>
      <c r="H1521" s="14" t="s">
        <v>26</v>
      </c>
      <c r="I1521" s="14" t="s">
        <v>2267</v>
      </c>
      <c r="J1521" s="14" t="s">
        <v>48</v>
      </c>
      <c r="K1521" s="14" t="s">
        <v>37</v>
      </c>
      <c r="L1521" s="14" t="s">
        <v>38</v>
      </c>
      <c r="M1521" s="14" t="s">
        <v>30</v>
      </c>
      <c r="N1521" s="17">
        <v>76779</v>
      </c>
      <c r="O1521" s="17">
        <v>31013</v>
      </c>
      <c r="P1521" s="18">
        <v>85.9</v>
      </c>
      <c r="Q1521" s="15">
        <v>1</v>
      </c>
      <c r="R1521" s="19">
        <v>28</v>
      </c>
      <c r="S1521" s="19">
        <v>3</v>
      </c>
      <c r="T1521" s="15">
        <v>8</v>
      </c>
      <c r="U1521" s="19">
        <v>100</v>
      </c>
      <c r="V1521" s="14" t="s">
        <v>31</v>
      </c>
      <c r="W1521" s="14"/>
      <c r="X1521" s="14">
        <f>IF(V1521="Yes",1,0)</f>
        <v>0</v>
      </c>
      <c r="Y1521" s="14">
        <f>IF(H1521="Active",0,1)</f>
        <v>0</v>
      </c>
    </row>
    <row r="1522" spans="1:25" ht="18" customHeight="1" x14ac:dyDescent="0.35">
      <c r="A1522" s="8" t="s">
        <v>122</v>
      </c>
      <c r="B1522" s="8" t="s">
        <v>24</v>
      </c>
      <c r="C1522" s="8" t="s">
        <v>34</v>
      </c>
      <c r="D1522" s="9">
        <v>27</v>
      </c>
      <c r="E1522" s="8" t="s">
        <v>63</v>
      </c>
      <c r="F1522" s="8" t="s">
        <v>53</v>
      </c>
      <c r="G1522" s="10">
        <v>45456</v>
      </c>
      <c r="H1522" s="8" t="s">
        <v>54</v>
      </c>
      <c r="I1522" s="8" t="s">
        <v>36</v>
      </c>
      <c r="J1522" s="8" t="s">
        <v>2270</v>
      </c>
      <c r="K1522" s="8" t="s">
        <v>28</v>
      </c>
      <c r="L1522" s="8" t="s">
        <v>87</v>
      </c>
      <c r="M1522" s="8" t="s">
        <v>39</v>
      </c>
      <c r="N1522" s="11">
        <v>243212</v>
      </c>
      <c r="O1522" s="11">
        <v>20030</v>
      </c>
      <c r="P1522" s="12">
        <v>97.8</v>
      </c>
      <c r="Q1522" s="9">
        <v>0</v>
      </c>
      <c r="R1522" s="13">
        <v>27</v>
      </c>
      <c r="S1522" s="13">
        <v>4</v>
      </c>
      <c r="T1522" s="9">
        <v>22</v>
      </c>
      <c r="U1522" s="13">
        <v>74</v>
      </c>
      <c r="V1522" s="8" t="s">
        <v>69</v>
      </c>
      <c r="W1522" s="8" t="s">
        <v>123</v>
      </c>
      <c r="X1522" s="22">
        <f>IF(V1522="Yes",1,0)</f>
        <v>1</v>
      </c>
      <c r="Y1522" s="22">
        <f>IF(H1522="Active",0,1)</f>
        <v>1</v>
      </c>
    </row>
    <row r="1523" spans="1:25" ht="18" customHeight="1" x14ac:dyDescent="0.35">
      <c r="A1523" s="14" t="s">
        <v>632</v>
      </c>
      <c r="B1523" s="14" t="s">
        <v>237</v>
      </c>
      <c r="C1523" s="14" t="s">
        <v>25</v>
      </c>
      <c r="D1523" s="15">
        <v>58</v>
      </c>
      <c r="E1523" s="14" t="s">
        <v>63</v>
      </c>
      <c r="F1523" s="14" t="s">
        <v>90</v>
      </c>
      <c r="G1523" s="16">
        <v>45456</v>
      </c>
      <c r="H1523" s="14" t="s">
        <v>26</v>
      </c>
      <c r="I1523" s="14" t="s">
        <v>2267</v>
      </c>
      <c r="J1523" s="14" t="s">
        <v>80</v>
      </c>
      <c r="K1523" s="14" t="s">
        <v>37</v>
      </c>
      <c r="L1523" s="14" t="s">
        <v>56</v>
      </c>
      <c r="M1523" s="14" t="s">
        <v>30</v>
      </c>
      <c r="N1523" s="17">
        <v>175404</v>
      </c>
      <c r="O1523" s="17">
        <v>31047</v>
      </c>
      <c r="P1523" s="18">
        <v>99.2</v>
      </c>
      <c r="Q1523" s="15">
        <v>10</v>
      </c>
      <c r="R1523" s="19">
        <v>30</v>
      </c>
      <c r="S1523" s="19">
        <v>2</v>
      </c>
      <c r="T1523" s="15">
        <v>27</v>
      </c>
      <c r="U1523" s="19">
        <v>65</v>
      </c>
      <c r="V1523" s="14" t="s">
        <v>31</v>
      </c>
      <c r="W1523" s="14"/>
      <c r="X1523" s="14">
        <f>IF(V1523="Yes",1,0)</f>
        <v>0</v>
      </c>
      <c r="Y1523" s="14">
        <f>IF(H1523="Active",0,1)</f>
        <v>0</v>
      </c>
    </row>
    <row r="1524" spans="1:25" ht="18" customHeight="1" x14ac:dyDescent="0.35">
      <c r="A1524" s="14" t="s">
        <v>1320</v>
      </c>
      <c r="B1524" s="14" t="s">
        <v>347</v>
      </c>
      <c r="C1524" s="14" t="s">
        <v>25</v>
      </c>
      <c r="D1524" s="15">
        <v>49</v>
      </c>
      <c r="E1524" s="14" t="s">
        <v>67</v>
      </c>
      <c r="F1524" s="14" t="s">
        <v>43</v>
      </c>
      <c r="G1524" s="16">
        <v>45456</v>
      </c>
      <c r="H1524" s="14" t="s">
        <v>26</v>
      </c>
      <c r="I1524" s="14" t="s">
        <v>27</v>
      </c>
      <c r="J1524" s="14" t="s">
        <v>48</v>
      </c>
      <c r="K1524" s="14" t="s">
        <v>2271</v>
      </c>
      <c r="L1524" s="14" t="s">
        <v>49</v>
      </c>
      <c r="M1524" s="14" t="s">
        <v>30</v>
      </c>
      <c r="N1524" s="17">
        <v>164364</v>
      </c>
      <c r="O1524" s="17">
        <v>8580</v>
      </c>
      <c r="P1524" s="18">
        <v>80.099999999999994</v>
      </c>
      <c r="Q1524" s="15">
        <v>5</v>
      </c>
      <c r="R1524" s="19">
        <v>23</v>
      </c>
      <c r="S1524" s="19">
        <v>5</v>
      </c>
      <c r="T1524" s="15">
        <v>19</v>
      </c>
      <c r="U1524" s="19">
        <v>78</v>
      </c>
      <c r="V1524" s="14" t="s">
        <v>31</v>
      </c>
      <c r="W1524" s="14"/>
      <c r="X1524" s="14">
        <f>IF(V1524="Yes",1,0)</f>
        <v>0</v>
      </c>
      <c r="Y1524" s="14">
        <f>IF(H1524="Active",0,1)</f>
        <v>0</v>
      </c>
    </row>
    <row r="1525" spans="1:25" ht="18" customHeight="1" x14ac:dyDescent="0.35">
      <c r="A1525" s="14" t="s">
        <v>1650</v>
      </c>
      <c r="B1525" s="14" t="s">
        <v>144</v>
      </c>
      <c r="C1525" s="14" t="s">
        <v>34</v>
      </c>
      <c r="D1525" s="15">
        <v>39</v>
      </c>
      <c r="E1525" s="14" t="s">
        <v>52</v>
      </c>
      <c r="F1525" s="14" t="s">
        <v>76</v>
      </c>
      <c r="G1525" s="16">
        <v>45455</v>
      </c>
      <c r="H1525" s="14" t="s">
        <v>26</v>
      </c>
      <c r="I1525" s="14" t="s">
        <v>36</v>
      </c>
      <c r="J1525" s="14" t="s">
        <v>2268</v>
      </c>
      <c r="K1525" s="14" t="s">
        <v>73</v>
      </c>
      <c r="L1525" s="14" t="s">
        <v>38</v>
      </c>
      <c r="M1525" s="14" t="s">
        <v>64</v>
      </c>
      <c r="N1525" s="17">
        <v>86594</v>
      </c>
      <c r="O1525" s="17">
        <v>23623</v>
      </c>
      <c r="P1525" s="18">
        <v>81.8</v>
      </c>
      <c r="Q1525" s="15">
        <v>5</v>
      </c>
      <c r="R1525" s="19">
        <v>5</v>
      </c>
      <c r="S1525" s="19">
        <v>5</v>
      </c>
      <c r="T1525" s="15">
        <v>35</v>
      </c>
      <c r="U1525" s="19">
        <v>78</v>
      </c>
      <c r="V1525" s="14" t="s">
        <v>31</v>
      </c>
      <c r="W1525" s="14"/>
      <c r="X1525" s="14">
        <f>IF(V1525="Yes",1,0)</f>
        <v>0</v>
      </c>
      <c r="Y1525" s="14">
        <f>IF(H1525="Active",0,1)</f>
        <v>0</v>
      </c>
    </row>
    <row r="1526" spans="1:25" ht="18" customHeight="1" x14ac:dyDescent="0.35">
      <c r="A1526" s="14" t="s">
        <v>242</v>
      </c>
      <c r="B1526" s="14" t="s">
        <v>98</v>
      </c>
      <c r="C1526" s="14" t="s">
        <v>25</v>
      </c>
      <c r="D1526" s="15">
        <v>43</v>
      </c>
      <c r="E1526" s="14" t="s">
        <v>2304</v>
      </c>
      <c r="F1526" s="14" t="s">
        <v>76</v>
      </c>
      <c r="G1526" s="16">
        <v>45454</v>
      </c>
      <c r="H1526" s="14" t="s">
        <v>26</v>
      </c>
      <c r="I1526" s="14" t="s">
        <v>2267</v>
      </c>
      <c r="J1526" s="14" t="s">
        <v>80</v>
      </c>
      <c r="K1526" s="14" t="s">
        <v>37</v>
      </c>
      <c r="L1526" s="14" t="s">
        <v>38</v>
      </c>
      <c r="M1526" s="14" t="s">
        <v>39</v>
      </c>
      <c r="N1526" s="17">
        <v>73961</v>
      </c>
      <c r="O1526" s="17">
        <v>45469</v>
      </c>
      <c r="P1526" s="18">
        <v>93.4</v>
      </c>
      <c r="Q1526" s="15">
        <v>8</v>
      </c>
      <c r="R1526" s="19">
        <v>1</v>
      </c>
      <c r="S1526" s="19">
        <v>1</v>
      </c>
      <c r="T1526" s="15">
        <v>20</v>
      </c>
      <c r="U1526" s="19">
        <v>71</v>
      </c>
      <c r="V1526" s="14" t="s">
        <v>31</v>
      </c>
      <c r="W1526" s="14"/>
      <c r="X1526" s="14">
        <f>IF(V1526="Yes",1,0)</f>
        <v>0</v>
      </c>
      <c r="Y1526" s="14">
        <f>IF(H1526="Active",0,1)</f>
        <v>0</v>
      </c>
    </row>
    <row r="1527" spans="1:25" ht="18" customHeight="1" x14ac:dyDescent="0.35">
      <c r="A1527" s="8" t="s">
        <v>946</v>
      </c>
      <c r="B1527" s="8" t="s">
        <v>323</v>
      </c>
      <c r="C1527" s="8" t="s">
        <v>34</v>
      </c>
      <c r="D1527" s="9">
        <v>42</v>
      </c>
      <c r="E1527" s="8" t="s">
        <v>109</v>
      </c>
      <c r="F1527" s="8" t="s">
        <v>35</v>
      </c>
      <c r="G1527" s="10">
        <v>45453</v>
      </c>
      <c r="H1527" s="8" t="s">
        <v>26</v>
      </c>
      <c r="I1527" s="8" t="s">
        <v>36</v>
      </c>
      <c r="J1527" s="8" t="s">
        <v>2270</v>
      </c>
      <c r="K1527" s="8" t="s">
        <v>55</v>
      </c>
      <c r="L1527" s="8" t="s">
        <v>49</v>
      </c>
      <c r="M1527" s="8" t="s">
        <v>30</v>
      </c>
      <c r="N1527" s="11">
        <v>223537</v>
      </c>
      <c r="O1527" s="11">
        <v>45601</v>
      </c>
      <c r="P1527" s="12">
        <v>88.5</v>
      </c>
      <c r="Q1527" s="9">
        <v>3</v>
      </c>
      <c r="R1527" s="13">
        <v>22</v>
      </c>
      <c r="S1527" s="13">
        <v>5</v>
      </c>
      <c r="T1527" s="9">
        <v>33</v>
      </c>
      <c r="U1527" s="13">
        <v>70</v>
      </c>
      <c r="V1527" s="8" t="s">
        <v>31</v>
      </c>
      <c r="W1527" s="8"/>
      <c r="X1527" s="22">
        <f>IF(V1527="Yes",1,0)</f>
        <v>0</v>
      </c>
      <c r="Y1527" s="22">
        <f>IF(H1527="Active",0,1)</f>
        <v>0</v>
      </c>
    </row>
    <row r="1528" spans="1:25" ht="18" customHeight="1" x14ac:dyDescent="0.35">
      <c r="A1528" s="8" t="s">
        <v>1751</v>
      </c>
      <c r="B1528" s="8" t="s">
        <v>458</v>
      </c>
      <c r="C1528" s="8" t="s">
        <v>34</v>
      </c>
      <c r="D1528" s="9">
        <v>54</v>
      </c>
      <c r="E1528" s="8" t="s">
        <v>86</v>
      </c>
      <c r="F1528" s="8" t="s">
        <v>72</v>
      </c>
      <c r="G1528" s="10">
        <v>45453</v>
      </c>
      <c r="H1528" s="8" t="s">
        <v>26</v>
      </c>
      <c r="I1528" s="8" t="s">
        <v>36</v>
      </c>
      <c r="J1528" s="8" t="s">
        <v>2270</v>
      </c>
      <c r="K1528" s="8" t="s">
        <v>37</v>
      </c>
      <c r="L1528" s="8" t="s">
        <v>38</v>
      </c>
      <c r="M1528" s="8" t="s">
        <v>60</v>
      </c>
      <c r="N1528" s="11">
        <v>52331</v>
      </c>
      <c r="O1528" s="11">
        <v>40921</v>
      </c>
      <c r="P1528" s="12">
        <v>83</v>
      </c>
      <c r="Q1528" s="9">
        <v>1</v>
      </c>
      <c r="R1528" s="13">
        <v>21</v>
      </c>
      <c r="S1528" s="13">
        <v>1</v>
      </c>
      <c r="T1528" s="9">
        <v>33</v>
      </c>
      <c r="U1528" s="13">
        <v>98</v>
      </c>
      <c r="V1528" s="8" t="s">
        <v>31</v>
      </c>
      <c r="W1528" s="8"/>
      <c r="X1528" s="22">
        <f>IF(V1528="Yes",1,0)</f>
        <v>0</v>
      </c>
      <c r="Y1528" s="22">
        <f>IF(H1528="Active",0,1)</f>
        <v>0</v>
      </c>
    </row>
    <row r="1529" spans="1:25" ht="18" customHeight="1" x14ac:dyDescent="0.35">
      <c r="A1529" s="8" t="s">
        <v>1915</v>
      </c>
      <c r="B1529" s="8" t="s">
        <v>327</v>
      </c>
      <c r="C1529" s="8" t="s">
        <v>25</v>
      </c>
      <c r="D1529" s="9">
        <v>28</v>
      </c>
      <c r="E1529" s="8" t="s">
        <v>67</v>
      </c>
      <c r="F1529" s="8" t="s">
        <v>43</v>
      </c>
      <c r="G1529" s="10">
        <v>45453</v>
      </c>
      <c r="H1529" s="8" t="s">
        <v>26</v>
      </c>
      <c r="I1529" s="8" t="s">
        <v>27</v>
      </c>
      <c r="J1529" s="8" t="s">
        <v>48</v>
      </c>
      <c r="K1529" s="8" t="s">
        <v>55</v>
      </c>
      <c r="L1529" s="8" t="s">
        <v>68</v>
      </c>
      <c r="M1529" s="8" t="s">
        <v>45</v>
      </c>
      <c r="N1529" s="11">
        <v>231494</v>
      </c>
      <c r="O1529" s="11">
        <v>10948</v>
      </c>
      <c r="P1529" s="12">
        <v>91.3</v>
      </c>
      <c r="Q1529" s="9">
        <v>1</v>
      </c>
      <c r="R1529" s="13">
        <v>19</v>
      </c>
      <c r="S1529" s="13">
        <v>5</v>
      </c>
      <c r="T1529" s="9">
        <v>19</v>
      </c>
      <c r="U1529" s="13">
        <v>94</v>
      </c>
      <c r="V1529" s="8" t="s">
        <v>31</v>
      </c>
      <c r="W1529" s="8"/>
      <c r="X1529" s="22">
        <f>IF(V1529="Yes",1,0)</f>
        <v>0</v>
      </c>
      <c r="Y1529" s="22">
        <f>IF(H1529="Active",0,1)</f>
        <v>0</v>
      </c>
    </row>
    <row r="1530" spans="1:25" ht="18" customHeight="1" x14ac:dyDescent="0.35">
      <c r="A1530" s="8" t="s">
        <v>1949</v>
      </c>
      <c r="B1530" s="8" t="s">
        <v>98</v>
      </c>
      <c r="C1530" s="8" t="s">
        <v>34</v>
      </c>
      <c r="D1530" s="9">
        <v>25</v>
      </c>
      <c r="E1530" s="8" t="s">
        <v>2304</v>
      </c>
      <c r="F1530" s="8" t="s">
        <v>53</v>
      </c>
      <c r="G1530" s="10">
        <v>45453</v>
      </c>
      <c r="H1530" s="8" t="s">
        <v>26</v>
      </c>
      <c r="I1530" s="8" t="s">
        <v>2267</v>
      </c>
      <c r="J1530" s="8" t="s">
        <v>2269</v>
      </c>
      <c r="K1530" s="8" t="s">
        <v>73</v>
      </c>
      <c r="L1530" s="8" t="s">
        <v>87</v>
      </c>
      <c r="M1530" s="8" t="s">
        <v>39</v>
      </c>
      <c r="N1530" s="11">
        <v>109188</v>
      </c>
      <c r="O1530" s="11">
        <v>39102</v>
      </c>
      <c r="P1530" s="12">
        <v>90</v>
      </c>
      <c r="Q1530" s="9">
        <v>0</v>
      </c>
      <c r="R1530" s="13">
        <v>21</v>
      </c>
      <c r="S1530" s="13">
        <v>5</v>
      </c>
      <c r="T1530" s="9">
        <v>37</v>
      </c>
      <c r="U1530" s="13">
        <v>77</v>
      </c>
      <c r="V1530" s="8" t="s">
        <v>31</v>
      </c>
      <c r="W1530" s="8"/>
      <c r="X1530" s="22">
        <f>IF(V1530="Yes",1,0)</f>
        <v>0</v>
      </c>
      <c r="Y1530" s="22">
        <f>IF(H1530="Active",0,1)</f>
        <v>0</v>
      </c>
    </row>
    <row r="1531" spans="1:25" ht="18" customHeight="1" x14ac:dyDescent="0.35">
      <c r="A1531" s="14" t="s">
        <v>2054</v>
      </c>
      <c r="B1531" s="14" t="s">
        <v>384</v>
      </c>
      <c r="C1531" s="14" t="s">
        <v>25</v>
      </c>
      <c r="D1531" s="15">
        <v>49</v>
      </c>
      <c r="E1531" s="14" t="s">
        <v>67</v>
      </c>
      <c r="F1531" s="14" t="s">
        <v>76</v>
      </c>
      <c r="G1531" s="16">
        <v>45453</v>
      </c>
      <c r="H1531" s="14" t="s">
        <v>26</v>
      </c>
      <c r="I1531" s="14" t="s">
        <v>36</v>
      </c>
      <c r="J1531" s="14" t="s">
        <v>48</v>
      </c>
      <c r="K1531" s="14" t="s">
        <v>73</v>
      </c>
      <c r="L1531" s="14" t="s">
        <v>68</v>
      </c>
      <c r="M1531" s="14" t="s">
        <v>60</v>
      </c>
      <c r="N1531" s="17">
        <v>240308</v>
      </c>
      <c r="O1531" s="17">
        <v>32633</v>
      </c>
      <c r="P1531" s="18">
        <v>80.2</v>
      </c>
      <c r="Q1531" s="15">
        <v>9</v>
      </c>
      <c r="R1531" s="19">
        <v>18</v>
      </c>
      <c r="S1531" s="19">
        <v>1</v>
      </c>
      <c r="T1531" s="15">
        <v>36</v>
      </c>
      <c r="U1531" s="19">
        <v>73</v>
      </c>
      <c r="V1531" s="14" t="s">
        <v>69</v>
      </c>
      <c r="W1531" s="14"/>
      <c r="X1531" s="14">
        <f>IF(V1531="Yes",1,0)</f>
        <v>1</v>
      </c>
      <c r="Y1531" s="14">
        <f>IF(H1531="Active",0,1)</f>
        <v>0</v>
      </c>
    </row>
    <row r="1532" spans="1:25" ht="18" customHeight="1" x14ac:dyDescent="0.35">
      <c r="A1532" s="8" t="s">
        <v>1585</v>
      </c>
      <c r="B1532" s="8" t="s">
        <v>701</v>
      </c>
      <c r="C1532" s="8" t="s">
        <v>25</v>
      </c>
      <c r="D1532" s="9">
        <v>60</v>
      </c>
      <c r="E1532" s="8" t="s">
        <v>2304</v>
      </c>
      <c r="F1532" s="8" t="s">
        <v>53</v>
      </c>
      <c r="G1532" s="10">
        <v>45452</v>
      </c>
      <c r="H1532" s="8" t="s">
        <v>26</v>
      </c>
      <c r="I1532" s="8" t="s">
        <v>2267</v>
      </c>
      <c r="J1532" s="8" t="s">
        <v>2268</v>
      </c>
      <c r="K1532" s="8" t="s">
        <v>55</v>
      </c>
      <c r="L1532" s="8" t="s">
        <v>38</v>
      </c>
      <c r="M1532" s="8" t="s">
        <v>39</v>
      </c>
      <c r="N1532" s="11">
        <v>248657</v>
      </c>
      <c r="O1532" s="11">
        <v>24288</v>
      </c>
      <c r="P1532" s="12">
        <v>81.400000000000006</v>
      </c>
      <c r="Q1532" s="9">
        <v>0</v>
      </c>
      <c r="R1532" s="13">
        <v>9</v>
      </c>
      <c r="S1532" s="13">
        <v>4</v>
      </c>
      <c r="T1532" s="9">
        <v>27</v>
      </c>
      <c r="U1532" s="13">
        <v>63</v>
      </c>
      <c r="V1532" s="8" t="s">
        <v>31</v>
      </c>
      <c r="W1532" s="8"/>
      <c r="X1532" s="22">
        <f>IF(V1532="Yes",1,0)</f>
        <v>0</v>
      </c>
      <c r="Y1532" s="22">
        <f>IF(H1532="Active",0,1)</f>
        <v>0</v>
      </c>
    </row>
    <row r="1533" spans="1:25" ht="18" customHeight="1" x14ac:dyDescent="0.35">
      <c r="A1533" s="14" t="s">
        <v>823</v>
      </c>
      <c r="B1533" s="14" t="s">
        <v>267</v>
      </c>
      <c r="C1533" s="14" t="s">
        <v>34</v>
      </c>
      <c r="D1533" s="15">
        <v>37</v>
      </c>
      <c r="E1533" s="14" t="s">
        <v>63</v>
      </c>
      <c r="F1533" s="14" t="s">
        <v>72</v>
      </c>
      <c r="G1533" s="16">
        <v>45451</v>
      </c>
      <c r="H1533" s="14" t="s">
        <v>26</v>
      </c>
      <c r="I1533" s="14" t="s">
        <v>27</v>
      </c>
      <c r="J1533" s="14" t="s">
        <v>2270</v>
      </c>
      <c r="K1533" s="14" t="s">
        <v>55</v>
      </c>
      <c r="L1533" s="14" t="s">
        <v>44</v>
      </c>
      <c r="M1533" s="14" t="s">
        <v>64</v>
      </c>
      <c r="N1533" s="17">
        <v>128345</v>
      </c>
      <c r="O1533" s="17">
        <v>49865</v>
      </c>
      <c r="P1533" s="18">
        <v>84.9</v>
      </c>
      <c r="Q1533" s="15">
        <v>2</v>
      </c>
      <c r="R1533" s="19">
        <v>14</v>
      </c>
      <c r="S1533" s="19">
        <v>1</v>
      </c>
      <c r="T1533" s="15">
        <v>24</v>
      </c>
      <c r="U1533" s="19">
        <v>76</v>
      </c>
      <c r="V1533" s="14" t="s">
        <v>31</v>
      </c>
      <c r="W1533" s="14"/>
      <c r="X1533" s="14">
        <f>IF(V1533="Yes",1,0)</f>
        <v>0</v>
      </c>
      <c r="Y1533" s="14">
        <f>IF(H1533="Active",0,1)</f>
        <v>0</v>
      </c>
    </row>
    <row r="1534" spans="1:25" ht="18" customHeight="1" x14ac:dyDescent="0.35">
      <c r="A1534" s="14" t="s">
        <v>899</v>
      </c>
      <c r="B1534" s="14" t="s">
        <v>341</v>
      </c>
      <c r="C1534" s="14" t="s">
        <v>25</v>
      </c>
      <c r="D1534" s="15">
        <v>29</v>
      </c>
      <c r="E1534" s="14" t="s">
        <v>42</v>
      </c>
      <c r="F1534" s="14" t="s">
        <v>79</v>
      </c>
      <c r="G1534" s="16">
        <v>45450</v>
      </c>
      <c r="H1534" s="14" t="s">
        <v>26</v>
      </c>
      <c r="I1534" s="14" t="s">
        <v>2267</v>
      </c>
      <c r="J1534" s="14" t="s">
        <v>2269</v>
      </c>
      <c r="K1534" s="14" t="s">
        <v>55</v>
      </c>
      <c r="L1534" s="14" t="s">
        <v>38</v>
      </c>
      <c r="M1534" s="14" t="s">
        <v>30</v>
      </c>
      <c r="N1534" s="17">
        <v>116026</v>
      </c>
      <c r="O1534" s="17">
        <v>48099</v>
      </c>
      <c r="P1534" s="18">
        <v>82.7</v>
      </c>
      <c r="Q1534" s="15">
        <v>7</v>
      </c>
      <c r="R1534" s="19">
        <v>27</v>
      </c>
      <c r="S1534" s="19">
        <v>4</v>
      </c>
      <c r="T1534" s="15">
        <v>22</v>
      </c>
      <c r="U1534" s="19">
        <v>83</v>
      </c>
      <c r="V1534" s="14" t="s">
        <v>31</v>
      </c>
      <c r="W1534" s="14"/>
      <c r="X1534" s="14">
        <f>IF(V1534="Yes",1,0)</f>
        <v>0</v>
      </c>
      <c r="Y1534" s="14">
        <f>IF(H1534="Active",0,1)</f>
        <v>0</v>
      </c>
    </row>
    <row r="1535" spans="1:25" ht="18" customHeight="1" x14ac:dyDescent="0.35">
      <c r="A1535" s="8" t="s">
        <v>496</v>
      </c>
      <c r="B1535" s="8" t="s">
        <v>497</v>
      </c>
      <c r="C1535" s="8" t="s">
        <v>34</v>
      </c>
      <c r="D1535" s="9">
        <v>59</v>
      </c>
      <c r="E1535" s="8" t="s">
        <v>63</v>
      </c>
      <c r="F1535" s="8" t="s">
        <v>79</v>
      </c>
      <c r="G1535" s="10">
        <v>45449</v>
      </c>
      <c r="H1535" s="8" t="s">
        <v>26</v>
      </c>
      <c r="I1535" s="8" t="s">
        <v>36</v>
      </c>
      <c r="J1535" s="8" t="s">
        <v>48</v>
      </c>
      <c r="K1535" s="8" t="s">
        <v>73</v>
      </c>
      <c r="L1535" s="8" t="s">
        <v>44</v>
      </c>
      <c r="M1535" s="8" t="s">
        <v>45</v>
      </c>
      <c r="N1535" s="11">
        <v>135601</v>
      </c>
      <c r="O1535" s="11">
        <v>35449</v>
      </c>
      <c r="P1535" s="12">
        <v>89.2</v>
      </c>
      <c r="Q1535" s="9">
        <v>5</v>
      </c>
      <c r="R1535" s="13">
        <v>20</v>
      </c>
      <c r="S1535" s="13">
        <v>2</v>
      </c>
      <c r="T1535" s="9">
        <v>11</v>
      </c>
      <c r="U1535" s="13">
        <v>63</v>
      </c>
      <c r="V1535" s="8" t="s">
        <v>31</v>
      </c>
      <c r="W1535" s="8"/>
      <c r="X1535" s="22">
        <f>IF(V1535="Yes",1,0)</f>
        <v>0</v>
      </c>
      <c r="Y1535" s="22">
        <f>IF(H1535="Active",0,1)</f>
        <v>0</v>
      </c>
    </row>
    <row r="1536" spans="1:25" ht="18" customHeight="1" x14ac:dyDescent="0.35">
      <c r="A1536" s="14" t="s">
        <v>807</v>
      </c>
      <c r="B1536" s="14" t="s">
        <v>228</v>
      </c>
      <c r="C1536" s="14" t="s">
        <v>25</v>
      </c>
      <c r="D1536" s="15">
        <v>42</v>
      </c>
      <c r="E1536" s="14" t="s">
        <v>86</v>
      </c>
      <c r="F1536" s="14" t="s">
        <v>72</v>
      </c>
      <c r="G1536" s="16">
        <v>45449</v>
      </c>
      <c r="H1536" s="14" t="s">
        <v>26</v>
      </c>
      <c r="I1536" s="14" t="s">
        <v>2267</v>
      </c>
      <c r="J1536" s="14" t="s">
        <v>2269</v>
      </c>
      <c r="K1536" s="14" t="s">
        <v>73</v>
      </c>
      <c r="L1536" s="14" t="s">
        <v>56</v>
      </c>
      <c r="M1536" s="14" t="s">
        <v>64</v>
      </c>
      <c r="N1536" s="17">
        <v>39204</v>
      </c>
      <c r="O1536" s="17">
        <v>23256</v>
      </c>
      <c r="P1536" s="18">
        <v>90.4</v>
      </c>
      <c r="Q1536" s="15">
        <v>10</v>
      </c>
      <c r="R1536" s="19">
        <v>2</v>
      </c>
      <c r="S1536" s="19">
        <v>2</v>
      </c>
      <c r="T1536" s="15">
        <v>23</v>
      </c>
      <c r="U1536" s="19">
        <v>98</v>
      </c>
      <c r="V1536" s="14" t="s">
        <v>69</v>
      </c>
      <c r="W1536" s="14"/>
      <c r="X1536" s="14">
        <f>IF(V1536="Yes",1,0)</f>
        <v>1</v>
      </c>
      <c r="Y1536" s="14">
        <f>IF(H1536="Active",0,1)</f>
        <v>0</v>
      </c>
    </row>
    <row r="1537" spans="1:25" ht="18" customHeight="1" x14ac:dyDescent="0.35">
      <c r="A1537" s="14" t="s">
        <v>1056</v>
      </c>
      <c r="B1537" s="14" t="s">
        <v>138</v>
      </c>
      <c r="C1537" s="14" t="s">
        <v>25</v>
      </c>
      <c r="D1537" s="15">
        <v>33</v>
      </c>
      <c r="E1537" s="14" t="s">
        <v>93</v>
      </c>
      <c r="F1537" s="14" t="s">
        <v>90</v>
      </c>
      <c r="G1537" s="16">
        <v>45449</v>
      </c>
      <c r="H1537" s="14" t="s">
        <v>26</v>
      </c>
      <c r="I1537" s="14" t="s">
        <v>27</v>
      </c>
      <c r="J1537" s="14" t="s">
        <v>48</v>
      </c>
      <c r="K1537" s="14" t="s">
        <v>37</v>
      </c>
      <c r="L1537" s="14" t="s">
        <v>29</v>
      </c>
      <c r="M1537" s="14" t="s">
        <v>45</v>
      </c>
      <c r="N1537" s="17">
        <v>175663</v>
      </c>
      <c r="O1537" s="17">
        <v>31102</v>
      </c>
      <c r="P1537" s="18">
        <v>88.6</v>
      </c>
      <c r="Q1537" s="15">
        <v>7</v>
      </c>
      <c r="R1537" s="19">
        <v>25</v>
      </c>
      <c r="S1537" s="19">
        <v>4</v>
      </c>
      <c r="T1537" s="15">
        <v>7</v>
      </c>
      <c r="U1537" s="19">
        <v>69</v>
      </c>
      <c r="V1537" s="14" t="s">
        <v>31</v>
      </c>
      <c r="W1537" s="14"/>
      <c r="X1537" s="14">
        <f>IF(V1537="Yes",1,0)</f>
        <v>0</v>
      </c>
      <c r="Y1537" s="14">
        <f>IF(H1537="Active",0,1)</f>
        <v>0</v>
      </c>
    </row>
    <row r="1538" spans="1:25" ht="18" customHeight="1" x14ac:dyDescent="0.35">
      <c r="A1538" s="14" t="s">
        <v>1252</v>
      </c>
      <c r="B1538" s="14" t="s">
        <v>709</v>
      </c>
      <c r="C1538" s="14" t="s">
        <v>25</v>
      </c>
      <c r="D1538" s="15">
        <v>56</v>
      </c>
      <c r="E1538" s="14" t="s">
        <v>42</v>
      </c>
      <c r="F1538" s="14" t="s">
        <v>43</v>
      </c>
      <c r="G1538" s="16">
        <v>45448</v>
      </c>
      <c r="H1538" s="14" t="s">
        <v>26</v>
      </c>
      <c r="I1538" s="14" t="s">
        <v>27</v>
      </c>
      <c r="J1538" s="14" t="s">
        <v>80</v>
      </c>
      <c r="K1538" s="14" t="s">
        <v>2271</v>
      </c>
      <c r="L1538" s="14" t="s">
        <v>56</v>
      </c>
      <c r="M1538" s="14" t="s">
        <v>45</v>
      </c>
      <c r="N1538" s="17">
        <v>227924</v>
      </c>
      <c r="O1538" s="17">
        <v>6527</v>
      </c>
      <c r="P1538" s="18">
        <v>80.099999999999994</v>
      </c>
      <c r="Q1538" s="15">
        <v>7</v>
      </c>
      <c r="R1538" s="19">
        <v>30</v>
      </c>
      <c r="S1538" s="19">
        <v>2</v>
      </c>
      <c r="T1538" s="15">
        <v>10</v>
      </c>
      <c r="U1538" s="19">
        <v>79</v>
      </c>
      <c r="V1538" s="14" t="s">
        <v>31</v>
      </c>
      <c r="W1538" s="14"/>
      <c r="X1538" s="14">
        <f>IF(V1538="Yes",1,0)</f>
        <v>0</v>
      </c>
      <c r="Y1538" s="14">
        <f>IF(H1538="Active",0,1)</f>
        <v>0</v>
      </c>
    </row>
    <row r="1539" spans="1:25" ht="18" customHeight="1" x14ac:dyDescent="0.35">
      <c r="A1539" s="14" t="s">
        <v>2084</v>
      </c>
      <c r="B1539" s="14" t="s">
        <v>329</v>
      </c>
      <c r="C1539" s="14" t="s">
        <v>34</v>
      </c>
      <c r="D1539" s="15">
        <v>21</v>
      </c>
      <c r="E1539" s="14" t="s">
        <v>42</v>
      </c>
      <c r="F1539" s="14" t="s">
        <v>53</v>
      </c>
      <c r="G1539" s="16">
        <v>45448</v>
      </c>
      <c r="H1539" s="14" t="s">
        <v>26</v>
      </c>
      <c r="I1539" s="14" t="s">
        <v>27</v>
      </c>
      <c r="J1539" s="14" t="s">
        <v>2268</v>
      </c>
      <c r="K1539" s="14" t="s">
        <v>28</v>
      </c>
      <c r="L1539" s="14" t="s">
        <v>38</v>
      </c>
      <c r="M1539" s="14" t="s">
        <v>39</v>
      </c>
      <c r="N1539" s="17">
        <v>237140</v>
      </c>
      <c r="O1539" s="17">
        <v>28688</v>
      </c>
      <c r="P1539" s="18">
        <v>82.7</v>
      </c>
      <c r="Q1539" s="15">
        <v>1</v>
      </c>
      <c r="R1539" s="19">
        <v>10</v>
      </c>
      <c r="S1539" s="19">
        <v>4</v>
      </c>
      <c r="T1539" s="15">
        <v>11</v>
      </c>
      <c r="U1539" s="19">
        <v>87</v>
      </c>
      <c r="V1539" s="14" t="s">
        <v>31</v>
      </c>
      <c r="W1539" s="14"/>
      <c r="X1539" s="14">
        <f>IF(V1539="Yes",1,0)</f>
        <v>0</v>
      </c>
      <c r="Y1539" s="14">
        <f>IF(H1539="Active",0,1)</f>
        <v>0</v>
      </c>
    </row>
    <row r="1540" spans="1:25" ht="18" customHeight="1" x14ac:dyDescent="0.35">
      <c r="A1540" s="14" t="s">
        <v>183</v>
      </c>
      <c r="B1540" s="14" t="s">
        <v>184</v>
      </c>
      <c r="C1540" s="14" t="s">
        <v>25</v>
      </c>
      <c r="D1540" s="15">
        <v>38</v>
      </c>
      <c r="E1540" s="14" t="s">
        <v>109</v>
      </c>
      <c r="F1540" s="14" t="s">
        <v>53</v>
      </c>
      <c r="G1540" s="16">
        <v>45447</v>
      </c>
      <c r="H1540" s="14" t="s">
        <v>26</v>
      </c>
      <c r="I1540" s="14" t="s">
        <v>36</v>
      </c>
      <c r="J1540" s="14" t="s">
        <v>2270</v>
      </c>
      <c r="K1540" s="14" t="s">
        <v>73</v>
      </c>
      <c r="L1540" s="14" t="s">
        <v>49</v>
      </c>
      <c r="M1540" s="14" t="s">
        <v>45</v>
      </c>
      <c r="N1540" s="17">
        <v>186892</v>
      </c>
      <c r="O1540" s="17">
        <v>11340</v>
      </c>
      <c r="P1540" s="18">
        <v>96.5</v>
      </c>
      <c r="Q1540" s="15">
        <v>9</v>
      </c>
      <c r="R1540" s="19">
        <v>0</v>
      </c>
      <c r="S1540" s="19">
        <v>3</v>
      </c>
      <c r="T1540" s="15">
        <v>11</v>
      </c>
      <c r="U1540" s="19">
        <v>79</v>
      </c>
      <c r="V1540" s="14" t="s">
        <v>31</v>
      </c>
      <c r="W1540" s="14"/>
      <c r="X1540" s="14">
        <f>IF(V1540="Yes",1,0)</f>
        <v>0</v>
      </c>
      <c r="Y1540" s="14">
        <f>IF(H1540="Active",0,1)</f>
        <v>0</v>
      </c>
    </row>
    <row r="1541" spans="1:25" ht="18" customHeight="1" x14ac:dyDescent="0.35">
      <c r="A1541" s="14" t="s">
        <v>671</v>
      </c>
      <c r="B1541" s="14" t="s">
        <v>672</v>
      </c>
      <c r="C1541" s="14" t="s">
        <v>25</v>
      </c>
      <c r="D1541" s="15">
        <v>43</v>
      </c>
      <c r="E1541" s="14" t="s">
        <v>86</v>
      </c>
      <c r="F1541" s="14" t="s">
        <v>90</v>
      </c>
      <c r="G1541" s="16">
        <v>45447</v>
      </c>
      <c r="H1541" s="14" t="s">
        <v>26</v>
      </c>
      <c r="I1541" s="14" t="s">
        <v>27</v>
      </c>
      <c r="J1541" s="14" t="s">
        <v>48</v>
      </c>
      <c r="K1541" s="14" t="s">
        <v>2271</v>
      </c>
      <c r="L1541" s="14" t="s">
        <v>56</v>
      </c>
      <c r="M1541" s="14" t="s">
        <v>39</v>
      </c>
      <c r="N1541" s="17">
        <v>43334</v>
      </c>
      <c r="O1541" s="17">
        <v>33816</v>
      </c>
      <c r="P1541" s="18">
        <v>96.2</v>
      </c>
      <c r="Q1541" s="15">
        <v>2</v>
      </c>
      <c r="R1541" s="19">
        <v>5</v>
      </c>
      <c r="S1541" s="19">
        <v>5</v>
      </c>
      <c r="T1541" s="15">
        <v>20</v>
      </c>
      <c r="U1541" s="19">
        <v>71</v>
      </c>
      <c r="V1541" s="14" t="s">
        <v>31</v>
      </c>
      <c r="W1541" s="14"/>
      <c r="X1541" s="14">
        <f>IF(V1541="Yes",1,0)</f>
        <v>0</v>
      </c>
      <c r="Y1541" s="14">
        <f>IF(H1541="Active",0,1)</f>
        <v>0</v>
      </c>
    </row>
    <row r="1542" spans="1:25" ht="18" customHeight="1" x14ac:dyDescent="0.35">
      <c r="A1542" s="14" t="s">
        <v>1586</v>
      </c>
      <c r="B1542" s="14" t="s">
        <v>302</v>
      </c>
      <c r="C1542" s="14" t="s">
        <v>25</v>
      </c>
      <c r="D1542" s="15">
        <v>29</v>
      </c>
      <c r="E1542" s="14" t="s">
        <v>2303</v>
      </c>
      <c r="F1542" s="14" t="s">
        <v>35</v>
      </c>
      <c r="G1542" s="16">
        <v>45447</v>
      </c>
      <c r="H1542" s="14" t="s">
        <v>26</v>
      </c>
      <c r="I1542" s="14" t="s">
        <v>27</v>
      </c>
      <c r="J1542" s="14" t="s">
        <v>2268</v>
      </c>
      <c r="K1542" s="14" t="s">
        <v>55</v>
      </c>
      <c r="L1542" s="14" t="s">
        <v>29</v>
      </c>
      <c r="M1542" s="14" t="s">
        <v>64</v>
      </c>
      <c r="N1542" s="17">
        <v>180568</v>
      </c>
      <c r="O1542" s="17">
        <v>26271</v>
      </c>
      <c r="P1542" s="18">
        <v>82.3</v>
      </c>
      <c r="Q1542" s="15">
        <v>0</v>
      </c>
      <c r="R1542" s="19">
        <v>11</v>
      </c>
      <c r="S1542" s="19">
        <v>4</v>
      </c>
      <c r="T1542" s="15">
        <v>33</v>
      </c>
      <c r="U1542" s="19">
        <v>61</v>
      </c>
      <c r="V1542" s="14" t="s">
        <v>31</v>
      </c>
      <c r="W1542" s="14"/>
      <c r="X1542" s="14">
        <f>IF(V1542="Yes",1,0)</f>
        <v>0</v>
      </c>
      <c r="Y1542" s="14">
        <f>IF(H1542="Active",0,1)</f>
        <v>0</v>
      </c>
    </row>
    <row r="1543" spans="1:25" ht="18" customHeight="1" x14ac:dyDescent="0.35">
      <c r="A1543" s="14" t="s">
        <v>1420</v>
      </c>
      <c r="B1543" s="14" t="s">
        <v>526</v>
      </c>
      <c r="C1543" s="14" t="s">
        <v>25</v>
      </c>
      <c r="D1543" s="15">
        <v>45</v>
      </c>
      <c r="E1543" s="14" t="s">
        <v>2303</v>
      </c>
      <c r="F1543" s="14" t="s">
        <v>43</v>
      </c>
      <c r="G1543" s="16">
        <v>45446</v>
      </c>
      <c r="H1543" s="14" t="s">
        <v>26</v>
      </c>
      <c r="I1543" s="14" t="s">
        <v>2267</v>
      </c>
      <c r="J1543" s="14" t="s">
        <v>2270</v>
      </c>
      <c r="K1543" s="14" t="s">
        <v>2271</v>
      </c>
      <c r="L1543" s="14" t="s">
        <v>116</v>
      </c>
      <c r="M1543" s="14" t="s">
        <v>60</v>
      </c>
      <c r="N1543" s="17">
        <v>224507</v>
      </c>
      <c r="O1543" s="17">
        <v>15519</v>
      </c>
      <c r="P1543" s="18">
        <v>84.7</v>
      </c>
      <c r="Q1543" s="15">
        <v>10</v>
      </c>
      <c r="R1543" s="19">
        <v>27</v>
      </c>
      <c r="S1543" s="19">
        <v>1</v>
      </c>
      <c r="T1543" s="15">
        <v>27</v>
      </c>
      <c r="U1543" s="19">
        <v>82</v>
      </c>
      <c r="V1543" s="14" t="s">
        <v>31</v>
      </c>
      <c r="W1543" s="14"/>
      <c r="X1543" s="14">
        <f>IF(V1543="Yes",1,0)</f>
        <v>0</v>
      </c>
      <c r="Y1543" s="14">
        <f>IF(H1543="Active",0,1)</f>
        <v>0</v>
      </c>
    </row>
    <row r="1544" spans="1:25" ht="18" customHeight="1" x14ac:dyDescent="0.35">
      <c r="A1544" s="8" t="s">
        <v>1421</v>
      </c>
      <c r="B1544" s="8" t="s">
        <v>62</v>
      </c>
      <c r="C1544" s="8" t="s">
        <v>34</v>
      </c>
      <c r="D1544" s="9">
        <v>49</v>
      </c>
      <c r="E1544" s="8" t="s">
        <v>2304</v>
      </c>
      <c r="F1544" s="8" t="s">
        <v>35</v>
      </c>
      <c r="G1544" s="10">
        <v>45446</v>
      </c>
      <c r="H1544" s="8" t="s">
        <v>26</v>
      </c>
      <c r="I1544" s="8" t="s">
        <v>27</v>
      </c>
      <c r="J1544" s="8" t="s">
        <v>48</v>
      </c>
      <c r="K1544" s="8" t="s">
        <v>73</v>
      </c>
      <c r="L1544" s="8" t="s">
        <v>116</v>
      </c>
      <c r="M1544" s="8" t="s">
        <v>60</v>
      </c>
      <c r="N1544" s="11">
        <v>129603</v>
      </c>
      <c r="O1544" s="11">
        <v>41411</v>
      </c>
      <c r="P1544" s="12">
        <v>84.1</v>
      </c>
      <c r="Q1544" s="9">
        <v>5</v>
      </c>
      <c r="R1544" s="13">
        <v>10</v>
      </c>
      <c r="S1544" s="13">
        <v>5</v>
      </c>
      <c r="T1544" s="9">
        <v>36</v>
      </c>
      <c r="U1544" s="13">
        <v>89</v>
      </c>
      <c r="V1544" s="8" t="s">
        <v>31</v>
      </c>
      <c r="W1544" s="8"/>
      <c r="X1544" s="22">
        <f>IF(V1544="Yes",1,0)</f>
        <v>0</v>
      </c>
      <c r="Y1544" s="22">
        <f>IF(H1544="Active",0,1)</f>
        <v>0</v>
      </c>
    </row>
    <row r="1545" spans="1:25" ht="18" customHeight="1" x14ac:dyDescent="0.35">
      <c r="A1545" s="8" t="s">
        <v>1687</v>
      </c>
      <c r="B1545" s="8" t="s">
        <v>718</v>
      </c>
      <c r="C1545" s="8" t="s">
        <v>25</v>
      </c>
      <c r="D1545" s="9">
        <v>27</v>
      </c>
      <c r="E1545" s="8" t="s">
        <v>63</v>
      </c>
      <c r="F1545" s="8" t="s">
        <v>79</v>
      </c>
      <c r="G1545" s="10">
        <v>45446</v>
      </c>
      <c r="H1545" s="8" t="s">
        <v>26</v>
      </c>
      <c r="I1545" s="8" t="s">
        <v>27</v>
      </c>
      <c r="J1545" s="8" t="s">
        <v>2269</v>
      </c>
      <c r="K1545" s="8" t="s">
        <v>28</v>
      </c>
      <c r="L1545" s="8" t="s">
        <v>49</v>
      </c>
      <c r="M1545" s="8" t="s">
        <v>60</v>
      </c>
      <c r="N1545" s="11">
        <v>54484</v>
      </c>
      <c r="O1545" s="11">
        <v>19046</v>
      </c>
      <c r="P1545" s="12">
        <v>94.1</v>
      </c>
      <c r="Q1545" s="9">
        <v>7</v>
      </c>
      <c r="R1545" s="13">
        <v>1</v>
      </c>
      <c r="S1545" s="13">
        <v>2</v>
      </c>
      <c r="T1545" s="9">
        <v>9</v>
      </c>
      <c r="U1545" s="13">
        <v>94</v>
      </c>
      <c r="V1545" s="8" t="s">
        <v>31</v>
      </c>
      <c r="W1545" s="8"/>
      <c r="X1545" s="22">
        <f>IF(V1545="Yes",1,0)</f>
        <v>0</v>
      </c>
      <c r="Y1545" s="22">
        <f>IF(H1545="Active",0,1)</f>
        <v>0</v>
      </c>
    </row>
    <row r="1546" spans="1:25" ht="18" customHeight="1" x14ac:dyDescent="0.35">
      <c r="A1546" s="8" t="s">
        <v>1891</v>
      </c>
      <c r="B1546" s="8" t="s">
        <v>175</v>
      </c>
      <c r="C1546" s="8" t="s">
        <v>34</v>
      </c>
      <c r="D1546" s="9">
        <v>47</v>
      </c>
      <c r="E1546" s="8" t="s">
        <v>63</v>
      </c>
      <c r="F1546" s="8" t="s">
        <v>12</v>
      </c>
      <c r="G1546" s="10">
        <v>45445</v>
      </c>
      <c r="H1546" s="8" t="s">
        <v>26</v>
      </c>
      <c r="I1546" s="8" t="s">
        <v>2267</v>
      </c>
      <c r="J1546" s="8" t="s">
        <v>80</v>
      </c>
      <c r="K1546" s="8" t="s">
        <v>2271</v>
      </c>
      <c r="L1546" s="8" t="s">
        <v>56</v>
      </c>
      <c r="M1546" s="8" t="s">
        <v>64</v>
      </c>
      <c r="N1546" s="11">
        <v>234878</v>
      </c>
      <c r="O1546" s="11">
        <v>25737</v>
      </c>
      <c r="P1546" s="12">
        <v>99.6</v>
      </c>
      <c r="Q1546" s="9">
        <v>3</v>
      </c>
      <c r="R1546" s="13">
        <v>6</v>
      </c>
      <c r="S1546" s="13">
        <v>3</v>
      </c>
      <c r="T1546" s="9">
        <v>35</v>
      </c>
      <c r="U1546" s="13">
        <v>94</v>
      </c>
      <c r="V1546" s="8" t="s">
        <v>31</v>
      </c>
      <c r="W1546" s="8"/>
      <c r="X1546" s="22">
        <f>IF(V1546="Yes",1,0)</f>
        <v>0</v>
      </c>
      <c r="Y1546" s="22">
        <f>IF(H1546="Active",0,1)</f>
        <v>0</v>
      </c>
    </row>
    <row r="1547" spans="1:25" ht="18" customHeight="1" x14ac:dyDescent="0.35">
      <c r="A1547" s="8" t="s">
        <v>549</v>
      </c>
      <c r="B1547" s="8" t="s">
        <v>347</v>
      </c>
      <c r="C1547" s="8" t="s">
        <v>25</v>
      </c>
      <c r="D1547" s="9">
        <v>42</v>
      </c>
      <c r="E1547" s="8" t="s">
        <v>86</v>
      </c>
      <c r="F1547" s="8" t="s">
        <v>53</v>
      </c>
      <c r="G1547" s="10">
        <v>45443</v>
      </c>
      <c r="H1547" s="8" t="s">
        <v>26</v>
      </c>
      <c r="I1547" s="8" t="s">
        <v>27</v>
      </c>
      <c r="J1547" s="8" t="s">
        <v>2270</v>
      </c>
      <c r="K1547" s="8" t="s">
        <v>28</v>
      </c>
      <c r="L1547" s="8" t="s">
        <v>49</v>
      </c>
      <c r="M1547" s="8" t="s">
        <v>39</v>
      </c>
      <c r="N1547" s="11">
        <v>197217</v>
      </c>
      <c r="O1547" s="11">
        <v>21287</v>
      </c>
      <c r="P1547" s="12">
        <v>95.3</v>
      </c>
      <c r="Q1547" s="9">
        <v>1</v>
      </c>
      <c r="R1547" s="13">
        <v>16</v>
      </c>
      <c r="S1547" s="13">
        <v>2</v>
      </c>
      <c r="T1547" s="9">
        <v>2</v>
      </c>
      <c r="U1547" s="13">
        <v>78</v>
      </c>
      <c r="V1547" s="8" t="s">
        <v>31</v>
      </c>
      <c r="W1547" s="8"/>
      <c r="X1547" s="22">
        <f>IF(V1547="Yes",1,0)</f>
        <v>0</v>
      </c>
      <c r="Y1547" s="22">
        <f>IF(H1547="Active",0,1)</f>
        <v>0</v>
      </c>
    </row>
    <row r="1548" spans="1:25" ht="18" customHeight="1" x14ac:dyDescent="0.35">
      <c r="A1548" s="14" t="s">
        <v>758</v>
      </c>
      <c r="B1548" s="14" t="s">
        <v>661</v>
      </c>
      <c r="C1548" s="14" t="s">
        <v>25</v>
      </c>
      <c r="D1548" s="15">
        <v>54</v>
      </c>
      <c r="E1548" s="14" t="s">
        <v>42</v>
      </c>
      <c r="F1548" s="14" t="s">
        <v>79</v>
      </c>
      <c r="G1548" s="16">
        <v>45443</v>
      </c>
      <c r="H1548" s="14" t="s">
        <v>26</v>
      </c>
      <c r="I1548" s="14" t="s">
        <v>27</v>
      </c>
      <c r="J1548" s="14" t="s">
        <v>2270</v>
      </c>
      <c r="K1548" s="14" t="s">
        <v>73</v>
      </c>
      <c r="L1548" s="14" t="s">
        <v>29</v>
      </c>
      <c r="M1548" s="14" t="s">
        <v>39</v>
      </c>
      <c r="N1548" s="17">
        <v>206761</v>
      </c>
      <c r="O1548" s="17">
        <v>16944</v>
      </c>
      <c r="P1548" s="18">
        <v>85.8</v>
      </c>
      <c r="Q1548" s="15">
        <v>1</v>
      </c>
      <c r="R1548" s="19">
        <v>25</v>
      </c>
      <c r="S1548" s="19">
        <v>3</v>
      </c>
      <c r="T1548" s="15">
        <v>33</v>
      </c>
      <c r="U1548" s="19">
        <v>99</v>
      </c>
      <c r="V1548" s="14" t="s">
        <v>31</v>
      </c>
      <c r="W1548" s="14"/>
      <c r="X1548" s="14">
        <f>IF(V1548="Yes",1,0)</f>
        <v>0</v>
      </c>
      <c r="Y1548" s="14">
        <f>IF(H1548="Active",0,1)</f>
        <v>0</v>
      </c>
    </row>
    <row r="1549" spans="1:25" ht="18" customHeight="1" x14ac:dyDescent="0.35">
      <c r="A1549" s="14" t="s">
        <v>1428</v>
      </c>
      <c r="B1549" s="14" t="s">
        <v>222</v>
      </c>
      <c r="C1549" s="14" t="s">
        <v>34</v>
      </c>
      <c r="D1549" s="15">
        <v>46</v>
      </c>
      <c r="E1549" s="14" t="s">
        <v>42</v>
      </c>
      <c r="F1549" s="14" t="s">
        <v>35</v>
      </c>
      <c r="G1549" s="16">
        <v>45443</v>
      </c>
      <c r="H1549" s="14" t="s">
        <v>26</v>
      </c>
      <c r="I1549" s="14" t="s">
        <v>36</v>
      </c>
      <c r="J1549" s="14" t="s">
        <v>2270</v>
      </c>
      <c r="K1549" s="14" t="s">
        <v>37</v>
      </c>
      <c r="L1549" s="14" t="s">
        <v>29</v>
      </c>
      <c r="M1549" s="14" t="s">
        <v>45</v>
      </c>
      <c r="N1549" s="17">
        <v>91575</v>
      </c>
      <c r="O1549" s="17">
        <v>49674</v>
      </c>
      <c r="P1549" s="18">
        <v>97.2</v>
      </c>
      <c r="Q1549" s="15">
        <v>2</v>
      </c>
      <c r="R1549" s="19">
        <v>15</v>
      </c>
      <c r="S1549" s="19">
        <v>1</v>
      </c>
      <c r="T1549" s="15">
        <v>12</v>
      </c>
      <c r="U1549" s="19">
        <v>76</v>
      </c>
      <c r="V1549" s="14" t="s">
        <v>31</v>
      </c>
      <c r="W1549" s="14"/>
      <c r="X1549" s="14">
        <f>IF(V1549="Yes",1,0)</f>
        <v>0</v>
      </c>
      <c r="Y1549" s="14">
        <f>IF(H1549="Active",0,1)</f>
        <v>0</v>
      </c>
    </row>
    <row r="1550" spans="1:25" ht="18" customHeight="1" x14ac:dyDescent="0.35">
      <c r="A1550" s="8" t="s">
        <v>1833</v>
      </c>
      <c r="B1550" s="8" t="s">
        <v>587</v>
      </c>
      <c r="C1550" s="8" t="s">
        <v>25</v>
      </c>
      <c r="D1550" s="9">
        <v>43</v>
      </c>
      <c r="E1550" s="8" t="s">
        <v>86</v>
      </c>
      <c r="F1550" s="8" t="s">
        <v>53</v>
      </c>
      <c r="G1550" s="10">
        <v>45443</v>
      </c>
      <c r="H1550" s="8" t="s">
        <v>26</v>
      </c>
      <c r="I1550" s="8" t="s">
        <v>36</v>
      </c>
      <c r="J1550" s="8" t="s">
        <v>80</v>
      </c>
      <c r="K1550" s="8" t="s">
        <v>37</v>
      </c>
      <c r="L1550" s="8" t="s">
        <v>38</v>
      </c>
      <c r="M1550" s="8" t="s">
        <v>60</v>
      </c>
      <c r="N1550" s="11">
        <v>42518</v>
      </c>
      <c r="O1550" s="11">
        <v>28195</v>
      </c>
      <c r="P1550" s="12">
        <v>80.099999999999994</v>
      </c>
      <c r="Q1550" s="9">
        <v>6</v>
      </c>
      <c r="R1550" s="13">
        <v>8</v>
      </c>
      <c r="S1550" s="13">
        <v>2</v>
      </c>
      <c r="T1550" s="9">
        <v>17</v>
      </c>
      <c r="U1550" s="13">
        <v>65</v>
      </c>
      <c r="V1550" s="8" t="s">
        <v>31</v>
      </c>
      <c r="W1550" s="8"/>
      <c r="X1550" s="22">
        <f>IF(V1550="Yes",1,0)</f>
        <v>0</v>
      </c>
      <c r="Y1550" s="22">
        <f>IF(H1550="Active",0,1)</f>
        <v>0</v>
      </c>
    </row>
    <row r="1551" spans="1:25" ht="18" customHeight="1" x14ac:dyDescent="0.35">
      <c r="A1551" s="14" t="s">
        <v>2058</v>
      </c>
      <c r="B1551" s="14" t="s">
        <v>248</v>
      </c>
      <c r="C1551" s="14" t="s">
        <v>25</v>
      </c>
      <c r="D1551" s="15">
        <v>35</v>
      </c>
      <c r="E1551" s="14" t="s">
        <v>93</v>
      </c>
      <c r="F1551" s="14" t="s">
        <v>12</v>
      </c>
      <c r="G1551" s="16">
        <v>45443</v>
      </c>
      <c r="H1551" s="14" t="s">
        <v>26</v>
      </c>
      <c r="I1551" s="14" t="s">
        <v>36</v>
      </c>
      <c r="J1551" s="14" t="s">
        <v>2268</v>
      </c>
      <c r="K1551" s="14" t="s">
        <v>2271</v>
      </c>
      <c r="L1551" s="14" t="s">
        <v>56</v>
      </c>
      <c r="M1551" s="14" t="s">
        <v>30</v>
      </c>
      <c r="N1551" s="17">
        <v>198454</v>
      </c>
      <c r="O1551" s="17">
        <v>24315</v>
      </c>
      <c r="P1551" s="18">
        <v>97.3</v>
      </c>
      <c r="Q1551" s="15">
        <v>9</v>
      </c>
      <c r="R1551" s="19">
        <v>12</v>
      </c>
      <c r="S1551" s="19">
        <v>1</v>
      </c>
      <c r="T1551" s="15">
        <v>10</v>
      </c>
      <c r="U1551" s="19">
        <v>64</v>
      </c>
      <c r="V1551" s="14" t="s">
        <v>31</v>
      </c>
      <c r="W1551" s="14"/>
      <c r="X1551" s="14">
        <f>IF(V1551="Yes",1,0)</f>
        <v>0</v>
      </c>
      <c r="Y1551" s="14">
        <f>IF(H1551="Active",0,1)</f>
        <v>0</v>
      </c>
    </row>
    <row r="1552" spans="1:25" ht="18" customHeight="1" x14ac:dyDescent="0.35">
      <c r="A1552" s="14" t="s">
        <v>32</v>
      </c>
      <c r="B1552" s="14" t="s">
        <v>33</v>
      </c>
      <c r="C1552" s="14" t="s">
        <v>34</v>
      </c>
      <c r="D1552" s="15">
        <v>23</v>
      </c>
      <c r="E1552" s="14" t="s">
        <v>2303</v>
      </c>
      <c r="F1552" s="14" t="s">
        <v>35</v>
      </c>
      <c r="G1552" s="16">
        <v>45442</v>
      </c>
      <c r="H1552" s="14" t="s">
        <v>26</v>
      </c>
      <c r="I1552" s="14" t="s">
        <v>36</v>
      </c>
      <c r="J1552" s="14" t="s">
        <v>2268</v>
      </c>
      <c r="K1552" s="14" t="s">
        <v>37</v>
      </c>
      <c r="L1552" s="14" t="s">
        <v>38</v>
      </c>
      <c r="M1552" s="14" t="s">
        <v>39</v>
      </c>
      <c r="N1552" s="17">
        <v>173829</v>
      </c>
      <c r="O1552" s="17">
        <v>7786</v>
      </c>
      <c r="P1552" s="18">
        <v>84.1</v>
      </c>
      <c r="Q1552" s="15">
        <v>4</v>
      </c>
      <c r="R1552" s="19">
        <v>11</v>
      </c>
      <c r="S1552" s="19">
        <v>2</v>
      </c>
      <c r="T1552" s="15">
        <v>36</v>
      </c>
      <c r="U1552" s="19">
        <v>92</v>
      </c>
      <c r="V1552" s="14" t="s">
        <v>31</v>
      </c>
      <c r="W1552" s="14"/>
      <c r="X1552" s="14">
        <f>IF(V1552="Yes",1,0)</f>
        <v>0</v>
      </c>
      <c r="Y1552" s="14">
        <f>IF(H1552="Active",0,1)</f>
        <v>0</v>
      </c>
    </row>
    <row r="1553" spans="1:25" ht="18" customHeight="1" x14ac:dyDescent="0.35">
      <c r="A1553" s="8" t="s">
        <v>1433</v>
      </c>
      <c r="B1553" s="8" t="s">
        <v>399</v>
      </c>
      <c r="C1553" s="8" t="s">
        <v>34</v>
      </c>
      <c r="D1553" s="9">
        <v>29</v>
      </c>
      <c r="E1553" s="8" t="s">
        <v>93</v>
      </c>
      <c r="F1553" s="8" t="s">
        <v>90</v>
      </c>
      <c r="G1553" s="10">
        <v>45442</v>
      </c>
      <c r="H1553" s="8" t="s">
        <v>26</v>
      </c>
      <c r="I1553" s="8" t="s">
        <v>27</v>
      </c>
      <c r="J1553" s="8" t="s">
        <v>2270</v>
      </c>
      <c r="K1553" s="8" t="s">
        <v>37</v>
      </c>
      <c r="L1553" s="8" t="s">
        <v>68</v>
      </c>
      <c r="M1553" s="8" t="s">
        <v>64</v>
      </c>
      <c r="N1553" s="11">
        <v>181692</v>
      </c>
      <c r="O1553" s="11">
        <v>32976</v>
      </c>
      <c r="P1553" s="12">
        <v>84.2</v>
      </c>
      <c r="Q1553" s="9">
        <v>2</v>
      </c>
      <c r="R1553" s="13">
        <v>15</v>
      </c>
      <c r="S1553" s="13">
        <v>5</v>
      </c>
      <c r="T1553" s="9">
        <v>30</v>
      </c>
      <c r="U1553" s="13">
        <v>86</v>
      </c>
      <c r="V1553" s="8" t="s">
        <v>31</v>
      </c>
      <c r="W1553" s="8"/>
      <c r="X1553" s="22">
        <f>IF(V1553="Yes",1,0)</f>
        <v>0</v>
      </c>
      <c r="Y1553" s="22">
        <f>IF(H1553="Active",0,1)</f>
        <v>0</v>
      </c>
    </row>
    <row r="1554" spans="1:25" ht="18" customHeight="1" x14ac:dyDescent="0.35">
      <c r="A1554" s="8" t="s">
        <v>696</v>
      </c>
      <c r="B1554" s="8" t="s">
        <v>347</v>
      </c>
      <c r="C1554" s="8" t="s">
        <v>34</v>
      </c>
      <c r="D1554" s="9">
        <v>21</v>
      </c>
      <c r="E1554" s="8" t="s">
        <v>93</v>
      </c>
      <c r="F1554" s="8" t="s">
        <v>53</v>
      </c>
      <c r="G1554" s="10">
        <v>45441</v>
      </c>
      <c r="H1554" s="8" t="s">
        <v>26</v>
      </c>
      <c r="I1554" s="8" t="s">
        <v>36</v>
      </c>
      <c r="J1554" s="8" t="s">
        <v>48</v>
      </c>
      <c r="K1554" s="8" t="s">
        <v>55</v>
      </c>
      <c r="L1554" s="8" t="s">
        <v>38</v>
      </c>
      <c r="M1554" s="8" t="s">
        <v>39</v>
      </c>
      <c r="N1554" s="11">
        <v>131448</v>
      </c>
      <c r="O1554" s="11">
        <v>19260</v>
      </c>
      <c r="P1554" s="12">
        <v>87.5</v>
      </c>
      <c r="Q1554" s="9">
        <v>9</v>
      </c>
      <c r="R1554" s="13">
        <v>3</v>
      </c>
      <c r="S1554" s="13">
        <v>2</v>
      </c>
      <c r="T1554" s="9">
        <v>29</v>
      </c>
      <c r="U1554" s="13">
        <v>82</v>
      </c>
      <c r="V1554" s="8" t="s">
        <v>31</v>
      </c>
      <c r="W1554" s="8"/>
      <c r="X1554" s="22">
        <f>IF(V1554="Yes",1,0)</f>
        <v>0</v>
      </c>
      <c r="Y1554" s="22">
        <f>IF(H1554="Active",0,1)</f>
        <v>0</v>
      </c>
    </row>
    <row r="1555" spans="1:25" ht="18" customHeight="1" x14ac:dyDescent="0.35">
      <c r="A1555" s="14" t="s">
        <v>1076</v>
      </c>
      <c r="B1555" s="14" t="s">
        <v>403</v>
      </c>
      <c r="C1555" s="14" t="s">
        <v>34</v>
      </c>
      <c r="D1555" s="15">
        <v>57</v>
      </c>
      <c r="E1555" s="14" t="s">
        <v>86</v>
      </c>
      <c r="F1555" s="14" t="s">
        <v>53</v>
      </c>
      <c r="G1555" s="16">
        <v>45441</v>
      </c>
      <c r="H1555" s="14" t="s">
        <v>26</v>
      </c>
      <c r="I1555" s="14" t="s">
        <v>27</v>
      </c>
      <c r="J1555" s="14" t="s">
        <v>2269</v>
      </c>
      <c r="K1555" s="14" t="s">
        <v>2271</v>
      </c>
      <c r="L1555" s="14" t="s">
        <v>44</v>
      </c>
      <c r="M1555" s="14" t="s">
        <v>60</v>
      </c>
      <c r="N1555" s="17">
        <v>236280</v>
      </c>
      <c r="O1555" s="17">
        <v>29523</v>
      </c>
      <c r="P1555" s="18">
        <v>99.4</v>
      </c>
      <c r="Q1555" s="15">
        <v>7</v>
      </c>
      <c r="R1555" s="19">
        <v>21</v>
      </c>
      <c r="S1555" s="19">
        <v>3</v>
      </c>
      <c r="T1555" s="15">
        <v>30</v>
      </c>
      <c r="U1555" s="19">
        <v>84</v>
      </c>
      <c r="V1555" s="14" t="s">
        <v>31</v>
      </c>
      <c r="W1555" s="14"/>
      <c r="X1555" s="14">
        <f>IF(V1555="Yes",1,0)</f>
        <v>0</v>
      </c>
      <c r="Y1555" s="14">
        <f>IF(H1555="Active",0,1)</f>
        <v>0</v>
      </c>
    </row>
    <row r="1556" spans="1:25" ht="18" customHeight="1" x14ac:dyDescent="0.35">
      <c r="A1556" s="8" t="s">
        <v>1166</v>
      </c>
      <c r="B1556" s="8" t="s">
        <v>232</v>
      </c>
      <c r="C1556" s="8" t="s">
        <v>34</v>
      </c>
      <c r="D1556" s="9">
        <v>56</v>
      </c>
      <c r="E1556" s="8" t="s">
        <v>52</v>
      </c>
      <c r="F1556" s="8" t="s">
        <v>76</v>
      </c>
      <c r="G1556" s="10">
        <v>45441</v>
      </c>
      <c r="H1556" s="8" t="s">
        <v>26</v>
      </c>
      <c r="I1556" s="8" t="s">
        <v>2267</v>
      </c>
      <c r="J1556" s="8" t="s">
        <v>2268</v>
      </c>
      <c r="K1556" s="8" t="s">
        <v>73</v>
      </c>
      <c r="L1556" s="8" t="s">
        <v>49</v>
      </c>
      <c r="M1556" s="8" t="s">
        <v>64</v>
      </c>
      <c r="N1556" s="11">
        <v>147047</v>
      </c>
      <c r="O1556" s="11">
        <v>18139</v>
      </c>
      <c r="P1556" s="12">
        <v>96.9</v>
      </c>
      <c r="Q1556" s="9">
        <v>8</v>
      </c>
      <c r="R1556" s="13">
        <v>6</v>
      </c>
      <c r="S1556" s="13">
        <v>3</v>
      </c>
      <c r="T1556" s="9">
        <v>5</v>
      </c>
      <c r="U1556" s="13">
        <v>84</v>
      </c>
      <c r="V1556" s="8" t="s">
        <v>31</v>
      </c>
      <c r="W1556" s="8"/>
      <c r="X1556" s="22">
        <f>IF(V1556="Yes",1,0)</f>
        <v>0</v>
      </c>
      <c r="Y1556" s="22">
        <f>IF(H1556="Active",0,1)</f>
        <v>0</v>
      </c>
    </row>
    <row r="1557" spans="1:25" ht="18" customHeight="1" x14ac:dyDescent="0.35">
      <c r="A1557" s="8" t="s">
        <v>2227</v>
      </c>
      <c r="B1557" s="8" t="s">
        <v>308</v>
      </c>
      <c r="C1557" s="8" t="s">
        <v>25</v>
      </c>
      <c r="D1557" s="9">
        <v>46</v>
      </c>
      <c r="E1557" s="8" t="s">
        <v>52</v>
      </c>
      <c r="F1557" s="8" t="s">
        <v>53</v>
      </c>
      <c r="G1557" s="10">
        <v>45441</v>
      </c>
      <c r="H1557" s="8" t="s">
        <v>26</v>
      </c>
      <c r="I1557" s="8" t="s">
        <v>27</v>
      </c>
      <c r="J1557" s="8" t="s">
        <v>2270</v>
      </c>
      <c r="K1557" s="8" t="s">
        <v>28</v>
      </c>
      <c r="L1557" s="8" t="s">
        <v>116</v>
      </c>
      <c r="M1557" s="8" t="s">
        <v>60</v>
      </c>
      <c r="N1557" s="11">
        <v>43946</v>
      </c>
      <c r="O1557" s="11">
        <v>15826</v>
      </c>
      <c r="P1557" s="12">
        <v>85.8</v>
      </c>
      <c r="Q1557" s="9">
        <v>10</v>
      </c>
      <c r="R1557" s="13">
        <v>14</v>
      </c>
      <c r="S1557" s="13">
        <v>1</v>
      </c>
      <c r="T1557" s="9">
        <v>37</v>
      </c>
      <c r="U1557" s="13">
        <v>73</v>
      </c>
      <c r="V1557" s="8" t="s">
        <v>31</v>
      </c>
      <c r="W1557" s="8"/>
      <c r="X1557" s="22">
        <f>IF(V1557="Yes",1,0)</f>
        <v>0</v>
      </c>
      <c r="Y1557" s="22">
        <f>IF(H1557="Active",0,1)</f>
        <v>0</v>
      </c>
    </row>
    <row r="1558" spans="1:25" ht="18" customHeight="1" x14ac:dyDescent="0.35">
      <c r="A1558" s="14" t="s">
        <v>1112</v>
      </c>
      <c r="B1558" s="14" t="s">
        <v>526</v>
      </c>
      <c r="C1558" s="14" t="s">
        <v>25</v>
      </c>
      <c r="D1558" s="15">
        <v>27</v>
      </c>
      <c r="E1558" s="14" t="s">
        <v>93</v>
      </c>
      <c r="F1558" s="14" t="s">
        <v>12</v>
      </c>
      <c r="G1558" s="16">
        <v>45440</v>
      </c>
      <c r="H1558" s="14" t="s">
        <v>26</v>
      </c>
      <c r="I1558" s="14" t="s">
        <v>36</v>
      </c>
      <c r="J1558" s="14" t="s">
        <v>2268</v>
      </c>
      <c r="K1558" s="14" t="s">
        <v>55</v>
      </c>
      <c r="L1558" s="14" t="s">
        <v>49</v>
      </c>
      <c r="M1558" s="14" t="s">
        <v>30</v>
      </c>
      <c r="N1558" s="17">
        <v>179911</v>
      </c>
      <c r="O1558" s="17">
        <v>13066</v>
      </c>
      <c r="P1558" s="18">
        <v>98.1</v>
      </c>
      <c r="Q1558" s="15">
        <v>4</v>
      </c>
      <c r="R1558" s="19">
        <v>8</v>
      </c>
      <c r="S1558" s="19">
        <v>2</v>
      </c>
      <c r="T1558" s="15">
        <v>37</v>
      </c>
      <c r="U1558" s="19">
        <v>68</v>
      </c>
      <c r="V1558" s="14" t="s">
        <v>31</v>
      </c>
      <c r="W1558" s="14"/>
      <c r="X1558" s="14">
        <f>IF(V1558="Yes",1,0)</f>
        <v>0</v>
      </c>
      <c r="Y1558" s="14">
        <f>IF(H1558="Active",0,1)</f>
        <v>0</v>
      </c>
    </row>
    <row r="1559" spans="1:25" ht="18" customHeight="1" x14ac:dyDescent="0.35">
      <c r="A1559" s="8" t="s">
        <v>174</v>
      </c>
      <c r="B1559" s="8" t="s">
        <v>175</v>
      </c>
      <c r="C1559" s="8" t="s">
        <v>25</v>
      </c>
      <c r="D1559" s="9">
        <v>50</v>
      </c>
      <c r="E1559" s="8" t="s">
        <v>42</v>
      </c>
      <c r="F1559" s="8" t="s">
        <v>35</v>
      </c>
      <c r="G1559" s="10">
        <v>45439</v>
      </c>
      <c r="H1559" s="8" t="s">
        <v>26</v>
      </c>
      <c r="I1559" s="8" t="s">
        <v>27</v>
      </c>
      <c r="J1559" s="8" t="s">
        <v>2269</v>
      </c>
      <c r="K1559" s="8" t="s">
        <v>55</v>
      </c>
      <c r="L1559" s="8" t="s">
        <v>56</v>
      </c>
      <c r="M1559" s="8" t="s">
        <v>60</v>
      </c>
      <c r="N1559" s="11">
        <v>91540</v>
      </c>
      <c r="O1559" s="11">
        <v>30204</v>
      </c>
      <c r="P1559" s="12">
        <v>91.8</v>
      </c>
      <c r="Q1559" s="9">
        <v>6</v>
      </c>
      <c r="R1559" s="13">
        <v>12</v>
      </c>
      <c r="S1559" s="13">
        <v>5</v>
      </c>
      <c r="T1559" s="9">
        <v>34</v>
      </c>
      <c r="U1559" s="13">
        <v>60</v>
      </c>
      <c r="V1559" s="8" t="s">
        <v>31</v>
      </c>
      <c r="W1559" s="8"/>
      <c r="X1559" s="22">
        <f>IF(V1559="Yes",1,0)</f>
        <v>0</v>
      </c>
      <c r="Y1559" s="22">
        <f>IF(H1559="Active",0,1)</f>
        <v>0</v>
      </c>
    </row>
    <row r="1560" spans="1:25" ht="18" customHeight="1" x14ac:dyDescent="0.35">
      <c r="A1560" s="14" t="s">
        <v>400</v>
      </c>
      <c r="B1560" s="14" t="s">
        <v>362</v>
      </c>
      <c r="C1560" s="14" t="s">
        <v>25</v>
      </c>
      <c r="D1560" s="15">
        <v>38</v>
      </c>
      <c r="E1560" s="14" t="s">
        <v>86</v>
      </c>
      <c r="F1560" s="14" t="s">
        <v>72</v>
      </c>
      <c r="G1560" s="16">
        <v>45439</v>
      </c>
      <c r="H1560" s="14" t="s">
        <v>26</v>
      </c>
      <c r="I1560" s="14" t="s">
        <v>27</v>
      </c>
      <c r="J1560" s="14" t="s">
        <v>2270</v>
      </c>
      <c r="K1560" s="14" t="s">
        <v>55</v>
      </c>
      <c r="L1560" s="14" t="s">
        <v>56</v>
      </c>
      <c r="M1560" s="14" t="s">
        <v>60</v>
      </c>
      <c r="N1560" s="17">
        <v>166154</v>
      </c>
      <c r="O1560" s="17">
        <v>29844</v>
      </c>
      <c r="P1560" s="18">
        <v>93.5</v>
      </c>
      <c r="Q1560" s="15">
        <v>10</v>
      </c>
      <c r="R1560" s="19">
        <v>13</v>
      </c>
      <c r="S1560" s="19">
        <v>5</v>
      </c>
      <c r="T1560" s="15">
        <v>7</v>
      </c>
      <c r="U1560" s="19">
        <v>66</v>
      </c>
      <c r="V1560" s="14" t="s">
        <v>31</v>
      </c>
      <c r="W1560" s="14"/>
      <c r="X1560" s="14">
        <f>IF(V1560="Yes",1,0)</f>
        <v>0</v>
      </c>
      <c r="Y1560" s="14">
        <f>IF(H1560="Active",0,1)</f>
        <v>0</v>
      </c>
    </row>
    <row r="1561" spans="1:25" ht="18" customHeight="1" x14ac:dyDescent="0.35">
      <c r="A1561" s="14" t="s">
        <v>487</v>
      </c>
      <c r="B1561" s="14" t="s">
        <v>224</v>
      </c>
      <c r="C1561" s="14" t="s">
        <v>34</v>
      </c>
      <c r="D1561" s="15">
        <v>33</v>
      </c>
      <c r="E1561" s="14" t="s">
        <v>42</v>
      </c>
      <c r="F1561" s="14" t="s">
        <v>79</v>
      </c>
      <c r="G1561" s="16">
        <v>45439</v>
      </c>
      <c r="H1561" s="14" t="s">
        <v>54</v>
      </c>
      <c r="I1561" s="14" t="s">
        <v>2267</v>
      </c>
      <c r="J1561" s="14" t="s">
        <v>48</v>
      </c>
      <c r="K1561" s="14" t="s">
        <v>28</v>
      </c>
      <c r="L1561" s="14" t="s">
        <v>44</v>
      </c>
      <c r="M1561" s="14" t="s">
        <v>30</v>
      </c>
      <c r="N1561" s="17">
        <v>51287</v>
      </c>
      <c r="O1561" s="17">
        <v>11968</v>
      </c>
      <c r="P1561" s="18">
        <v>87.7</v>
      </c>
      <c r="Q1561" s="15">
        <v>7</v>
      </c>
      <c r="R1561" s="19">
        <v>20</v>
      </c>
      <c r="S1561" s="19">
        <v>1</v>
      </c>
      <c r="T1561" s="15">
        <v>24</v>
      </c>
      <c r="U1561" s="19">
        <v>96</v>
      </c>
      <c r="V1561" s="14" t="s">
        <v>31</v>
      </c>
      <c r="W1561" s="14" t="s">
        <v>57</v>
      </c>
      <c r="X1561" s="14">
        <f>IF(V1561="Yes",1,0)</f>
        <v>0</v>
      </c>
      <c r="Y1561" s="14">
        <f>IF(H1561="Active",0,1)</f>
        <v>1</v>
      </c>
    </row>
    <row r="1562" spans="1:25" ht="18" customHeight="1" x14ac:dyDescent="0.35">
      <c r="A1562" s="14" t="s">
        <v>500</v>
      </c>
      <c r="B1562" s="14" t="s">
        <v>258</v>
      </c>
      <c r="C1562" s="14" t="s">
        <v>34</v>
      </c>
      <c r="D1562" s="15">
        <v>36</v>
      </c>
      <c r="E1562" s="14" t="s">
        <v>67</v>
      </c>
      <c r="F1562" s="14" t="s">
        <v>72</v>
      </c>
      <c r="G1562" s="16">
        <v>45439</v>
      </c>
      <c r="H1562" s="14" t="s">
        <v>26</v>
      </c>
      <c r="I1562" s="14" t="s">
        <v>36</v>
      </c>
      <c r="J1562" s="14" t="s">
        <v>80</v>
      </c>
      <c r="K1562" s="14" t="s">
        <v>73</v>
      </c>
      <c r="L1562" s="14" t="s">
        <v>44</v>
      </c>
      <c r="M1562" s="14" t="s">
        <v>45</v>
      </c>
      <c r="N1562" s="17">
        <v>121015</v>
      </c>
      <c r="O1562" s="17">
        <v>16760</v>
      </c>
      <c r="P1562" s="18">
        <v>90.4</v>
      </c>
      <c r="Q1562" s="15">
        <v>2</v>
      </c>
      <c r="R1562" s="19">
        <v>4</v>
      </c>
      <c r="S1562" s="19">
        <v>5</v>
      </c>
      <c r="T1562" s="15">
        <v>14</v>
      </c>
      <c r="U1562" s="19">
        <v>84</v>
      </c>
      <c r="V1562" s="14" t="s">
        <v>31</v>
      </c>
      <c r="W1562" s="14"/>
      <c r="X1562" s="14">
        <f>IF(V1562="Yes",1,0)</f>
        <v>0</v>
      </c>
      <c r="Y1562" s="14">
        <f>IF(H1562="Active",0,1)</f>
        <v>0</v>
      </c>
    </row>
    <row r="1563" spans="1:25" ht="18" customHeight="1" x14ac:dyDescent="0.35">
      <c r="A1563" s="8" t="s">
        <v>997</v>
      </c>
      <c r="B1563" s="8" t="s">
        <v>583</v>
      </c>
      <c r="C1563" s="8" t="s">
        <v>25</v>
      </c>
      <c r="D1563" s="9">
        <v>25</v>
      </c>
      <c r="E1563" s="8" t="s">
        <v>67</v>
      </c>
      <c r="F1563" s="8" t="s">
        <v>90</v>
      </c>
      <c r="G1563" s="10">
        <v>45439</v>
      </c>
      <c r="H1563" s="8" t="s">
        <v>26</v>
      </c>
      <c r="I1563" s="8" t="s">
        <v>36</v>
      </c>
      <c r="J1563" s="8" t="s">
        <v>80</v>
      </c>
      <c r="K1563" s="8" t="s">
        <v>73</v>
      </c>
      <c r="L1563" s="8" t="s">
        <v>44</v>
      </c>
      <c r="M1563" s="8" t="s">
        <v>60</v>
      </c>
      <c r="N1563" s="11">
        <v>144358</v>
      </c>
      <c r="O1563" s="11">
        <v>32164</v>
      </c>
      <c r="P1563" s="12">
        <v>88.5</v>
      </c>
      <c r="Q1563" s="9">
        <v>7</v>
      </c>
      <c r="R1563" s="13">
        <v>23</v>
      </c>
      <c r="S1563" s="13">
        <v>2</v>
      </c>
      <c r="T1563" s="9">
        <v>34</v>
      </c>
      <c r="U1563" s="13">
        <v>95</v>
      </c>
      <c r="V1563" s="8" t="s">
        <v>31</v>
      </c>
      <c r="W1563" s="8"/>
      <c r="X1563" s="22">
        <f>IF(V1563="Yes",1,0)</f>
        <v>0</v>
      </c>
      <c r="Y1563" s="22">
        <f>IF(H1563="Active",0,1)</f>
        <v>0</v>
      </c>
    </row>
    <row r="1564" spans="1:25" ht="18" customHeight="1" x14ac:dyDescent="0.35">
      <c r="A1564" s="14" t="s">
        <v>1282</v>
      </c>
      <c r="B1564" s="14" t="s">
        <v>118</v>
      </c>
      <c r="C1564" s="14" t="s">
        <v>34</v>
      </c>
      <c r="D1564" s="15">
        <v>53</v>
      </c>
      <c r="E1564" s="14" t="s">
        <v>52</v>
      </c>
      <c r="F1564" s="14" t="s">
        <v>43</v>
      </c>
      <c r="G1564" s="16">
        <v>45439</v>
      </c>
      <c r="H1564" s="14" t="s">
        <v>26</v>
      </c>
      <c r="I1564" s="14" t="s">
        <v>27</v>
      </c>
      <c r="J1564" s="14" t="s">
        <v>2269</v>
      </c>
      <c r="K1564" s="14" t="s">
        <v>37</v>
      </c>
      <c r="L1564" s="14" t="s">
        <v>38</v>
      </c>
      <c r="M1564" s="14" t="s">
        <v>45</v>
      </c>
      <c r="N1564" s="17">
        <v>137036</v>
      </c>
      <c r="O1564" s="17">
        <v>39676</v>
      </c>
      <c r="P1564" s="18">
        <v>85.9</v>
      </c>
      <c r="Q1564" s="15">
        <v>7</v>
      </c>
      <c r="R1564" s="19">
        <v>29</v>
      </c>
      <c r="S1564" s="19">
        <v>3</v>
      </c>
      <c r="T1564" s="15">
        <v>24</v>
      </c>
      <c r="U1564" s="19">
        <v>100</v>
      </c>
      <c r="V1564" s="14" t="s">
        <v>69</v>
      </c>
      <c r="W1564" s="14"/>
      <c r="X1564" s="14">
        <f>IF(V1564="Yes",1,0)</f>
        <v>1</v>
      </c>
      <c r="Y1564" s="14">
        <f>IF(H1564="Active",0,1)</f>
        <v>0</v>
      </c>
    </row>
    <row r="1565" spans="1:25" ht="18" customHeight="1" x14ac:dyDescent="0.35">
      <c r="A1565" s="14" t="s">
        <v>2162</v>
      </c>
      <c r="B1565" s="14" t="s">
        <v>300</v>
      </c>
      <c r="C1565" s="14" t="s">
        <v>34</v>
      </c>
      <c r="D1565" s="15">
        <v>42</v>
      </c>
      <c r="E1565" s="14" t="s">
        <v>2303</v>
      </c>
      <c r="F1565" s="14" t="s">
        <v>53</v>
      </c>
      <c r="G1565" s="16">
        <v>45439</v>
      </c>
      <c r="H1565" s="14" t="s">
        <v>54</v>
      </c>
      <c r="I1565" s="14" t="s">
        <v>27</v>
      </c>
      <c r="J1565" s="14" t="s">
        <v>2270</v>
      </c>
      <c r="K1565" s="14" t="s">
        <v>37</v>
      </c>
      <c r="L1565" s="14" t="s">
        <v>87</v>
      </c>
      <c r="M1565" s="14" t="s">
        <v>30</v>
      </c>
      <c r="N1565" s="17">
        <v>48455</v>
      </c>
      <c r="O1565" s="17">
        <v>6855</v>
      </c>
      <c r="P1565" s="18">
        <v>98.2</v>
      </c>
      <c r="Q1565" s="15">
        <v>10</v>
      </c>
      <c r="R1565" s="19">
        <v>13</v>
      </c>
      <c r="S1565" s="19">
        <v>3</v>
      </c>
      <c r="T1565" s="15">
        <v>25</v>
      </c>
      <c r="U1565" s="19">
        <v>66</v>
      </c>
      <c r="V1565" s="14" t="s">
        <v>31</v>
      </c>
      <c r="W1565" s="14" t="s">
        <v>123</v>
      </c>
      <c r="X1565" s="14">
        <f>IF(V1565="Yes",1,0)</f>
        <v>0</v>
      </c>
      <c r="Y1565" s="14">
        <f>IF(H1565="Active",0,1)</f>
        <v>1</v>
      </c>
    </row>
    <row r="1566" spans="1:25" ht="18" customHeight="1" x14ac:dyDescent="0.35">
      <c r="A1566" s="14" t="s">
        <v>1346</v>
      </c>
      <c r="B1566" s="14" t="s">
        <v>815</v>
      </c>
      <c r="C1566" s="14" t="s">
        <v>25</v>
      </c>
      <c r="D1566" s="15">
        <v>54</v>
      </c>
      <c r="E1566" s="14" t="s">
        <v>52</v>
      </c>
      <c r="F1566" s="14" t="s">
        <v>76</v>
      </c>
      <c r="G1566" s="16">
        <v>45438</v>
      </c>
      <c r="H1566" s="14" t="s">
        <v>26</v>
      </c>
      <c r="I1566" s="14" t="s">
        <v>36</v>
      </c>
      <c r="J1566" s="14" t="s">
        <v>48</v>
      </c>
      <c r="K1566" s="14" t="s">
        <v>28</v>
      </c>
      <c r="L1566" s="14" t="s">
        <v>49</v>
      </c>
      <c r="M1566" s="14" t="s">
        <v>64</v>
      </c>
      <c r="N1566" s="17">
        <v>43994</v>
      </c>
      <c r="O1566" s="17">
        <v>29649</v>
      </c>
      <c r="P1566" s="18">
        <v>87.8</v>
      </c>
      <c r="Q1566" s="15">
        <v>1</v>
      </c>
      <c r="R1566" s="19">
        <v>26</v>
      </c>
      <c r="S1566" s="19">
        <v>3</v>
      </c>
      <c r="T1566" s="15">
        <v>15</v>
      </c>
      <c r="U1566" s="19">
        <v>91</v>
      </c>
      <c r="V1566" s="14" t="s">
        <v>31</v>
      </c>
      <c r="W1566" s="14"/>
      <c r="X1566" s="14">
        <f>IF(V1566="Yes",1,0)</f>
        <v>0</v>
      </c>
      <c r="Y1566" s="14">
        <f>IF(H1566="Active",0,1)</f>
        <v>0</v>
      </c>
    </row>
    <row r="1567" spans="1:25" ht="18" customHeight="1" x14ac:dyDescent="0.35">
      <c r="A1567" s="8" t="s">
        <v>1559</v>
      </c>
      <c r="B1567" s="8" t="s">
        <v>646</v>
      </c>
      <c r="C1567" s="8" t="s">
        <v>34</v>
      </c>
      <c r="D1567" s="9">
        <v>55</v>
      </c>
      <c r="E1567" s="8" t="s">
        <v>67</v>
      </c>
      <c r="F1567" s="8" t="s">
        <v>90</v>
      </c>
      <c r="G1567" s="10">
        <v>45438</v>
      </c>
      <c r="H1567" s="8" t="s">
        <v>26</v>
      </c>
      <c r="I1567" s="8" t="s">
        <v>27</v>
      </c>
      <c r="J1567" s="8" t="s">
        <v>2269</v>
      </c>
      <c r="K1567" s="8" t="s">
        <v>37</v>
      </c>
      <c r="L1567" s="8" t="s">
        <v>38</v>
      </c>
      <c r="M1567" s="8" t="s">
        <v>30</v>
      </c>
      <c r="N1567" s="11">
        <v>66097</v>
      </c>
      <c r="O1567" s="11">
        <v>48024</v>
      </c>
      <c r="P1567" s="12">
        <v>87.4</v>
      </c>
      <c r="Q1567" s="9">
        <v>4</v>
      </c>
      <c r="R1567" s="13">
        <v>26</v>
      </c>
      <c r="S1567" s="13">
        <v>4</v>
      </c>
      <c r="T1567" s="9">
        <v>10</v>
      </c>
      <c r="U1567" s="13">
        <v>69</v>
      </c>
      <c r="V1567" s="8" t="s">
        <v>31</v>
      </c>
      <c r="W1567" s="8"/>
      <c r="X1567" s="22">
        <f>IF(V1567="Yes",1,0)</f>
        <v>0</v>
      </c>
      <c r="Y1567" s="22">
        <f>IF(H1567="Active",0,1)</f>
        <v>0</v>
      </c>
    </row>
    <row r="1568" spans="1:25" ht="18" customHeight="1" x14ac:dyDescent="0.35">
      <c r="A1568" s="14" t="s">
        <v>1786</v>
      </c>
      <c r="B1568" s="14" t="s">
        <v>201</v>
      </c>
      <c r="C1568" s="14" t="s">
        <v>34</v>
      </c>
      <c r="D1568" s="15">
        <v>36</v>
      </c>
      <c r="E1568" s="14" t="s">
        <v>93</v>
      </c>
      <c r="F1568" s="14" t="s">
        <v>90</v>
      </c>
      <c r="G1568" s="16">
        <v>45438</v>
      </c>
      <c r="H1568" s="14" t="s">
        <v>26</v>
      </c>
      <c r="I1568" s="14" t="s">
        <v>2267</v>
      </c>
      <c r="J1568" s="14" t="s">
        <v>48</v>
      </c>
      <c r="K1568" s="14" t="s">
        <v>55</v>
      </c>
      <c r="L1568" s="14" t="s">
        <v>29</v>
      </c>
      <c r="M1568" s="14" t="s">
        <v>64</v>
      </c>
      <c r="N1568" s="17">
        <v>148572</v>
      </c>
      <c r="O1568" s="17">
        <v>49874</v>
      </c>
      <c r="P1568" s="18">
        <v>88.6</v>
      </c>
      <c r="Q1568" s="15">
        <v>0</v>
      </c>
      <c r="R1568" s="19">
        <v>20</v>
      </c>
      <c r="S1568" s="19">
        <v>5</v>
      </c>
      <c r="T1568" s="15">
        <v>7</v>
      </c>
      <c r="U1568" s="19">
        <v>84</v>
      </c>
      <c r="V1568" s="14" t="s">
        <v>31</v>
      </c>
      <c r="W1568" s="14"/>
      <c r="X1568" s="14">
        <f>IF(V1568="Yes",1,0)</f>
        <v>0</v>
      </c>
      <c r="Y1568" s="14">
        <f>IF(H1568="Active",0,1)</f>
        <v>0</v>
      </c>
    </row>
    <row r="1569" spans="1:25" ht="18" customHeight="1" x14ac:dyDescent="0.35">
      <c r="A1569" s="14" t="s">
        <v>2128</v>
      </c>
      <c r="B1569" s="14" t="s">
        <v>258</v>
      </c>
      <c r="C1569" s="14" t="s">
        <v>25</v>
      </c>
      <c r="D1569" s="15">
        <v>23</v>
      </c>
      <c r="E1569" s="14" t="s">
        <v>2304</v>
      </c>
      <c r="F1569" s="14" t="s">
        <v>79</v>
      </c>
      <c r="G1569" s="16">
        <v>45438</v>
      </c>
      <c r="H1569" s="14" t="s">
        <v>26</v>
      </c>
      <c r="I1569" s="14" t="s">
        <v>27</v>
      </c>
      <c r="J1569" s="14" t="s">
        <v>48</v>
      </c>
      <c r="K1569" s="14" t="s">
        <v>28</v>
      </c>
      <c r="L1569" s="14" t="s">
        <v>116</v>
      </c>
      <c r="M1569" s="14" t="s">
        <v>30</v>
      </c>
      <c r="N1569" s="17">
        <v>169742</v>
      </c>
      <c r="O1569" s="17">
        <v>44801</v>
      </c>
      <c r="P1569" s="18">
        <v>81</v>
      </c>
      <c r="Q1569" s="15">
        <v>10</v>
      </c>
      <c r="R1569" s="19">
        <v>23</v>
      </c>
      <c r="S1569" s="19">
        <v>2</v>
      </c>
      <c r="T1569" s="15">
        <v>8</v>
      </c>
      <c r="U1569" s="19">
        <v>70</v>
      </c>
      <c r="V1569" s="14" t="s">
        <v>69</v>
      </c>
      <c r="W1569" s="14"/>
      <c r="X1569" s="14">
        <f>IF(V1569="Yes",1,0)</f>
        <v>1</v>
      </c>
      <c r="Y1569" s="14">
        <f>IF(H1569="Active",0,1)</f>
        <v>0</v>
      </c>
    </row>
    <row r="1570" spans="1:25" ht="18" customHeight="1" x14ac:dyDescent="0.35">
      <c r="A1570" s="8" t="s">
        <v>1226</v>
      </c>
      <c r="B1570" s="8" t="s">
        <v>624</v>
      </c>
      <c r="C1570" s="8" t="s">
        <v>34</v>
      </c>
      <c r="D1570" s="9">
        <v>41</v>
      </c>
      <c r="E1570" s="8" t="s">
        <v>2303</v>
      </c>
      <c r="F1570" s="8" t="s">
        <v>76</v>
      </c>
      <c r="G1570" s="10">
        <v>45437</v>
      </c>
      <c r="H1570" s="8" t="s">
        <v>26</v>
      </c>
      <c r="I1570" s="8" t="s">
        <v>36</v>
      </c>
      <c r="J1570" s="8" t="s">
        <v>2268</v>
      </c>
      <c r="K1570" s="8" t="s">
        <v>28</v>
      </c>
      <c r="L1570" s="8" t="s">
        <v>29</v>
      </c>
      <c r="M1570" s="8" t="s">
        <v>30</v>
      </c>
      <c r="N1570" s="11">
        <v>158746</v>
      </c>
      <c r="O1570" s="11">
        <v>33054</v>
      </c>
      <c r="P1570" s="12">
        <v>90.6</v>
      </c>
      <c r="Q1570" s="9">
        <v>3</v>
      </c>
      <c r="R1570" s="13">
        <v>26</v>
      </c>
      <c r="S1570" s="13">
        <v>4</v>
      </c>
      <c r="T1570" s="9">
        <v>6</v>
      </c>
      <c r="U1570" s="13">
        <v>96</v>
      </c>
      <c r="V1570" s="8" t="s">
        <v>31</v>
      </c>
      <c r="W1570" s="8"/>
      <c r="X1570" s="22">
        <f>IF(V1570="Yes",1,0)</f>
        <v>0</v>
      </c>
      <c r="Y1570" s="22">
        <f>IF(H1570="Active",0,1)</f>
        <v>0</v>
      </c>
    </row>
    <row r="1571" spans="1:25" ht="18" customHeight="1" x14ac:dyDescent="0.35">
      <c r="A1571" s="8" t="s">
        <v>1257</v>
      </c>
      <c r="B1571" s="8" t="s">
        <v>624</v>
      </c>
      <c r="C1571" s="8" t="s">
        <v>34</v>
      </c>
      <c r="D1571" s="9">
        <v>30</v>
      </c>
      <c r="E1571" s="8" t="s">
        <v>52</v>
      </c>
      <c r="F1571" s="8" t="s">
        <v>53</v>
      </c>
      <c r="G1571" s="10">
        <v>45437</v>
      </c>
      <c r="H1571" s="8" t="s">
        <v>26</v>
      </c>
      <c r="I1571" s="8" t="s">
        <v>36</v>
      </c>
      <c r="J1571" s="8" t="s">
        <v>48</v>
      </c>
      <c r="K1571" s="8" t="s">
        <v>2271</v>
      </c>
      <c r="L1571" s="8" t="s">
        <v>49</v>
      </c>
      <c r="M1571" s="8" t="s">
        <v>64</v>
      </c>
      <c r="N1571" s="11">
        <v>177331</v>
      </c>
      <c r="O1571" s="11">
        <v>7352</v>
      </c>
      <c r="P1571" s="12">
        <v>81.7</v>
      </c>
      <c r="Q1571" s="9">
        <v>2</v>
      </c>
      <c r="R1571" s="13">
        <v>26</v>
      </c>
      <c r="S1571" s="13">
        <v>4</v>
      </c>
      <c r="T1571" s="9">
        <v>17</v>
      </c>
      <c r="U1571" s="13">
        <v>85</v>
      </c>
      <c r="V1571" s="8" t="s">
        <v>31</v>
      </c>
      <c r="W1571" s="8"/>
      <c r="X1571" s="22">
        <f>IF(V1571="Yes",1,0)</f>
        <v>0</v>
      </c>
      <c r="Y1571" s="22">
        <f>IF(H1571="Active",0,1)</f>
        <v>0</v>
      </c>
    </row>
    <row r="1572" spans="1:25" ht="18" customHeight="1" x14ac:dyDescent="0.35">
      <c r="A1572" s="8" t="s">
        <v>1417</v>
      </c>
      <c r="B1572" s="8" t="s">
        <v>393</v>
      </c>
      <c r="C1572" s="8" t="s">
        <v>25</v>
      </c>
      <c r="D1572" s="9">
        <v>35</v>
      </c>
      <c r="E1572" s="8" t="s">
        <v>2303</v>
      </c>
      <c r="F1572" s="8" t="s">
        <v>43</v>
      </c>
      <c r="G1572" s="10">
        <v>45437</v>
      </c>
      <c r="H1572" s="8" t="s">
        <v>26</v>
      </c>
      <c r="I1572" s="8" t="s">
        <v>2267</v>
      </c>
      <c r="J1572" s="8" t="s">
        <v>2270</v>
      </c>
      <c r="K1572" s="8" t="s">
        <v>73</v>
      </c>
      <c r="L1572" s="8" t="s">
        <v>68</v>
      </c>
      <c r="M1572" s="8" t="s">
        <v>45</v>
      </c>
      <c r="N1572" s="11">
        <v>40730</v>
      </c>
      <c r="O1572" s="11">
        <v>49089</v>
      </c>
      <c r="P1572" s="12">
        <v>97.8</v>
      </c>
      <c r="Q1572" s="9">
        <v>5</v>
      </c>
      <c r="R1572" s="13">
        <v>12</v>
      </c>
      <c r="S1572" s="13">
        <v>3</v>
      </c>
      <c r="T1572" s="9">
        <v>4</v>
      </c>
      <c r="U1572" s="13">
        <v>84</v>
      </c>
      <c r="V1572" s="8" t="s">
        <v>31</v>
      </c>
      <c r="W1572" s="8"/>
      <c r="X1572" s="22">
        <f>IF(V1572="Yes",1,0)</f>
        <v>0</v>
      </c>
      <c r="Y1572" s="22">
        <f>IF(H1572="Active",0,1)</f>
        <v>0</v>
      </c>
    </row>
    <row r="1573" spans="1:25" ht="18" customHeight="1" x14ac:dyDescent="0.35">
      <c r="A1573" s="8" t="s">
        <v>50</v>
      </c>
      <c r="B1573" s="8" t="s">
        <v>51</v>
      </c>
      <c r="C1573" s="8" t="s">
        <v>34</v>
      </c>
      <c r="D1573" s="9">
        <v>34</v>
      </c>
      <c r="E1573" s="8" t="s">
        <v>52</v>
      </c>
      <c r="F1573" s="8" t="s">
        <v>53</v>
      </c>
      <c r="G1573" s="10">
        <v>45436</v>
      </c>
      <c r="H1573" s="8" t="s">
        <v>54</v>
      </c>
      <c r="I1573" s="8" t="s">
        <v>2267</v>
      </c>
      <c r="J1573" s="8" t="s">
        <v>2268</v>
      </c>
      <c r="K1573" s="8" t="s">
        <v>55</v>
      </c>
      <c r="L1573" s="8" t="s">
        <v>56</v>
      </c>
      <c r="M1573" s="8" t="s">
        <v>39</v>
      </c>
      <c r="N1573" s="11">
        <v>37994</v>
      </c>
      <c r="O1573" s="11">
        <v>46924</v>
      </c>
      <c r="P1573" s="12">
        <v>95.5</v>
      </c>
      <c r="Q1573" s="9">
        <v>6</v>
      </c>
      <c r="R1573" s="13">
        <v>3</v>
      </c>
      <c r="S1573" s="13">
        <v>1</v>
      </c>
      <c r="T1573" s="9">
        <v>23</v>
      </c>
      <c r="U1573" s="13">
        <v>69</v>
      </c>
      <c r="V1573" s="8" t="s">
        <v>31</v>
      </c>
      <c r="W1573" s="8" t="s">
        <v>57</v>
      </c>
      <c r="X1573" s="22">
        <f>IF(V1573="Yes",1,0)</f>
        <v>0</v>
      </c>
      <c r="Y1573" s="22">
        <f>IF(H1573="Active",0,1)</f>
        <v>1</v>
      </c>
    </row>
    <row r="1574" spans="1:25" ht="18" customHeight="1" x14ac:dyDescent="0.35">
      <c r="A1574" s="8" t="s">
        <v>505</v>
      </c>
      <c r="B1574" s="8" t="s">
        <v>506</v>
      </c>
      <c r="C1574" s="8" t="s">
        <v>25</v>
      </c>
      <c r="D1574" s="9">
        <v>54</v>
      </c>
      <c r="E1574" s="8" t="s">
        <v>2303</v>
      </c>
      <c r="F1574" s="8" t="s">
        <v>90</v>
      </c>
      <c r="G1574" s="10">
        <v>45436</v>
      </c>
      <c r="H1574" s="8" t="s">
        <v>26</v>
      </c>
      <c r="I1574" s="8" t="s">
        <v>36</v>
      </c>
      <c r="J1574" s="8" t="s">
        <v>48</v>
      </c>
      <c r="K1574" s="8" t="s">
        <v>37</v>
      </c>
      <c r="L1574" s="8" t="s">
        <v>87</v>
      </c>
      <c r="M1574" s="8" t="s">
        <v>64</v>
      </c>
      <c r="N1574" s="11">
        <v>58640</v>
      </c>
      <c r="O1574" s="11">
        <v>41274</v>
      </c>
      <c r="P1574" s="12">
        <v>87.3</v>
      </c>
      <c r="Q1574" s="9">
        <v>1</v>
      </c>
      <c r="R1574" s="13">
        <v>6</v>
      </c>
      <c r="S1574" s="13">
        <v>3</v>
      </c>
      <c r="T1574" s="9">
        <v>6</v>
      </c>
      <c r="U1574" s="13">
        <v>72</v>
      </c>
      <c r="V1574" s="8" t="s">
        <v>31</v>
      </c>
      <c r="W1574" s="8"/>
      <c r="X1574" s="22">
        <f>IF(V1574="Yes",1,0)</f>
        <v>0</v>
      </c>
      <c r="Y1574" s="22">
        <f>IF(H1574="Active",0,1)</f>
        <v>0</v>
      </c>
    </row>
    <row r="1575" spans="1:25" ht="18" customHeight="1" x14ac:dyDescent="0.35">
      <c r="A1575" s="14" t="s">
        <v>1554</v>
      </c>
      <c r="B1575" s="14" t="s">
        <v>619</v>
      </c>
      <c r="C1575" s="14" t="s">
        <v>34</v>
      </c>
      <c r="D1575" s="15">
        <v>51</v>
      </c>
      <c r="E1575" s="14" t="s">
        <v>42</v>
      </c>
      <c r="F1575" s="14" t="s">
        <v>43</v>
      </c>
      <c r="G1575" s="16">
        <v>45436</v>
      </c>
      <c r="H1575" s="14" t="s">
        <v>54</v>
      </c>
      <c r="I1575" s="14" t="s">
        <v>36</v>
      </c>
      <c r="J1575" s="14" t="s">
        <v>2268</v>
      </c>
      <c r="K1575" s="14" t="s">
        <v>28</v>
      </c>
      <c r="L1575" s="14" t="s">
        <v>38</v>
      </c>
      <c r="M1575" s="14" t="s">
        <v>39</v>
      </c>
      <c r="N1575" s="17">
        <v>100043</v>
      </c>
      <c r="O1575" s="17">
        <v>14721</v>
      </c>
      <c r="P1575" s="18">
        <v>81.400000000000006</v>
      </c>
      <c r="Q1575" s="15">
        <v>6</v>
      </c>
      <c r="R1575" s="19">
        <v>27</v>
      </c>
      <c r="S1575" s="19">
        <v>3</v>
      </c>
      <c r="T1575" s="15">
        <v>17</v>
      </c>
      <c r="U1575" s="19">
        <v>89</v>
      </c>
      <c r="V1575" s="14" t="s">
        <v>31</v>
      </c>
      <c r="W1575" s="14" t="s">
        <v>123</v>
      </c>
      <c r="X1575" s="14">
        <f>IF(V1575="Yes",1,0)</f>
        <v>0</v>
      </c>
      <c r="Y1575" s="14">
        <f>IF(H1575="Active",0,1)</f>
        <v>1</v>
      </c>
    </row>
    <row r="1576" spans="1:25" ht="18" customHeight="1" x14ac:dyDescent="0.35">
      <c r="A1576" s="8" t="s">
        <v>1747</v>
      </c>
      <c r="B1576" s="8" t="s">
        <v>518</v>
      </c>
      <c r="C1576" s="8" t="s">
        <v>34</v>
      </c>
      <c r="D1576" s="9">
        <v>39</v>
      </c>
      <c r="E1576" s="8" t="s">
        <v>93</v>
      </c>
      <c r="F1576" s="8" t="s">
        <v>35</v>
      </c>
      <c r="G1576" s="10">
        <v>45436</v>
      </c>
      <c r="H1576" s="8" t="s">
        <v>54</v>
      </c>
      <c r="I1576" s="8" t="s">
        <v>27</v>
      </c>
      <c r="J1576" s="8" t="s">
        <v>2268</v>
      </c>
      <c r="K1576" s="8" t="s">
        <v>2271</v>
      </c>
      <c r="L1576" s="8" t="s">
        <v>68</v>
      </c>
      <c r="M1576" s="8" t="s">
        <v>45</v>
      </c>
      <c r="N1576" s="11">
        <v>118905</v>
      </c>
      <c r="O1576" s="11">
        <v>24542</v>
      </c>
      <c r="P1576" s="12">
        <v>93.6</v>
      </c>
      <c r="Q1576" s="9">
        <v>6</v>
      </c>
      <c r="R1576" s="13">
        <v>4</v>
      </c>
      <c r="S1576" s="13">
        <v>4</v>
      </c>
      <c r="T1576" s="9">
        <v>16</v>
      </c>
      <c r="U1576" s="13">
        <v>93</v>
      </c>
      <c r="V1576" s="8" t="s">
        <v>31</v>
      </c>
      <c r="W1576" s="8" t="s">
        <v>83</v>
      </c>
      <c r="X1576" s="22">
        <f>IF(V1576="Yes",1,0)</f>
        <v>0</v>
      </c>
      <c r="Y1576" s="22">
        <f>IF(H1576="Active",0,1)</f>
        <v>1</v>
      </c>
    </row>
    <row r="1577" spans="1:25" ht="18" customHeight="1" x14ac:dyDescent="0.35">
      <c r="A1577" s="8" t="s">
        <v>2099</v>
      </c>
      <c r="B1577" s="8" t="s">
        <v>630</v>
      </c>
      <c r="C1577" s="8" t="s">
        <v>25</v>
      </c>
      <c r="D1577" s="9">
        <v>41</v>
      </c>
      <c r="E1577" s="8" t="s">
        <v>67</v>
      </c>
      <c r="F1577" s="8" t="s">
        <v>53</v>
      </c>
      <c r="G1577" s="10">
        <v>45436</v>
      </c>
      <c r="H1577" s="8" t="s">
        <v>26</v>
      </c>
      <c r="I1577" s="8" t="s">
        <v>2267</v>
      </c>
      <c r="J1577" s="8" t="s">
        <v>2269</v>
      </c>
      <c r="K1577" s="8" t="s">
        <v>2271</v>
      </c>
      <c r="L1577" s="8" t="s">
        <v>29</v>
      </c>
      <c r="M1577" s="8" t="s">
        <v>64</v>
      </c>
      <c r="N1577" s="11">
        <v>51278</v>
      </c>
      <c r="O1577" s="11">
        <v>10791</v>
      </c>
      <c r="P1577" s="12">
        <v>80.099999999999994</v>
      </c>
      <c r="Q1577" s="9">
        <v>10</v>
      </c>
      <c r="R1577" s="13">
        <v>3</v>
      </c>
      <c r="S1577" s="13">
        <v>2</v>
      </c>
      <c r="T1577" s="9">
        <v>1</v>
      </c>
      <c r="U1577" s="13">
        <v>96</v>
      </c>
      <c r="V1577" s="8" t="s">
        <v>31</v>
      </c>
      <c r="W1577" s="8"/>
      <c r="X1577" s="22">
        <f>IF(V1577="Yes",1,0)</f>
        <v>0</v>
      </c>
      <c r="Y1577" s="22">
        <f>IF(H1577="Active",0,1)</f>
        <v>0</v>
      </c>
    </row>
    <row r="1578" spans="1:25" ht="18" customHeight="1" x14ac:dyDescent="0.35">
      <c r="A1578" s="14" t="s">
        <v>611</v>
      </c>
      <c r="B1578" s="14" t="s">
        <v>497</v>
      </c>
      <c r="C1578" s="14" t="s">
        <v>34</v>
      </c>
      <c r="D1578" s="15">
        <v>45</v>
      </c>
      <c r="E1578" s="14" t="s">
        <v>63</v>
      </c>
      <c r="F1578" s="14" t="s">
        <v>12</v>
      </c>
      <c r="G1578" s="16">
        <v>45435</v>
      </c>
      <c r="H1578" s="14" t="s">
        <v>26</v>
      </c>
      <c r="I1578" s="14" t="s">
        <v>27</v>
      </c>
      <c r="J1578" s="14" t="s">
        <v>2270</v>
      </c>
      <c r="K1578" s="14" t="s">
        <v>37</v>
      </c>
      <c r="L1578" s="14" t="s">
        <v>44</v>
      </c>
      <c r="M1578" s="14" t="s">
        <v>64</v>
      </c>
      <c r="N1578" s="17">
        <v>155534</v>
      </c>
      <c r="O1578" s="17">
        <v>45674</v>
      </c>
      <c r="P1578" s="18">
        <v>84.6</v>
      </c>
      <c r="Q1578" s="15">
        <v>0</v>
      </c>
      <c r="R1578" s="19">
        <v>9</v>
      </c>
      <c r="S1578" s="19">
        <v>3</v>
      </c>
      <c r="T1578" s="15">
        <v>40</v>
      </c>
      <c r="U1578" s="19">
        <v>69</v>
      </c>
      <c r="V1578" s="14" t="s">
        <v>31</v>
      </c>
      <c r="W1578" s="14"/>
      <c r="X1578" s="14">
        <f>IF(V1578="Yes",1,0)</f>
        <v>0</v>
      </c>
      <c r="Y1578" s="14">
        <f>IF(H1578="Active",0,1)</f>
        <v>0</v>
      </c>
    </row>
    <row r="1579" spans="1:25" ht="18" customHeight="1" x14ac:dyDescent="0.35">
      <c r="A1579" s="8" t="s">
        <v>826</v>
      </c>
      <c r="B1579" s="8" t="s">
        <v>291</v>
      </c>
      <c r="C1579" s="8" t="s">
        <v>25</v>
      </c>
      <c r="D1579" s="9">
        <v>55</v>
      </c>
      <c r="E1579" s="8" t="s">
        <v>86</v>
      </c>
      <c r="F1579" s="8" t="s">
        <v>35</v>
      </c>
      <c r="G1579" s="10">
        <v>45435</v>
      </c>
      <c r="H1579" s="8" t="s">
        <v>26</v>
      </c>
      <c r="I1579" s="8" t="s">
        <v>36</v>
      </c>
      <c r="J1579" s="8" t="s">
        <v>2269</v>
      </c>
      <c r="K1579" s="8" t="s">
        <v>2271</v>
      </c>
      <c r="L1579" s="8" t="s">
        <v>87</v>
      </c>
      <c r="M1579" s="8" t="s">
        <v>60</v>
      </c>
      <c r="N1579" s="11">
        <v>211163</v>
      </c>
      <c r="O1579" s="11">
        <v>41263</v>
      </c>
      <c r="P1579" s="12">
        <v>91.1</v>
      </c>
      <c r="Q1579" s="9">
        <v>2</v>
      </c>
      <c r="R1579" s="13">
        <v>7</v>
      </c>
      <c r="S1579" s="13">
        <v>5</v>
      </c>
      <c r="T1579" s="9">
        <v>34</v>
      </c>
      <c r="U1579" s="13">
        <v>64</v>
      </c>
      <c r="V1579" s="8" t="s">
        <v>31</v>
      </c>
      <c r="W1579" s="8"/>
      <c r="X1579" s="22">
        <f>IF(V1579="Yes",1,0)</f>
        <v>0</v>
      </c>
      <c r="Y1579" s="22">
        <f>IF(H1579="Active",0,1)</f>
        <v>0</v>
      </c>
    </row>
    <row r="1580" spans="1:25" ht="18" customHeight="1" x14ac:dyDescent="0.35">
      <c r="A1580" s="8" t="s">
        <v>1553</v>
      </c>
      <c r="B1580" s="8" t="s">
        <v>280</v>
      </c>
      <c r="C1580" s="8" t="s">
        <v>34</v>
      </c>
      <c r="D1580" s="9">
        <v>44</v>
      </c>
      <c r="E1580" s="8" t="s">
        <v>86</v>
      </c>
      <c r="F1580" s="8" t="s">
        <v>72</v>
      </c>
      <c r="G1580" s="10">
        <v>45435</v>
      </c>
      <c r="H1580" s="8" t="s">
        <v>26</v>
      </c>
      <c r="I1580" s="8" t="s">
        <v>36</v>
      </c>
      <c r="J1580" s="8" t="s">
        <v>2268</v>
      </c>
      <c r="K1580" s="8" t="s">
        <v>2271</v>
      </c>
      <c r="L1580" s="8" t="s">
        <v>68</v>
      </c>
      <c r="M1580" s="8" t="s">
        <v>64</v>
      </c>
      <c r="N1580" s="11">
        <v>242306</v>
      </c>
      <c r="O1580" s="11">
        <v>32668</v>
      </c>
      <c r="P1580" s="12">
        <v>86.8</v>
      </c>
      <c r="Q1580" s="9">
        <v>4</v>
      </c>
      <c r="R1580" s="13">
        <v>12</v>
      </c>
      <c r="S1580" s="13">
        <v>3</v>
      </c>
      <c r="T1580" s="9">
        <v>13</v>
      </c>
      <c r="U1580" s="13">
        <v>73</v>
      </c>
      <c r="V1580" s="8" t="s">
        <v>31</v>
      </c>
      <c r="W1580" s="8"/>
      <c r="X1580" s="22">
        <f>IF(V1580="Yes",1,0)</f>
        <v>0</v>
      </c>
      <c r="Y1580" s="22">
        <f>IF(H1580="Active",0,1)</f>
        <v>0</v>
      </c>
    </row>
    <row r="1581" spans="1:25" ht="18" customHeight="1" x14ac:dyDescent="0.35">
      <c r="A1581" s="14" t="s">
        <v>1570</v>
      </c>
      <c r="B1581" s="14" t="s">
        <v>497</v>
      </c>
      <c r="C1581" s="14" t="s">
        <v>25</v>
      </c>
      <c r="D1581" s="15">
        <v>33</v>
      </c>
      <c r="E1581" s="14" t="s">
        <v>2303</v>
      </c>
      <c r="F1581" s="14" t="s">
        <v>12</v>
      </c>
      <c r="G1581" s="16">
        <v>45434</v>
      </c>
      <c r="H1581" s="14" t="s">
        <v>26</v>
      </c>
      <c r="I1581" s="14" t="s">
        <v>27</v>
      </c>
      <c r="J1581" s="14" t="s">
        <v>2269</v>
      </c>
      <c r="K1581" s="14" t="s">
        <v>37</v>
      </c>
      <c r="L1581" s="14" t="s">
        <v>29</v>
      </c>
      <c r="M1581" s="14" t="s">
        <v>64</v>
      </c>
      <c r="N1581" s="17">
        <v>131511</v>
      </c>
      <c r="O1581" s="17">
        <v>21155</v>
      </c>
      <c r="P1581" s="18">
        <v>87.3</v>
      </c>
      <c r="Q1581" s="15">
        <v>0</v>
      </c>
      <c r="R1581" s="19">
        <v>28</v>
      </c>
      <c r="S1581" s="19">
        <v>4</v>
      </c>
      <c r="T1581" s="15">
        <v>26</v>
      </c>
      <c r="U1581" s="19">
        <v>60</v>
      </c>
      <c r="V1581" s="14" t="s">
        <v>69</v>
      </c>
      <c r="W1581" s="14"/>
      <c r="X1581" s="14">
        <f>IF(V1581="Yes",1,0)</f>
        <v>1</v>
      </c>
      <c r="Y1581" s="14">
        <f>IF(H1581="Active",0,1)</f>
        <v>0</v>
      </c>
    </row>
    <row r="1582" spans="1:25" ht="18" customHeight="1" x14ac:dyDescent="0.35">
      <c r="A1582" s="8" t="s">
        <v>1641</v>
      </c>
      <c r="B1582" s="8" t="s">
        <v>424</v>
      </c>
      <c r="C1582" s="8" t="s">
        <v>25</v>
      </c>
      <c r="D1582" s="9">
        <v>35</v>
      </c>
      <c r="E1582" s="8" t="s">
        <v>67</v>
      </c>
      <c r="F1582" s="8" t="s">
        <v>35</v>
      </c>
      <c r="G1582" s="10">
        <v>45434</v>
      </c>
      <c r="H1582" s="8" t="s">
        <v>26</v>
      </c>
      <c r="I1582" s="8" t="s">
        <v>27</v>
      </c>
      <c r="J1582" s="8" t="s">
        <v>2270</v>
      </c>
      <c r="K1582" s="8" t="s">
        <v>2271</v>
      </c>
      <c r="L1582" s="8" t="s">
        <v>38</v>
      </c>
      <c r="M1582" s="8" t="s">
        <v>45</v>
      </c>
      <c r="N1582" s="11">
        <v>44597</v>
      </c>
      <c r="O1582" s="11">
        <v>24263</v>
      </c>
      <c r="P1582" s="12">
        <v>97.6</v>
      </c>
      <c r="Q1582" s="9">
        <v>7</v>
      </c>
      <c r="R1582" s="13">
        <v>11</v>
      </c>
      <c r="S1582" s="13">
        <v>5</v>
      </c>
      <c r="T1582" s="9">
        <v>27</v>
      </c>
      <c r="U1582" s="13">
        <v>76</v>
      </c>
      <c r="V1582" s="8" t="s">
        <v>31</v>
      </c>
      <c r="W1582" s="8"/>
      <c r="X1582" s="22">
        <f>IF(V1582="Yes",1,0)</f>
        <v>0</v>
      </c>
      <c r="Y1582" s="22">
        <f>IF(H1582="Active",0,1)</f>
        <v>0</v>
      </c>
    </row>
    <row r="1583" spans="1:25" ht="18" customHeight="1" x14ac:dyDescent="0.35">
      <c r="A1583" s="8" t="s">
        <v>2031</v>
      </c>
      <c r="B1583" s="8" t="s">
        <v>485</v>
      </c>
      <c r="C1583" s="8" t="s">
        <v>34</v>
      </c>
      <c r="D1583" s="9">
        <v>31</v>
      </c>
      <c r="E1583" s="8" t="s">
        <v>63</v>
      </c>
      <c r="F1583" s="8" t="s">
        <v>43</v>
      </c>
      <c r="G1583" s="10">
        <v>45434</v>
      </c>
      <c r="H1583" s="8" t="s">
        <v>26</v>
      </c>
      <c r="I1583" s="8" t="s">
        <v>27</v>
      </c>
      <c r="J1583" s="8" t="s">
        <v>2269</v>
      </c>
      <c r="K1583" s="8" t="s">
        <v>37</v>
      </c>
      <c r="L1583" s="8" t="s">
        <v>56</v>
      </c>
      <c r="M1583" s="8" t="s">
        <v>60</v>
      </c>
      <c r="N1583" s="11">
        <v>127254</v>
      </c>
      <c r="O1583" s="11">
        <v>36581</v>
      </c>
      <c r="P1583" s="12">
        <v>92.2</v>
      </c>
      <c r="Q1583" s="9">
        <v>7</v>
      </c>
      <c r="R1583" s="13">
        <v>29</v>
      </c>
      <c r="S1583" s="13">
        <v>5</v>
      </c>
      <c r="T1583" s="9">
        <v>23</v>
      </c>
      <c r="U1583" s="13">
        <v>65</v>
      </c>
      <c r="V1583" s="8" t="s">
        <v>31</v>
      </c>
      <c r="W1583" s="8"/>
      <c r="X1583" s="22">
        <f>IF(V1583="Yes",1,0)</f>
        <v>0</v>
      </c>
      <c r="Y1583" s="22">
        <f>IF(H1583="Active",0,1)</f>
        <v>0</v>
      </c>
    </row>
    <row r="1584" spans="1:25" ht="18" customHeight="1" x14ac:dyDescent="0.35">
      <c r="A1584" s="8" t="s">
        <v>1113</v>
      </c>
      <c r="B1584" s="8" t="s">
        <v>125</v>
      </c>
      <c r="C1584" s="8" t="s">
        <v>25</v>
      </c>
      <c r="D1584" s="9">
        <v>37</v>
      </c>
      <c r="E1584" s="8" t="s">
        <v>67</v>
      </c>
      <c r="F1584" s="8" t="s">
        <v>53</v>
      </c>
      <c r="G1584" s="10">
        <v>45433</v>
      </c>
      <c r="H1584" s="8" t="s">
        <v>26</v>
      </c>
      <c r="I1584" s="8" t="s">
        <v>27</v>
      </c>
      <c r="J1584" s="8" t="s">
        <v>2270</v>
      </c>
      <c r="K1584" s="8" t="s">
        <v>55</v>
      </c>
      <c r="L1584" s="8" t="s">
        <v>38</v>
      </c>
      <c r="M1584" s="8" t="s">
        <v>64</v>
      </c>
      <c r="N1584" s="11">
        <v>80628</v>
      </c>
      <c r="O1584" s="11">
        <v>9170</v>
      </c>
      <c r="P1584" s="12">
        <v>94.8</v>
      </c>
      <c r="Q1584" s="9">
        <v>0</v>
      </c>
      <c r="R1584" s="13">
        <v>10</v>
      </c>
      <c r="S1584" s="13">
        <v>2</v>
      </c>
      <c r="T1584" s="9">
        <v>15</v>
      </c>
      <c r="U1584" s="13">
        <v>85</v>
      </c>
      <c r="V1584" s="8" t="s">
        <v>69</v>
      </c>
      <c r="W1584" s="8"/>
      <c r="X1584" s="22">
        <f>IF(V1584="Yes",1,0)</f>
        <v>1</v>
      </c>
      <c r="Y1584" s="22">
        <f>IF(H1584="Active",0,1)</f>
        <v>0</v>
      </c>
    </row>
    <row r="1585" spans="1:25" ht="18" customHeight="1" x14ac:dyDescent="0.35">
      <c r="A1585" s="8" t="s">
        <v>1335</v>
      </c>
      <c r="B1585" s="8" t="s">
        <v>82</v>
      </c>
      <c r="C1585" s="8" t="s">
        <v>25</v>
      </c>
      <c r="D1585" s="9">
        <v>58</v>
      </c>
      <c r="E1585" s="8" t="s">
        <v>42</v>
      </c>
      <c r="F1585" s="8" t="s">
        <v>76</v>
      </c>
      <c r="G1585" s="10">
        <v>45433</v>
      </c>
      <c r="H1585" s="8" t="s">
        <v>26</v>
      </c>
      <c r="I1585" s="8" t="s">
        <v>36</v>
      </c>
      <c r="J1585" s="8" t="s">
        <v>80</v>
      </c>
      <c r="K1585" s="8" t="s">
        <v>55</v>
      </c>
      <c r="L1585" s="8" t="s">
        <v>56</v>
      </c>
      <c r="M1585" s="8" t="s">
        <v>45</v>
      </c>
      <c r="N1585" s="11">
        <v>90409</v>
      </c>
      <c r="O1585" s="11">
        <v>44290</v>
      </c>
      <c r="P1585" s="12">
        <v>91.9</v>
      </c>
      <c r="Q1585" s="9">
        <v>8</v>
      </c>
      <c r="R1585" s="13">
        <v>10</v>
      </c>
      <c r="S1585" s="13">
        <v>3</v>
      </c>
      <c r="T1585" s="9">
        <v>2</v>
      </c>
      <c r="U1585" s="13">
        <v>70</v>
      </c>
      <c r="V1585" s="8" t="s">
        <v>69</v>
      </c>
      <c r="W1585" s="8"/>
      <c r="X1585" s="22">
        <f>IF(V1585="Yes",1,0)</f>
        <v>1</v>
      </c>
      <c r="Y1585" s="22">
        <f>IF(H1585="Active",0,1)</f>
        <v>0</v>
      </c>
    </row>
    <row r="1586" spans="1:25" ht="18" customHeight="1" x14ac:dyDescent="0.35">
      <c r="A1586" s="14" t="s">
        <v>2142</v>
      </c>
      <c r="B1586" s="14" t="s">
        <v>537</v>
      </c>
      <c r="C1586" s="14" t="s">
        <v>34</v>
      </c>
      <c r="D1586" s="15">
        <v>45</v>
      </c>
      <c r="E1586" s="14" t="s">
        <v>42</v>
      </c>
      <c r="F1586" s="14" t="s">
        <v>90</v>
      </c>
      <c r="G1586" s="16">
        <v>45433</v>
      </c>
      <c r="H1586" s="14" t="s">
        <v>26</v>
      </c>
      <c r="I1586" s="14" t="s">
        <v>36</v>
      </c>
      <c r="J1586" s="14" t="s">
        <v>48</v>
      </c>
      <c r="K1586" s="14" t="s">
        <v>28</v>
      </c>
      <c r="L1586" s="14" t="s">
        <v>87</v>
      </c>
      <c r="M1586" s="14" t="s">
        <v>60</v>
      </c>
      <c r="N1586" s="17">
        <v>128646</v>
      </c>
      <c r="O1586" s="17">
        <v>27565</v>
      </c>
      <c r="P1586" s="18">
        <v>92.9</v>
      </c>
      <c r="Q1586" s="15">
        <v>0</v>
      </c>
      <c r="R1586" s="19">
        <v>13</v>
      </c>
      <c r="S1586" s="19">
        <v>1</v>
      </c>
      <c r="T1586" s="15">
        <v>22</v>
      </c>
      <c r="U1586" s="19">
        <v>85</v>
      </c>
      <c r="V1586" s="14" t="s">
        <v>69</v>
      </c>
      <c r="W1586" s="14"/>
      <c r="X1586" s="14">
        <f>IF(V1586="Yes",1,0)</f>
        <v>1</v>
      </c>
      <c r="Y1586" s="14">
        <f>IF(H1586="Active",0,1)</f>
        <v>0</v>
      </c>
    </row>
    <row r="1587" spans="1:25" ht="18" customHeight="1" x14ac:dyDescent="0.35">
      <c r="A1587" s="14" t="s">
        <v>1446</v>
      </c>
      <c r="B1587" s="14" t="s">
        <v>136</v>
      </c>
      <c r="C1587" s="14" t="s">
        <v>34</v>
      </c>
      <c r="D1587" s="15">
        <v>56</v>
      </c>
      <c r="E1587" s="14" t="s">
        <v>2304</v>
      </c>
      <c r="F1587" s="14" t="s">
        <v>79</v>
      </c>
      <c r="G1587" s="16">
        <v>45432</v>
      </c>
      <c r="H1587" s="14" t="s">
        <v>26</v>
      </c>
      <c r="I1587" s="14" t="s">
        <v>2267</v>
      </c>
      <c r="J1587" s="14" t="s">
        <v>2268</v>
      </c>
      <c r="K1587" s="14" t="s">
        <v>55</v>
      </c>
      <c r="L1587" s="14" t="s">
        <v>38</v>
      </c>
      <c r="M1587" s="14" t="s">
        <v>64</v>
      </c>
      <c r="N1587" s="17">
        <v>238312</v>
      </c>
      <c r="O1587" s="17">
        <v>38413</v>
      </c>
      <c r="P1587" s="18">
        <v>96.5</v>
      </c>
      <c r="Q1587" s="15">
        <v>10</v>
      </c>
      <c r="R1587" s="19">
        <v>0</v>
      </c>
      <c r="S1587" s="19">
        <v>1</v>
      </c>
      <c r="T1587" s="15">
        <v>4</v>
      </c>
      <c r="U1587" s="19">
        <v>91</v>
      </c>
      <c r="V1587" s="14" t="s">
        <v>31</v>
      </c>
      <c r="W1587" s="14"/>
      <c r="X1587" s="14">
        <f>IF(V1587="Yes",1,0)</f>
        <v>0</v>
      </c>
      <c r="Y1587" s="14">
        <f>IF(H1587="Active",0,1)</f>
        <v>0</v>
      </c>
    </row>
    <row r="1588" spans="1:25" ht="18" customHeight="1" x14ac:dyDescent="0.35">
      <c r="A1588" s="8" t="s">
        <v>441</v>
      </c>
      <c r="B1588" s="8" t="s">
        <v>118</v>
      </c>
      <c r="C1588" s="8" t="s">
        <v>25</v>
      </c>
      <c r="D1588" s="9">
        <v>56</v>
      </c>
      <c r="E1588" s="8" t="s">
        <v>109</v>
      </c>
      <c r="F1588" s="8" t="s">
        <v>90</v>
      </c>
      <c r="G1588" s="10">
        <v>45431</v>
      </c>
      <c r="H1588" s="8" t="s">
        <v>26</v>
      </c>
      <c r="I1588" s="8" t="s">
        <v>2267</v>
      </c>
      <c r="J1588" s="8" t="s">
        <v>2268</v>
      </c>
      <c r="K1588" s="8" t="s">
        <v>73</v>
      </c>
      <c r="L1588" s="8" t="s">
        <v>116</v>
      </c>
      <c r="M1588" s="8" t="s">
        <v>45</v>
      </c>
      <c r="N1588" s="11">
        <v>215683</v>
      </c>
      <c r="O1588" s="11">
        <v>8450</v>
      </c>
      <c r="P1588" s="12">
        <v>85.2</v>
      </c>
      <c r="Q1588" s="9">
        <v>2</v>
      </c>
      <c r="R1588" s="13">
        <v>14</v>
      </c>
      <c r="S1588" s="13">
        <v>5</v>
      </c>
      <c r="T1588" s="9">
        <v>14</v>
      </c>
      <c r="U1588" s="13">
        <v>64</v>
      </c>
      <c r="V1588" s="8" t="s">
        <v>69</v>
      </c>
      <c r="W1588" s="8"/>
      <c r="X1588" s="22">
        <f>IF(V1588="Yes",1,0)</f>
        <v>1</v>
      </c>
      <c r="Y1588" s="22">
        <f>IF(H1588="Active",0,1)</f>
        <v>0</v>
      </c>
    </row>
    <row r="1589" spans="1:25" ht="18" customHeight="1" x14ac:dyDescent="0.35">
      <c r="A1589" s="8" t="s">
        <v>401</v>
      </c>
      <c r="B1589" s="8" t="s">
        <v>95</v>
      </c>
      <c r="C1589" s="8" t="s">
        <v>34</v>
      </c>
      <c r="D1589" s="9">
        <v>51</v>
      </c>
      <c r="E1589" s="8" t="s">
        <v>2303</v>
      </c>
      <c r="F1589" s="8" t="s">
        <v>76</v>
      </c>
      <c r="G1589" s="10">
        <v>45430</v>
      </c>
      <c r="H1589" s="8" t="s">
        <v>26</v>
      </c>
      <c r="I1589" s="8" t="s">
        <v>27</v>
      </c>
      <c r="J1589" s="8" t="s">
        <v>48</v>
      </c>
      <c r="K1589" s="8" t="s">
        <v>37</v>
      </c>
      <c r="L1589" s="8" t="s">
        <v>29</v>
      </c>
      <c r="M1589" s="8" t="s">
        <v>60</v>
      </c>
      <c r="N1589" s="11">
        <v>61838</v>
      </c>
      <c r="O1589" s="11">
        <v>45999</v>
      </c>
      <c r="P1589" s="12">
        <v>98.6</v>
      </c>
      <c r="Q1589" s="9">
        <v>9</v>
      </c>
      <c r="R1589" s="13">
        <v>8</v>
      </c>
      <c r="S1589" s="13">
        <v>3</v>
      </c>
      <c r="T1589" s="9">
        <v>2</v>
      </c>
      <c r="U1589" s="13">
        <v>85</v>
      </c>
      <c r="V1589" s="8" t="s">
        <v>31</v>
      </c>
      <c r="W1589" s="8"/>
      <c r="X1589" s="22">
        <f>IF(V1589="Yes",1,0)</f>
        <v>0</v>
      </c>
      <c r="Y1589" s="22">
        <f>IF(H1589="Active",0,1)</f>
        <v>0</v>
      </c>
    </row>
    <row r="1590" spans="1:25" ht="18" customHeight="1" x14ac:dyDescent="0.35">
      <c r="A1590" s="14" t="s">
        <v>521</v>
      </c>
      <c r="B1590" s="14" t="s">
        <v>175</v>
      </c>
      <c r="C1590" s="14" t="s">
        <v>25</v>
      </c>
      <c r="D1590" s="15">
        <v>39</v>
      </c>
      <c r="E1590" s="14" t="s">
        <v>86</v>
      </c>
      <c r="F1590" s="14" t="s">
        <v>43</v>
      </c>
      <c r="G1590" s="16">
        <v>45430</v>
      </c>
      <c r="H1590" s="14" t="s">
        <v>26</v>
      </c>
      <c r="I1590" s="14" t="s">
        <v>2267</v>
      </c>
      <c r="J1590" s="14" t="s">
        <v>2268</v>
      </c>
      <c r="K1590" s="14" t="s">
        <v>2271</v>
      </c>
      <c r="L1590" s="14" t="s">
        <v>116</v>
      </c>
      <c r="M1590" s="14" t="s">
        <v>64</v>
      </c>
      <c r="N1590" s="17">
        <v>183477</v>
      </c>
      <c r="O1590" s="17">
        <v>37973</v>
      </c>
      <c r="P1590" s="18">
        <v>81.3</v>
      </c>
      <c r="Q1590" s="15">
        <v>6</v>
      </c>
      <c r="R1590" s="19">
        <v>12</v>
      </c>
      <c r="S1590" s="19">
        <v>3</v>
      </c>
      <c r="T1590" s="15">
        <v>24</v>
      </c>
      <c r="U1590" s="19">
        <v>73</v>
      </c>
      <c r="V1590" s="14" t="s">
        <v>31</v>
      </c>
      <c r="W1590" s="14"/>
      <c r="X1590" s="14">
        <f>IF(V1590="Yes",1,0)</f>
        <v>0</v>
      </c>
      <c r="Y1590" s="14">
        <f>IF(H1590="Active",0,1)</f>
        <v>0</v>
      </c>
    </row>
    <row r="1591" spans="1:25" ht="18" customHeight="1" x14ac:dyDescent="0.35">
      <c r="A1591" s="14" t="s">
        <v>905</v>
      </c>
      <c r="B1591" s="14" t="s">
        <v>630</v>
      </c>
      <c r="C1591" s="14" t="s">
        <v>25</v>
      </c>
      <c r="D1591" s="15">
        <v>26</v>
      </c>
      <c r="E1591" s="14" t="s">
        <v>93</v>
      </c>
      <c r="F1591" s="14" t="s">
        <v>79</v>
      </c>
      <c r="G1591" s="16">
        <v>45430</v>
      </c>
      <c r="H1591" s="14" t="s">
        <v>26</v>
      </c>
      <c r="I1591" s="14" t="s">
        <v>2267</v>
      </c>
      <c r="J1591" s="14" t="s">
        <v>48</v>
      </c>
      <c r="K1591" s="14" t="s">
        <v>73</v>
      </c>
      <c r="L1591" s="14" t="s">
        <v>87</v>
      </c>
      <c r="M1591" s="14" t="s">
        <v>64</v>
      </c>
      <c r="N1591" s="17">
        <v>249890</v>
      </c>
      <c r="O1591" s="17">
        <v>23481</v>
      </c>
      <c r="P1591" s="18">
        <v>88.2</v>
      </c>
      <c r="Q1591" s="15">
        <v>5</v>
      </c>
      <c r="R1591" s="19">
        <v>14</v>
      </c>
      <c r="S1591" s="19">
        <v>1</v>
      </c>
      <c r="T1591" s="15">
        <v>5</v>
      </c>
      <c r="U1591" s="19">
        <v>84</v>
      </c>
      <c r="V1591" s="14" t="s">
        <v>31</v>
      </c>
      <c r="W1591" s="14"/>
      <c r="X1591" s="14">
        <f>IF(V1591="Yes",1,0)</f>
        <v>0</v>
      </c>
      <c r="Y1591" s="14">
        <f>IF(H1591="Active",0,1)</f>
        <v>0</v>
      </c>
    </row>
    <row r="1592" spans="1:25" ht="18" customHeight="1" x14ac:dyDescent="0.35">
      <c r="A1592" s="8" t="s">
        <v>1023</v>
      </c>
      <c r="B1592" s="8" t="s">
        <v>179</v>
      </c>
      <c r="C1592" s="8" t="s">
        <v>25</v>
      </c>
      <c r="D1592" s="9">
        <v>45</v>
      </c>
      <c r="E1592" s="8" t="s">
        <v>63</v>
      </c>
      <c r="F1592" s="8" t="s">
        <v>79</v>
      </c>
      <c r="G1592" s="10">
        <v>45430</v>
      </c>
      <c r="H1592" s="8" t="s">
        <v>26</v>
      </c>
      <c r="I1592" s="8" t="s">
        <v>2267</v>
      </c>
      <c r="J1592" s="8" t="s">
        <v>48</v>
      </c>
      <c r="K1592" s="8" t="s">
        <v>2271</v>
      </c>
      <c r="L1592" s="8" t="s">
        <v>38</v>
      </c>
      <c r="M1592" s="8" t="s">
        <v>45</v>
      </c>
      <c r="N1592" s="11">
        <v>247427</v>
      </c>
      <c r="O1592" s="11">
        <v>19017</v>
      </c>
      <c r="P1592" s="12">
        <v>93.5</v>
      </c>
      <c r="Q1592" s="9">
        <v>7</v>
      </c>
      <c r="R1592" s="13">
        <v>8</v>
      </c>
      <c r="S1592" s="13">
        <v>5</v>
      </c>
      <c r="T1592" s="9">
        <v>21</v>
      </c>
      <c r="U1592" s="13">
        <v>70</v>
      </c>
      <c r="V1592" s="8" t="s">
        <v>31</v>
      </c>
      <c r="W1592" s="8"/>
      <c r="X1592" s="22">
        <f>IF(V1592="Yes",1,0)</f>
        <v>0</v>
      </c>
      <c r="Y1592" s="22">
        <f>IF(H1592="Active",0,1)</f>
        <v>0</v>
      </c>
    </row>
    <row r="1593" spans="1:25" ht="18" customHeight="1" x14ac:dyDescent="0.35">
      <c r="A1593" s="14" t="s">
        <v>1398</v>
      </c>
      <c r="B1593" s="14" t="s">
        <v>118</v>
      </c>
      <c r="C1593" s="14" t="s">
        <v>34</v>
      </c>
      <c r="D1593" s="15">
        <v>33</v>
      </c>
      <c r="E1593" s="14" t="s">
        <v>67</v>
      </c>
      <c r="F1593" s="14" t="s">
        <v>79</v>
      </c>
      <c r="G1593" s="16">
        <v>45430</v>
      </c>
      <c r="H1593" s="14" t="s">
        <v>26</v>
      </c>
      <c r="I1593" s="14" t="s">
        <v>2267</v>
      </c>
      <c r="J1593" s="14" t="s">
        <v>2268</v>
      </c>
      <c r="K1593" s="14" t="s">
        <v>37</v>
      </c>
      <c r="L1593" s="14" t="s">
        <v>56</v>
      </c>
      <c r="M1593" s="14" t="s">
        <v>64</v>
      </c>
      <c r="N1593" s="17">
        <v>189203</v>
      </c>
      <c r="O1593" s="17">
        <v>47067</v>
      </c>
      <c r="P1593" s="18">
        <v>95.6</v>
      </c>
      <c r="Q1593" s="15">
        <v>0</v>
      </c>
      <c r="R1593" s="19">
        <v>3</v>
      </c>
      <c r="S1593" s="19">
        <v>3</v>
      </c>
      <c r="T1593" s="15">
        <v>25</v>
      </c>
      <c r="U1593" s="19">
        <v>70</v>
      </c>
      <c r="V1593" s="14" t="s">
        <v>31</v>
      </c>
      <c r="W1593" s="14"/>
      <c r="X1593" s="14">
        <f>IF(V1593="Yes",1,0)</f>
        <v>0</v>
      </c>
      <c r="Y1593" s="14">
        <f>IF(H1593="Active",0,1)</f>
        <v>0</v>
      </c>
    </row>
    <row r="1594" spans="1:25" ht="18" customHeight="1" x14ac:dyDescent="0.35">
      <c r="A1594" s="8" t="s">
        <v>1665</v>
      </c>
      <c r="B1594" s="8" t="s">
        <v>518</v>
      </c>
      <c r="C1594" s="8" t="s">
        <v>25</v>
      </c>
      <c r="D1594" s="9">
        <v>27</v>
      </c>
      <c r="E1594" s="8" t="s">
        <v>67</v>
      </c>
      <c r="F1594" s="8" t="s">
        <v>35</v>
      </c>
      <c r="G1594" s="10">
        <v>45430</v>
      </c>
      <c r="H1594" s="8" t="s">
        <v>26</v>
      </c>
      <c r="I1594" s="8" t="s">
        <v>36</v>
      </c>
      <c r="J1594" s="8" t="s">
        <v>2268</v>
      </c>
      <c r="K1594" s="8" t="s">
        <v>37</v>
      </c>
      <c r="L1594" s="8" t="s">
        <v>38</v>
      </c>
      <c r="M1594" s="8" t="s">
        <v>39</v>
      </c>
      <c r="N1594" s="11">
        <v>131954</v>
      </c>
      <c r="O1594" s="11">
        <v>30818</v>
      </c>
      <c r="P1594" s="12">
        <v>94.1</v>
      </c>
      <c r="Q1594" s="9">
        <v>6</v>
      </c>
      <c r="R1594" s="13">
        <v>25</v>
      </c>
      <c r="S1594" s="13">
        <v>2</v>
      </c>
      <c r="T1594" s="9">
        <v>29</v>
      </c>
      <c r="U1594" s="13">
        <v>88</v>
      </c>
      <c r="V1594" s="8" t="s">
        <v>31</v>
      </c>
      <c r="W1594" s="8"/>
      <c r="X1594" s="22">
        <f>IF(V1594="Yes",1,0)</f>
        <v>0</v>
      </c>
      <c r="Y1594" s="22">
        <f>IF(H1594="Active",0,1)</f>
        <v>0</v>
      </c>
    </row>
    <row r="1595" spans="1:25" ht="18" customHeight="1" x14ac:dyDescent="0.35">
      <c r="A1595" s="8" t="s">
        <v>1859</v>
      </c>
      <c r="B1595" s="8" t="s">
        <v>193</v>
      </c>
      <c r="C1595" s="8" t="s">
        <v>34</v>
      </c>
      <c r="D1595" s="9">
        <v>25</v>
      </c>
      <c r="E1595" s="8" t="s">
        <v>109</v>
      </c>
      <c r="F1595" s="8" t="s">
        <v>79</v>
      </c>
      <c r="G1595" s="10">
        <v>45430</v>
      </c>
      <c r="H1595" s="8" t="s">
        <v>26</v>
      </c>
      <c r="I1595" s="8" t="s">
        <v>27</v>
      </c>
      <c r="J1595" s="8" t="s">
        <v>2269</v>
      </c>
      <c r="K1595" s="8" t="s">
        <v>28</v>
      </c>
      <c r="L1595" s="8" t="s">
        <v>38</v>
      </c>
      <c r="M1595" s="8" t="s">
        <v>39</v>
      </c>
      <c r="N1595" s="11">
        <v>174822</v>
      </c>
      <c r="O1595" s="11">
        <v>40113</v>
      </c>
      <c r="P1595" s="12">
        <v>82.5</v>
      </c>
      <c r="Q1595" s="9">
        <v>6</v>
      </c>
      <c r="R1595" s="13">
        <v>13</v>
      </c>
      <c r="S1595" s="13">
        <v>4</v>
      </c>
      <c r="T1595" s="9">
        <v>32</v>
      </c>
      <c r="U1595" s="13">
        <v>66</v>
      </c>
      <c r="V1595" s="8" t="s">
        <v>31</v>
      </c>
      <c r="W1595" s="8"/>
      <c r="X1595" s="22">
        <f>IF(V1595="Yes",1,0)</f>
        <v>0</v>
      </c>
      <c r="Y1595" s="22">
        <f>IF(H1595="Active",0,1)</f>
        <v>0</v>
      </c>
    </row>
    <row r="1596" spans="1:25" ht="18" customHeight="1" x14ac:dyDescent="0.35">
      <c r="A1596" s="8" t="s">
        <v>2021</v>
      </c>
      <c r="B1596" s="8" t="s">
        <v>464</v>
      </c>
      <c r="C1596" s="8" t="s">
        <v>34</v>
      </c>
      <c r="D1596" s="9">
        <v>57</v>
      </c>
      <c r="E1596" s="8" t="s">
        <v>86</v>
      </c>
      <c r="F1596" s="8" t="s">
        <v>76</v>
      </c>
      <c r="G1596" s="10">
        <v>45429</v>
      </c>
      <c r="H1596" s="8" t="s">
        <v>26</v>
      </c>
      <c r="I1596" s="8" t="s">
        <v>36</v>
      </c>
      <c r="J1596" s="8" t="s">
        <v>2270</v>
      </c>
      <c r="K1596" s="8" t="s">
        <v>73</v>
      </c>
      <c r="L1596" s="8" t="s">
        <v>87</v>
      </c>
      <c r="M1596" s="8" t="s">
        <v>30</v>
      </c>
      <c r="N1596" s="11">
        <v>94882</v>
      </c>
      <c r="O1596" s="11">
        <v>17492</v>
      </c>
      <c r="P1596" s="12">
        <v>86.6</v>
      </c>
      <c r="Q1596" s="9">
        <v>8</v>
      </c>
      <c r="R1596" s="13">
        <v>29</v>
      </c>
      <c r="S1596" s="13">
        <v>2</v>
      </c>
      <c r="T1596" s="9">
        <v>18</v>
      </c>
      <c r="U1596" s="13">
        <v>86</v>
      </c>
      <c r="V1596" s="8" t="s">
        <v>31</v>
      </c>
      <c r="W1596" s="8"/>
      <c r="X1596" s="22">
        <f>IF(V1596="Yes",1,0)</f>
        <v>0</v>
      </c>
      <c r="Y1596" s="22">
        <f>IF(H1596="Active",0,1)</f>
        <v>0</v>
      </c>
    </row>
    <row r="1597" spans="1:25" ht="18" customHeight="1" x14ac:dyDescent="0.35">
      <c r="A1597" s="14" t="s">
        <v>1874</v>
      </c>
      <c r="B1597" s="14" t="s">
        <v>30</v>
      </c>
      <c r="C1597" s="14" t="s">
        <v>34</v>
      </c>
      <c r="D1597" s="15">
        <v>36</v>
      </c>
      <c r="E1597" s="14" t="s">
        <v>109</v>
      </c>
      <c r="F1597" s="14" t="s">
        <v>53</v>
      </c>
      <c r="G1597" s="16">
        <v>45428</v>
      </c>
      <c r="H1597" s="14" t="s">
        <v>26</v>
      </c>
      <c r="I1597" s="14" t="s">
        <v>27</v>
      </c>
      <c r="J1597" s="14" t="s">
        <v>80</v>
      </c>
      <c r="K1597" s="14" t="s">
        <v>55</v>
      </c>
      <c r="L1597" s="14" t="s">
        <v>116</v>
      </c>
      <c r="M1597" s="14" t="s">
        <v>64</v>
      </c>
      <c r="N1597" s="17">
        <v>135145</v>
      </c>
      <c r="O1597" s="17">
        <v>41857</v>
      </c>
      <c r="P1597" s="18">
        <v>81.599999999999994</v>
      </c>
      <c r="Q1597" s="15">
        <v>1</v>
      </c>
      <c r="R1597" s="19">
        <v>21</v>
      </c>
      <c r="S1597" s="19">
        <v>3</v>
      </c>
      <c r="T1597" s="15">
        <v>18</v>
      </c>
      <c r="U1597" s="19">
        <v>94</v>
      </c>
      <c r="V1597" s="14" t="s">
        <v>31</v>
      </c>
      <c r="W1597" s="14"/>
      <c r="X1597" s="14">
        <f>IF(V1597="Yes",1,0)</f>
        <v>0</v>
      </c>
      <c r="Y1597" s="14">
        <f>IF(H1597="Active",0,1)</f>
        <v>0</v>
      </c>
    </row>
    <row r="1598" spans="1:25" ht="18" customHeight="1" x14ac:dyDescent="0.35">
      <c r="A1598" s="14" t="s">
        <v>239</v>
      </c>
      <c r="B1598" s="14" t="s">
        <v>240</v>
      </c>
      <c r="C1598" s="14" t="s">
        <v>34</v>
      </c>
      <c r="D1598" s="15">
        <v>39</v>
      </c>
      <c r="E1598" s="14" t="s">
        <v>93</v>
      </c>
      <c r="F1598" s="14" t="s">
        <v>76</v>
      </c>
      <c r="G1598" s="16">
        <v>45427</v>
      </c>
      <c r="H1598" s="14" t="s">
        <v>26</v>
      </c>
      <c r="I1598" s="14" t="s">
        <v>36</v>
      </c>
      <c r="J1598" s="14" t="s">
        <v>2269</v>
      </c>
      <c r="K1598" s="14" t="s">
        <v>55</v>
      </c>
      <c r="L1598" s="14" t="s">
        <v>38</v>
      </c>
      <c r="M1598" s="14" t="s">
        <v>39</v>
      </c>
      <c r="N1598" s="17">
        <v>56059</v>
      </c>
      <c r="O1598" s="17">
        <v>7524</v>
      </c>
      <c r="P1598" s="18">
        <v>84.9</v>
      </c>
      <c r="Q1598" s="15">
        <v>10</v>
      </c>
      <c r="R1598" s="19">
        <v>15</v>
      </c>
      <c r="S1598" s="19">
        <v>1</v>
      </c>
      <c r="T1598" s="15">
        <v>37</v>
      </c>
      <c r="U1598" s="19">
        <v>94</v>
      </c>
      <c r="V1598" s="14" t="s">
        <v>31</v>
      </c>
      <c r="W1598" s="14"/>
      <c r="X1598" s="14">
        <f>IF(V1598="Yes",1,0)</f>
        <v>0</v>
      </c>
      <c r="Y1598" s="14">
        <f>IF(H1598="Active",0,1)</f>
        <v>0</v>
      </c>
    </row>
    <row r="1599" spans="1:25" ht="18" customHeight="1" x14ac:dyDescent="0.35">
      <c r="A1599" s="14" t="s">
        <v>582</v>
      </c>
      <c r="B1599" s="14" t="s">
        <v>583</v>
      </c>
      <c r="C1599" s="14" t="s">
        <v>34</v>
      </c>
      <c r="D1599" s="15">
        <v>36</v>
      </c>
      <c r="E1599" s="14" t="s">
        <v>63</v>
      </c>
      <c r="F1599" s="14" t="s">
        <v>90</v>
      </c>
      <c r="G1599" s="16">
        <v>45427</v>
      </c>
      <c r="H1599" s="14" t="s">
        <v>26</v>
      </c>
      <c r="I1599" s="14" t="s">
        <v>2267</v>
      </c>
      <c r="J1599" s="14" t="s">
        <v>2268</v>
      </c>
      <c r="K1599" s="14" t="s">
        <v>55</v>
      </c>
      <c r="L1599" s="14" t="s">
        <v>44</v>
      </c>
      <c r="M1599" s="14" t="s">
        <v>30</v>
      </c>
      <c r="N1599" s="17">
        <v>245545</v>
      </c>
      <c r="O1599" s="17">
        <v>40056</v>
      </c>
      <c r="P1599" s="18">
        <v>83.2</v>
      </c>
      <c r="Q1599" s="15">
        <v>8</v>
      </c>
      <c r="R1599" s="19">
        <v>23</v>
      </c>
      <c r="S1599" s="19">
        <v>2</v>
      </c>
      <c r="T1599" s="15">
        <v>36</v>
      </c>
      <c r="U1599" s="19">
        <v>86</v>
      </c>
      <c r="V1599" s="14" t="s">
        <v>31</v>
      </c>
      <c r="W1599" s="14"/>
      <c r="X1599" s="14">
        <f>IF(V1599="Yes",1,0)</f>
        <v>0</v>
      </c>
      <c r="Y1599" s="14">
        <f>IF(H1599="Active",0,1)</f>
        <v>0</v>
      </c>
    </row>
    <row r="1600" spans="1:25" ht="18" customHeight="1" x14ac:dyDescent="0.35">
      <c r="A1600" s="8" t="s">
        <v>1007</v>
      </c>
      <c r="B1600" s="8" t="s">
        <v>193</v>
      </c>
      <c r="C1600" s="8" t="s">
        <v>25</v>
      </c>
      <c r="D1600" s="9">
        <v>37</v>
      </c>
      <c r="E1600" s="8" t="s">
        <v>67</v>
      </c>
      <c r="F1600" s="8" t="s">
        <v>12</v>
      </c>
      <c r="G1600" s="10">
        <v>45427</v>
      </c>
      <c r="H1600" s="8" t="s">
        <v>26</v>
      </c>
      <c r="I1600" s="8" t="s">
        <v>2267</v>
      </c>
      <c r="J1600" s="8" t="s">
        <v>2270</v>
      </c>
      <c r="K1600" s="8" t="s">
        <v>2271</v>
      </c>
      <c r="L1600" s="8" t="s">
        <v>56</v>
      </c>
      <c r="M1600" s="8" t="s">
        <v>30</v>
      </c>
      <c r="N1600" s="11">
        <v>104315</v>
      </c>
      <c r="O1600" s="11">
        <v>9600</v>
      </c>
      <c r="P1600" s="12">
        <v>83.1</v>
      </c>
      <c r="Q1600" s="9">
        <v>4</v>
      </c>
      <c r="R1600" s="13">
        <v>26</v>
      </c>
      <c r="S1600" s="13">
        <v>5</v>
      </c>
      <c r="T1600" s="9">
        <v>15</v>
      </c>
      <c r="U1600" s="13">
        <v>80</v>
      </c>
      <c r="V1600" s="8" t="s">
        <v>69</v>
      </c>
      <c r="W1600" s="8"/>
      <c r="X1600" s="22">
        <f>IF(V1600="Yes",1,0)</f>
        <v>1</v>
      </c>
      <c r="Y1600" s="22">
        <f>IF(H1600="Active",0,1)</f>
        <v>0</v>
      </c>
    </row>
    <row r="1601" spans="1:25" ht="18" customHeight="1" x14ac:dyDescent="0.35">
      <c r="A1601" s="8" t="s">
        <v>1121</v>
      </c>
      <c r="B1601" s="8" t="s">
        <v>837</v>
      </c>
      <c r="C1601" s="8" t="s">
        <v>34</v>
      </c>
      <c r="D1601" s="9">
        <v>24</v>
      </c>
      <c r="E1601" s="8" t="s">
        <v>42</v>
      </c>
      <c r="F1601" s="8" t="s">
        <v>53</v>
      </c>
      <c r="G1601" s="10">
        <v>45427</v>
      </c>
      <c r="H1601" s="8" t="s">
        <v>26</v>
      </c>
      <c r="I1601" s="8" t="s">
        <v>27</v>
      </c>
      <c r="J1601" s="8" t="s">
        <v>80</v>
      </c>
      <c r="K1601" s="8" t="s">
        <v>37</v>
      </c>
      <c r="L1601" s="8" t="s">
        <v>68</v>
      </c>
      <c r="M1601" s="8" t="s">
        <v>64</v>
      </c>
      <c r="N1601" s="11">
        <v>95145</v>
      </c>
      <c r="O1601" s="11">
        <v>5185</v>
      </c>
      <c r="P1601" s="12">
        <v>99.7</v>
      </c>
      <c r="Q1601" s="9">
        <v>8</v>
      </c>
      <c r="R1601" s="13">
        <v>29</v>
      </c>
      <c r="S1601" s="13">
        <v>1</v>
      </c>
      <c r="T1601" s="9">
        <v>31</v>
      </c>
      <c r="U1601" s="13">
        <v>75</v>
      </c>
      <c r="V1601" s="8" t="s">
        <v>31</v>
      </c>
      <c r="W1601" s="8"/>
      <c r="X1601" s="22">
        <f>IF(V1601="Yes",1,0)</f>
        <v>0</v>
      </c>
      <c r="Y1601" s="22">
        <f>IF(H1601="Active",0,1)</f>
        <v>0</v>
      </c>
    </row>
    <row r="1602" spans="1:25" ht="18" customHeight="1" x14ac:dyDescent="0.35">
      <c r="A1602" s="14" t="s">
        <v>1548</v>
      </c>
      <c r="B1602" s="14" t="s">
        <v>454</v>
      </c>
      <c r="C1602" s="14" t="s">
        <v>25</v>
      </c>
      <c r="D1602" s="15">
        <v>50</v>
      </c>
      <c r="E1602" s="14" t="s">
        <v>109</v>
      </c>
      <c r="F1602" s="14" t="s">
        <v>72</v>
      </c>
      <c r="G1602" s="16">
        <v>45427</v>
      </c>
      <c r="H1602" s="14" t="s">
        <v>26</v>
      </c>
      <c r="I1602" s="14" t="s">
        <v>36</v>
      </c>
      <c r="J1602" s="14" t="s">
        <v>80</v>
      </c>
      <c r="K1602" s="14" t="s">
        <v>55</v>
      </c>
      <c r="L1602" s="14" t="s">
        <v>38</v>
      </c>
      <c r="M1602" s="14" t="s">
        <v>30</v>
      </c>
      <c r="N1602" s="17">
        <v>43894</v>
      </c>
      <c r="O1602" s="17">
        <v>33222</v>
      </c>
      <c r="P1602" s="18">
        <v>86.6</v>
      </c>
      <c r="Q1602" s="15">
        <v>7</v>
      </c>
      <c r="R1602" s="19">
        <v>18</v>
      </c>
      <c r="S1602" s="19">
        <v>4</v>
      </c>
      <c r="T1602" s="15">
        <v>11</v>
      </c>
      <c r="U1602" s="19">
        <v>89</v>
      </c>
      <c r="V1602" s="14" t="s">
        <v>31</v>
      </c>
      <c r="W1602" s="14"/>
      <c r="X1602" s="14">
        <f>IF(V1602="Yes",1,0)</f>
        <v>0</v>
      </c>
      <c r="Y1602" s="14">
        <f>IF(H1602="Active",0,1)</f>
        <v>0</v>
      </c>
    </row>
    <row r="1603" spans="1:25" ht="18" customHeight="1" x14ac:dyDescent="0.35">
      <c r="A1603" s="8" t="s">
        <v>983</v>
      </c>
      <c r="B1603" s="8" t="s">
        <v>379</v>
      </c>
      <c r="C1603" s="8" t="s">
        <v>25</v>
      </c>
      <c r="D1603" s="9">
        <v>22</v>
      </c>
      <c r="E1603" s="8" t="s">
        <v>93</v>
      </c>
      <c r="F1603" s="8" t="s">
        <v>79</v>
      </c>
      <c r="G1603" s="10">
        <v>45426</v>
      </c>
      <c r="H1603" s="8" t="s">
        <v>26</v>
      </c>
      <c r="I1603" s="8" t="s">
        <v>2267</v>
      </c>
      <c r="J1603" s="8" t="s">
        <v>48</v>
      </c>
      <c r="K1603" s="8" t="s">
        <v>28</v>
      </c>
      <c r="L1603" s="8" t="s">
        <v>68</v>
      </c>
      <c r="M1603" s="8" t="s">
        <v>60</v>
      </c>
      <c r="N1603" s="11">
        <v>203581</v>
      </c>
      <c r="O1603" s="11">
        <v>35188</v>
      </c>
      <c r="P1603" s="12">
        <v>89.7</v>
      </c>
      <c r="Q1603" s="9">
        <v>4</v>
      </c>
      <c r="R1603" s="13">
        <v>16</v>
      </c>
      <c r="S1603" s="13">
        <v>3</v>
      </c>
      <c r="T1603" s="9">
        <v>5</v>
      </c>
      <c r="U1603" s="13">
        <v>71</v>
      </c>
      <c r="V1603" s="8" t="s">
        <v>31</v>
      </c>
      <c r="W1603" s="8"/>
      <c r="X1603" s="22">
        <f>IF(V1603="Yes",1,0)</f>
        <v>0</v>
      </c>
      <c r="Y1603" s="22">
        <f>IF(H1603="Active",0,1)</f>
        <v>0</v>
      </c>
    </row>
    <row r="1604" spans="1:25" ht="18" customHeight="1" x14ac:dyDescent="0.35">
      <c r="A1604" s="14" t="s">
        <v>1167</v>
      </c>
      <c r="B1604" s="14" t="s">
        <v>131</v>
      </c>
      <c r="C1604" s="14" t="s">
        <v>34</v>
      </c>
      <c r="D1604" s="15">
        <v>49</v>
      </c>
      <c r="E1604" s="14" t="s">
        <v>67</v>
      </c>
      <c r="F1604" s="14" t="s">
        <v>90</v>
      </c>
      <c r="G1604" s="16">
        <v>45426</v>
      </c>
      <c r="H1604" s="14" t="s">
        <v>26</v>
      </c>
      <c r="I1604" s="14" t="s">
        <v>27</v>
      </c>
      <c r="J1604" s="14" t="s">
        <v>2270</v>
      </c>
      <c r="K1604" s="14" t="s">
        <v>55</v>
      </c>
      <c r="L1604" s="14" t="s">
        <v>49</v>
      </c>
      <c r="M1604" s="14" t="s">
        <v>39</v>
      </c>
      <c r="N1604" s="17">
        <v>166858</v>
      </c>
      <c r="O1604" s="17">
        <v>40264</v>
      </c>
      <c r="P1604" s="18">
        <v>86.7</v>
      </c>
      <c r="Q1604" s="15">
        <v>5</v>
      </c>
      <c r="R1604" s="19">
        <v>17</v>
      </c>
      <c r="S1604" s="19">
        <v>3</v>
      </c>
      <c r="T1604" s="15">
        <v>14</v>
      </c>
      <c r="U1604" s="19">
        <v>94</v>
      </c>
      <c r="V1604" s="14" t="s">
        <v>31</v>
      </c>
      <c r="W1604" s="14"/>
      <c r="X1604" s="14">
        <f>IF(V1604="Yes",1,0)</f>
        <v>0</v>
      </c>
      <c r="Y1604" s="14">
        <f>IF(H1604="Active",0,1)</f>
        <v>0</v>
      </c>
    </row>
    <row r="1605" spans="1:25" ht="18" customHeight="1" x14ac:dyDescent="0.35">
      <c r="A1605" s="14" t="s">
        <v>2208</v>
      </c>
      <c r="B1605" s="14" t="s">
        <v>548</v>
      </c>
      <c r="C1605" s="14" t="s">
        <v>34</v>
      </c>
      <c r="D1605" s="15">
        <v>57</v>
      </c>
      <c r="E1605" s="14" t="s">
        <v>86</v>
      </c>
      <c r="F1605" s="14" t="s">
        <v>43</v>
      </c>
      <c r="G1605" s="16">
        <v>45426</v>
      </c>
      <c r="H1605" s="14" t="s">
        <v>26</v>
      </c>
      <c r="I1605" s="14" t="s">
        <v>36</v>
      </c>
      <c r="J1605" s="14" t="s">
        <v>80</v>
      </c>
      <c r="K1605" s="14" t="s">
        <v>37</v>
      </c>
      <c r="L1605" s="14" t="s">
        <v>68</v>
      </c>
      <c r="M1605" s="14" t="s">
        <v>39</v>
      </c>
      <c r="N1605" s="17">
        <v>147883</v>
      </c>
      <c r="O1605" s="17">
        <v>37700</v>
      </c>
      <c r="P1605" s="18">
        <v>95.6</v>
      </c>
      <c r="Q1605" s="15">
        <v>5</v>
      </c>
      <c r="R1605" s="19">
        <v>30</v>
      </c>
      <c r="S1605" s="19">
        <v>5</v>
      </c>
      <c r="T1605" s="15">
        <v>10</v>
      </c>
      <c r="U1605" s="19">
        <v>91</v>
      </c>
      <c r="V1605" s="14" t="s">
        <v>31</v>
      </c>
      <c r="W1605" s="14"/>
      <c r="X1605" s="14">
        <f>IF(V1605="Yes",1,0)</f>
        <v>0</v>
      </c>
      <c r="Y1605" s="14">
        <f>IF(H1605="Active",0,1)</f>
        <v>0</v>
      </c>
    </row>
    <row r="1606" spans="1:25" ht="18" customHeight="1" x14ac:dyDescent="0.35">
      <c r="A1606" s="8" t="s">
        <v>2255</v>
      </c>
      <c r="B1606" s="8" t="s">
        <v>246</v>
      </c>
      <c r="C1606" s="8" t="s">
        <v>34</v>
      </c>
      <c r="D1606" s="9">
        <v>53</v>
      </c>
      <c r="E1606" s="8" t="s">
        <v>109</v>
      </c>
      <c r="F1606" s="8" t="s">
        <v>79</v>
      </c>
      <c r="G1606" s="10">
        <v>45426</v>
      </c>
      <c r="H1606" s="8" t="s">
        <v>26</v>
      </c>
      <c r="I1606" s="8" t="s">
        <v>2267</v>
      </c>
      <c r="J1606" s="8" t="s">
        <v>2270</v>
      </c>
      <c r="K1606" s="8" t="s">
        <v>55</v>
      </c>
      <c r="L1606" s="8" t="s">
        <v>68</v>
      </c>
      <c r="M1606" s="8" t="s">
        <v>60</v>
      </c>
      <c r="N1606" s="11">
        <v>37724</v>
      </c>
      <c r="O1606" s="11">
        <v>13232</v>
      </c>
      <c r="P1606" s="12">
        <v>89.3</v>
      </c>
      <c r="Q1606" s="9">
        <v>5</v>
      </c>
      <c r="R1606" s="13">
        <v>16</v>
      </c>
      <c r="S1606" s="13">
        <v>3</v>
      </c>
      <c r="T1606" s="9">
        <v>18</v>
      </c>
      <c r="U1606" s="13">
        <v>73</v>
      </c>
      <c r="V1606" s="8" t="s">
        <v>69</v>
      </c>
      <c r="W1606" s="8"/>
      <c r="X1606" s="22">
        <f>IF(V1606="Yes",1,0)</f>
        <v>1</v>
      </c>
      <c r="Y1606" s="22">
        <f>IF(H1606="Active",0,1)</f>
        <v>0</v>
      </c>
    </row>
    <row r="1607" spans="1:25" ht="18" customHeight="1" x14ac:dyDescent="0.35">
      <c r="A1607" s="14" t="s">
        <v>81</v>
      </c>
      <c r="B1607" s="14" t="s">
        <v>82</v>
      </c>
      <c r="C1607" s="14" t="s">
        <v>25</v>
      </c>
      <c r="D1607" s="15">
        <v>52</v>
      </c>
      <c r="E1607" s="14" t="s">
        <v>2303</v>
      </c>
      <c r="F1607" s="14" t="s">
        <v>43</v>
      </c>
      <c r="G1607" s="16">
        <v>45425</v>
      </c>
      <c r="H1607" s="14" t="s">
        <v>54</v>
      </c>
      <c r="I1607" s="14" t="s">
        <v>36</v>
      </c>
      <c r="J1607" s="14" t="s">
        <v>2269</v>
      </c>
      <c r="K1607" s="14" t="s">
        <v>73</v>
      </c>
      <c r="L1607" s="14" t="s">
        <v>56</v>
      </c>
      <c r="M1607" s="14" t="s">
        <v>45</v>
      </c>
      <c r="N1607" s="17">
        <v>130301</v>
      </c>
      <c r="O1607" s="17">
        <v>35921</v>
      </c>
      <c r="P1607" s="18">
        <v>94.5</v>
      </c>
      <c r="Q1607" s="15">
        <v>1</v>
      </c>
      <c r="R1607" s="19">
        <v>28</v>
      </c>
      <c r="S1607" s="19">
        <v>2</v>
      </c>
      <c r="T1607" s="15">
        <v>33</v>
      </c>
      <c r="U1607" s="19">
        <v>66</v>
      </c>
      <c r="V1607" s="14" t="s">
        <v>31</v>
      </c>
      <c r="W1607" s="14" t="s">
        <v>83</v>
      </c>
      <c r="X1607" s="14">
        <f>IF(V1607="Yes",1,0)</f>
        <v>0</v>
      </c>
      <c r="Y1607" s="14">
        <f>IF(H1607="Active",0,1)</f>
        <v>1</v>
      </c>
    </row>
    <row r="1608" spans="1:25" ht="18" customHeight="1" x14ac:dyDescent="0.35">
      <c r="A1608" s="8" t="s">
        <v>1693</v>
      </c>
      <c r="B1608" s="8" t="s">
        <v>232</v>
      </c>
      <c r="C1608" s="8" t="s">
        <v>34</v>
      </c>
      <c r="D1608" s="9">
        <v>26</v>
      </c>
      <c r="E1608" s="8" t="s">
        <v>86</v>
      </c>
      <c r="F1608" s="8" t="s">
        <v>90</v>
      </c>
      <c r="G1608" s="10">
        <v>45425</v>
      </c>
      <c r="H1608" s="8" t="s">
        <v>26</v>
      </c>
      <c r="I1608" s="8" t="s">
        <v>36</v>
      </c>
      <c r="J1608" s="8" t="s">
        <v>2269</v>
      </c>
      <c r="K1608" s="8" t="s">
        <v>73</v>
      </c>
      <c r="L1608" s="8" t="s">
        <v>38</v>
      </c>
      <c r="M1608" s="8" t="s">
        <v>60</v>
      </c>
      <c r="N1608" s="11">
        <v>201885</v>
      </c>
      <c r="O1608" s="11">
        <v>32017</v>
      </c>
      <c r="P1608" s="12">
        <v>83.2</v>
      </c>
      <c r="Q1608" s="9">
        <v>7</v>
      </c>
      <c r="R1608" s="13">
        <v>11</v>
      </c>
      <c r="S1608" s="13">
        <v>2</v>
      </c>
      <c r="T1608" s="9">
        <v>35</v>
      </c>
      <c r="U1608" s="13">
        <v>78</v>
      </c>
      <c r="V1608" s="8" t="s">
        <v>31</v>
      </c>
      <c r="W1608" s="8"/>
      <c r="X1608" s="22">
        <f>IF(V1608="Yes",1,0)</f>
        <v>0</v>
      </c>
      <c r="Y1608" s="22">
        <f>IF(H1608="Active",0,1)</f>
        <v>0</v>
      </c>
    </row>
    <row r="1609" spans="1:25" ht="18" customHeight="1" x14ac:dyDescent="0.35">
      <c r="A1609" s="8" t="s">
        <v>2145</v>
      </c>
      <c r="B1609" s="8" t="s">
        <v>175</v>
      </c>
      <c r="C1609" s="8" t="s">
        <v>25</v>
      </c>
      <c r="D1609" s="9">
        <v>45</v>
      </c>
      <c r="E1609" s="8" t="s">
        <v>63</v>
      </c>
      <c r="F1609" s="8" t="s">
        <v>79</v>
      </c>
      <c r="G1609" s="10">
        <v>45425</v>
      </c>
      <c r="H1609" s="8" t="s">
        <v>26</v>
      </c>
      <c r="I1609" s="8" t="s">
        <v>27</v>
      </c>
      <c r="J1609" s="8" t="s">
        <v>2270</v>
      </c>
      <c r="K1609" s="8" t="s">
        <v>2271</v>
      </c>
      <c r="L1609" s="8" t="s">
        <v>116</v>
      </c>
      <c r="M1609" s="8" t="s">
        <v>30</v>
      </c>
      <c r="N1609" s="11">
        <v>61746</v>
      </c>
      <c r="O1609" s="11">
        <v>40414</v>
      </c>
      <c r="P1609" s="12">
        <v>98.9</v>
      </c>
      <c r="Q1609" s="9">
        <v>4</v>
      </c>
      <c r="R1609" s="13">
        <v>4</v>
      </c>
      <c r="S1609" s="13">
        <v>2</v>
      </c>
      <c r="T1609" s="9">
        <v>31</v>
      </c>
      <c r="U1609" s="13">
        <v>78</v>
      </c>
      <c r="V1609" s="8" t="s">
        <v>31</v>
      </c>
      <c r="W1609" s="8"/>
      <c r="X1609" s="22">
        <f>IF(V1609="Yes",1,0)</f>
        <v>0</v>
      </c>
      <c r="Y1609" s="22">
        <f>IF(H1609="Active",0,1)</f>
        <v>0</v>
      </c>
    </row>
    <row r="1610" spans="1:25" ht="18" customHeight="1" x14ac:dyDescent="0.35">
      <c r="A1610" s="8" t="s">
        <v>968</v>
      </c>
      <c r="B1610" s="8" t="s">
        <v>362</v>
      </c>
      <c r="C1610" s="8" t="s">
        <v>34</v>
      </c>
      <c r="D1610" s="9">
        <v>35</v>
      </c>
      <c r="E1610" s="8" t="s">
        <v>2304</v>
      </c>
      <c r="F1610" s="8" t="s">
        <v>90</v>
      </c>
      <c r="G1610" s="10">
        <v>45424</v>
      </c>
      <c r="H1610" s="8" t="s">
        <v>26</v>
      </c>
      <c r="I1610" s="8" t="s">
        <v>27</v>
      </c>
      <c r="J1610" s="8" t="s">
        <v>80</v>
      </c>
      <c r="K1610" s="8" t="s">
        <v>55</v>
      </c>
      <c r="L1610" s="8" t="s">
        <v>68</v>
      </c>
      <c r="M1610" s="8" t="s">
        <v>30</v>
      </c>
      <c r="N1610" s="11">
        <v>35721</v>
      </c>
      <c r="O1610" s="11">
        <v>39902</v>
      </c>
      <c r="P1610" s="12">
        <v>88.3</v>
      </c>
      <c r="Q1610" s="9">
        <v>3</v>
      </c>
      <c r="R1610" s="13">
        <v>18</v>
      </c>
      <c r="S1610" s="13">
        <v>1</v>
      </c>
      <c r="T1610" s="9">
        <v>6</v>
      </c>
      <c r="U1610" s="13">
        <v>70</v>
      </c>
      <c r="V1610" s="8" t="s">
        <v>31</v>
      </c>
      <c r="W1610" s="8"/>
      <c r="X1610" s="22">
        <f>IF(V1610="Yes",1,0)</f>
        <v>0</v>
      </c>
      <c r="Y1610" s="22">
        <f>IF(H1610="Active",0,1)</f>
        <v>0</v>
      </c>
    </row>
    <row r="1611" spans="1:25" ht="18" customHeight="1" x14ac:dyDescent="0.35">
      <c r="A1611" s="14" t="s">
        <v>1082</v>
      </c>
      <c r="B1611" s="14" t="s">
        <v>429</v>
      </c>
      <c r="C1611" s="14" t="s">
        <v>25</v>
      </c>
      <c r="D1611" s="15">
        <v>23</v>
      </c>
      <c r="E1611" s="14" t="s">
        <v>93</v>
      </c>
      <c r="F1611" s="14" t="s">
        <v>12</v>
      </c>
      <c r="G1611" s="16">
        <v>45424</v>
      </c>
      <c r="H1611" s="14" t="s">
        <v>54</v>
      </c>
      <c r="I1611" s="14" t="s">
        <v>36</v>
      </c>
      <c r="J1611" s="14" t="s">
        <v>2268</v>
      </c>
      <c r="K1611" s="14" t="s">
        <v>28</v>
      </c>
      <c r="L1611" s="14" t="s">
        <v>87</v>
      </c>
      <c r="M1611" s="14" t="s">
        <v>60</v>
      </c>
      <c r="N1611" s="17">
        <v>96643</v>
      </c>
      <c r="O1611" s="17">
        <v>42748</v>
      </c>
      <c r="P1611" s="18">
        <v>99.3</v>
      </c>
      <c r="Q1611" s="15">
        <v>0</v>
      </c>
      <c r="R1611" s="19">
        <v>19</v>
      </c>
      <c r="S1611" s="19">
        <v>1</v>
      </c>
      <c r="T1611" s="15">
        <v>35</v>
      </c>
      <c r="U1611" s="19">
        <v>68</v>
      </c>
      <c r="V1611" s="14" t="s">
        <v>69</v>
      </c>
      <c r="W1611" s="14" t="s">
        <v>205</v>
      </c>
      <c r="X1611" s="14">
        <f>IF(V1611="Yes",1,0)</f>
        <v>1</v>
      </c>
      <c r="Y1611" s="14">
        <f>IF(H1611="Active",0,1)</f>
        <v>1</v>
      </c>
    </row>
    <row r="1612" spans="1:25" ht="18" customHeight="1" x14ac:dyDescent="0.35">
      <c r="A1612" s="8" t="s">
        <v>1919</v>
      </c>
      <c r="B1612" s="8" t="s">
        <v>111</v>
      </c>
      <c r="C1612" s="8" t="s">
        <v>25</v>
      </c>
      <c r="D1612" s="9">
        <v>38</v>
      </c>
      <c r="E1612" s="8" t="s">
        <v>67</v>
      </c>
      <c r="F1612" s="8" t="s">
        <v>43</v>
      </c>
      <c r="G1612" s="10">
        <v>45424</v>
      </c>
      <c r="H1612" s="8" t="s">
        <v>26</v>
      </c>
      <c r="I1612" s="8" t="s">
        <v>36</v>
      </c>
      <c r="J1612" s="8" t="s">
        <v>2269</v>
      </c>
      <c r="K1612" s="8" t="s">
        <v>2271</v>
      </c>
      <c r="L1612" s="8" t="s">
        <v>38</v>
      </c>
      <c r="M1612" s="8" t="s">
        <v>64</v>
      </c>
      <c r="N1612" s="11">
        <v>231959</v>
      </c>
      <c r="O1612" s="11">
        <v>47982</v>
      </c>
      <c r="P1612" s="12">
        <v>93.3</v>
      </c>
      <c r="Q1612" s="9">
        <v>0</v>
      </c>
      <c r="R1612" s="13">
        <v>28</v>
      </c>
      <c r="S1612" s="13">
        <v>5</v>
      </c>
      <c r="T1612" s="9">
        <v>18</v>
      </c>
      <c r="U1612" s="13">
        <v>100</v>
      </c>
      <c r="V1612" s="8" t="s">
        <v>31</v>
      </c>
      <c r="W1612" s="8"/>
      <c r="X1612" s="22">
        <f>IF(V1612="Yes",1,0)</f>
        <v>0</v>
      </c>
      <c r="Y1612" s="22">
        <f>IF(H1612="Active",0,1)</f>
        <v>0</v>
      </c>
    </row>
    <row r="1613" spans="1:25" ht="18" customHeight="1" x14ac:dyDescent="0.35">
      <c r="A1613" s="14" t="s">
        <v>923</v>
      </c>
      <c r="B1613" s="14" t="s">
        <v>215</v>
      </c>
      <c r="C1613" s="14" t="s">
        <v>34</v>
      </c>
      <c r="D1613" s="15">
        <v>37</v>
      </c>
      <c r="E1613" s="14" t="s">
        <v>67</v>
      </c>
      <c r="F1613" s="14" t="s">
        <v>90</v>
      </c>
      <c r="G1613" s="16">
        <v>45422</v>
      </c>
      <c r="H1613" s="14" t="s">
        <v>26</v>
      </c>
      <c r="I1613" s="14" t="s">
        <v>2267</v>
      </c>
      <c r="J1613" s="14" t="s">
        <v>48</v>
      </c>
      <c r="K1613" s="14" t="s">
        <v>28</v>
      </c>
      <c r="L1613" s="14" t="s">
        <v>68</v>
      </c>
      <c r="M1613" s="14" t="s">
        <v>45</v>
      </c>
      <c r="N1613" s="17">
        <v>85911</v>
      </c>
      <c r="O1613" s="17">
        <v>24954</v>
      </c>
      <c r="P1613" s="18">
        <v>96.4</v>
      </c>
      <c r="Q1613" s="15">
        <v>0</v>
      </c>
      <c r="R1613" s="19">
        <v>10</v>
      </c>
      <c r="S1613" s="19">
        <v>4</v>
      </c>
      <c r="T1613" s="15">
        <v>32</v>
      </c>
      <c r="U1613" s="19">
        <v>89</v>
      </c>
      <c r="V1613" s="14" t="s">
        <v>31</v>
      </c>
      <c r="W1613" s="14"/>
      <c r="X1613" s="14">
        <f>IF(V1613="Yes",1,0)</f>
        <v>0</v>
      </c>
      <c r="Y1613" s="14">
        <f>IF(H1613="Active",0,1)</f>
        <v>0</v>
      </c>
    </row>
    <row r="1614" spans="1:25" ht="18" customHeight="1" x14ac:dyDescent="0.35">
      <c r="A1614" s="14" t="s">
        <v>1124</v>
      </c>
      <c r="B1614" s="14" t="s">
        <v>179</v>
      </c>
      <c r="C1614" s="14" t="s">
        <v>34</v>
      </c>
      <c r="D1614" s="15">
        <v>31</v>
      </c>
      <c r="E1614" s="14" t="s">
        <v>2303</v>
      </c>
      <c r="F1614" s="14" t="s">
        <v>72</v>
      </c>
      <c r="G1614" s="16">
        <v>45422</v>
      </c>
      <c r="H1614" s="14" t="s">
        <v>26</v>
      </c>
      <c r="I1614" s="14" t="s">
        <v>2267</v>
      </c>
      <c r="J1614" s="14" t="s">
        <v>48</v>
      </c>
      <c r="K1614" s="14" t="s">
        <v>2271</v>
      </c>
      <c r="L1614" s="14" t="s">
        <v>68</v>
      </c>
      <c r="M1614" s="14" t="s">
        <v>30</v>
      </c>
      <c r="N1614" s="17">
        <v>49108</v>
      </c>
      <c r="O1614" s="17">
        <v>27123</v>
      </c>
      <c r="P1614" s="18">
        <v>95.8</v>
      </c>
      <c r="Q1614" s="15">
        <v>0</v>
      </c>
      <c r="R1614" s="19">
        <v>9</v>
      </c>
      <c r="S1614" s="19">
        <v>4</v>
      </c>
      <c r="T1614" s="15">
        <v>0</v>
      </c>
      <c r="U1614" s="19">
        <v>63</v>
      </c>
      <c r="V1614" s="14" t="s">
        <v>31</v>
      </c>
      <c r="W1614" s="14"/>
      <c r="X1614" s="14">
        <f>IF(V1614="Yes",1,0)</f>
        <v>0</v>
      </c>
      <c r="Y1614" s="14">
        <f>IF(H1614="Active",0,1)</f>
        <v>0</v>
      </c>
    </row>
    <row r="1615" spans="1:25" ht="18" customHeight="1" x14ac:dyDescent="0.35">
      <c r="A1615" s="14" t="s">
        <v>1177</v>
      </c>
      <c r="B1615" s="14" t="s">
        <v>210</v>
      </c>
      <c r="C1615" s="14" t="s">
        <v>34</v>
      </c>
      <c r="D1615" s="15">
        <v>25</v>
      </c>
      <c r="E1615" s="14" t="s">
        <v>2303</v>
      </c>
      <c r="F1615" s="14" t="s">
        <v>90</v>
      </c>
      <c r="G1615" s="16">
        <v>45422</v>
      </c>
      <c r="H1615" s="14" t="s">
        <v>26</v>
      </c>
      <c r="I1615" s="14" t="s">
        <v>27</v>
      </c>
      <c r="J1615" s="14" t="s">
        <v>80</v>
      </c>
      <c r="K1615" s="14" t="s">
        <v>2271</v>
      </c>
      <c r="L1615" s="14" t="s">
        <v>87</v>
      </c>
      <c r="M1615" s="14" t="s">
        <v>60</v>
      </c>
      <c r="N1615" s="17">
        <v>113925</v>
      </c>
      <c r="O1615" s="17">
        <v>13007</v>
      </c>
      <c r="P1615" s="18">
        <v>96.2</v>
      </c>
      <c r="Q1615" s="15">
        <v>4</v>
      </c>
      <c r="R1615" s="19">
        <v>23</v>
      </c>
      <c r="S1615" s="19">
        <v>4</v>
      </c>
      <c r="T1615" s="15">
        <v>26</v>
      </c>
      <c r="U1615" s="19">
        <v>76</v>
      </c>
      <c r="V1615" s="14" t="s">
        <v>31</v>
      </c>
      <c r="W1615" s="14"/>
      <c r="X1615" s="14">
        <f>IF(V1615="Yes",1,0)</f>
        <v>0</v>
      </c>
      <c r="Y1615" s="14">
        <f>IF(H1615="Active",0,1)</f>
        <v>0</v>
      </c>
    </row>
    <row r="1616" spans="1:25" ht="18" customHeight="1" x14ac:dyDescent="0.35">
      <c r="A1616" s="14" t="s">
        <v>1902</v>
      </c>
      <c r="B1616" s="14" t="s">
        <v>409</v>
      </c>
      <c r="C1616" s="14" t="s">
        <v>25</v>
      </c>
      <c r="D1616" s="15">
        <v>28</v>
      </c>
      <c r="E1616" s="14" t="s">
        <v>2303</v>
      </c>
      <c r="F1616" s="14" t="s">
        <v>35</v>
      </c>
      <c r="G1616" s="16">
        <v>45422</v>
      </c>
      <c r="H1616" s="14" t="s">
        <v>26</v>
      </c>
      <c r="I1616" s="14" t="s">
        <v>27</v>
      </c>
      <c r="J1616" s="14" t="s">
        <v>48</v>
      </c>
      <c r="K1616" s="14" t="s">
        <v>37</v>
      </c>
      <c r="L1616" s="14" t="s">
        <v>116</v>
      </c>
      <c r="M1616" s="14" t="s">
        <v>30</v>
      </c>
      <c r="N1616" s="17">
        <v>112895</v>
      </c>
      <c r="O1616" s="17">
        <v>18580</v>
      </c>
      <c r="P1616" s="18">
        <v>88</v>
      </c>
      <c r="Q1616" s="15">
        <v>3</v>
      </c>
      <c r="R1616" s="19">
        <v>2</v>
      </c>
      <c r="S1616" s="19">
        <v>5</v>
      </c>
      <c r="T1616" s="15">
        <v>38</v>
      </c>
      <c r="U1616" s="19">
        <v>66</v>
      </c>
      <c r="V1616" s="14" t="s">
        <v>69</v>
      </c>
      <c r="W1616" s="14"/>
      <c r="X1616" s="14">
        <f>IF(V1616="Yes",1,0)</f>
        <v>1</v>
      </c>
      <c r="Y1616" s="14">
        <f>IF(H1616="Active",0,1)</f>
        <v>0</v>
      </c>
    </row>
    <row r="1617" spans="1:25" ht="18" customHeight="1" x14ac:dyDescent="0.35">
      <c r="A1617" s="14" t="s">
        <v>1032</v>
      </c>
      <c r="B1617" s="14" t="s">
        <v>630</v>
      </c>
      <c r="C1617" s="14" t="s">
        <v>25</v>
      </c>
      <c r="D1617" s="15">
        <v>26</v>
      </c>
      <c r="E1617" s="14" t="s">
        <v>93</v>
      </c>
      <c r="F1617" s="14" t="s">
        <v>12</v>
      </c>
      <c r="G1617" s="16">
        <v>45421</v>
      </c>
      <c r="H1617" s="14" t="s">
        <v>26</v>
      </c>
      <c r="I1617" s="14" t="s">
        <v>2267</v>
      </c>
      <c r="J1617" s="14" t="s">
        <v>80</v>
      </c>
      <c r="K1617" s="14" t="s">
        <v>37</v>
      </c>
      <c r="L1617" s="14" t="s">
        <v>87</v>
      </c>
      <c r="M1617" s="14" t="s">
        <v>64</v>
      </c>
      <c r="N1617" s="17">
        <v>206349</v>
      </c>
      <c r="O1617" s="17">
        <v>16476</v>
      </c>
      <c r="P1617" s="18">
        <v>86.1</v>
      </c>
      <c r="Q1617" s="15">
        <v>8</v>
      </c>
      <c r="R1617" s="19">
        <v>28</v>
      </c>
      <c r="S1617" s="19">
        <v>5</v>
      </c>
      <c r="T1617" s="15">
        <v>29</v>
      </c>
      <c r="U1617" s="19">
        <v>98</v>
      </c>
      <c r="V1617" s="14" t="s">
        <v>31</v>
      </c>
      <c r="W1617" s="14"/>
      <c r="X1617" s="14">
        <f>IF(V1617="Yes",1,0)</f>
        <v>0</v>
      </c>
      <c r="Y1617" s="14">
        <f>IF(H1617="Active",0,1)</f>
        <v>0</v>
      </c>
    </row>
    <row r="1618" spans="1:25" ht="18" customHeight="1" x14ac:dyDescent="0.35">
      <c r="A1618" s="14" t="s">
        <v>1670</v>
      </c>
      <c r="B1618" s="14" t="s">
        <v>267</v>
      </c>
      <c r="C1618" s="14" t="s">
        <v>34</v>
      </c>
      <c r="D1618" s="15">
        <v>41</v>
      </c>
      <c r="E1618" s="14" t="s">
        <v>93</v>
      </c>
      <c r="F1618" s="14" t="s">
        <v>12</v>
      </c>
      <c r="G1618" s="16">
        <v>45421</v>
      </c>
      <c r="H1618" s="14" t="s">
        <v>26</v>
      </c>
      <c r="I1618" s="14" t="s">
        <v>27</v>
      </c>
      <c r="J1618" s="14" t="s">
        <v>2269</v>
      </c>
      <c r="K1618" s="14" t="s">
        <v>55</v>
      </c>
      <c r="L1618" s="14" t="s">
        <v>116</v>
      </c>
      <c r="M1618" s="14" t="s">
        <v>60</v>
      </c>
      <c r="N1618" s="17">
        <v>93523</v>
      </c>
      <c r="O1618" s="17">
        <v>39891</v>
      </c>
      <c r="P1618" s="18">
        <v>80.400000000000006</v>
      </c>
      <c r="Q1618" s="15">
        <v>1</v>
      </c>
      <c r="R1618" s="19">
        <v>17</v>
      </c>
      <c r="S1618" s="19">
        <v>5</v>
      </c>
      <c r="T1618" s="15">
        <v>13</v>
      </c>
      <c r="U1618" s="19">
        <v>62</v>
      </c>
      <c r="V1618" s="14" t="s">
        <v>31</v>
      </c>
      <c r="W1618" s="14"/>
      <c r="X1618" s="14">
        <f>IF(V1618="Yes",1,0)</f>
        <v>0</v>
      </c>
      <c r="Y1618" s="14">
        <f>IF(H1618="Active",0,1)</f>
        <v>0</v>
      </c>
    </row>
    <row r="1619" spans="1:25" ht="18" customHeight="1" x14ac:dyDescent="0.35">
      <c r="A1619" s="8" t="s">
        <v>1889</v>
      </c>
      <c r="B1619" s="8" t="s">
        <v>559</v>
      </c>
      <c r="C1619" s="8" t="s">
        <v>25</v>
      </c>
      <c r="D1619" s="9">
        <v>58</v>
      </c>
      <c r="E1619" s="8" t="s">
        <v>93</v>
      </c>
      <c r="F1619" s="8" t="s">
        <v>35</v>
      </c>
      <c r="G1619" s="10">
        <v>45421</v>
      </c>
      <c r="H1619" s="8" t="s">
        <v>54</v>
      </c>
      <c r="I1619" s="8" t="s">
        <v>27</v>
      </c>
      <c r="J1619" s="8" t="s">
        <v>2269</v>
      </c>
      <c r="K1619" s="8" t="s">
        <v>55</v>
      </c>
      <c r="L1619" s="8" t="s">
        <v>38</v>
      </c>
      <c r="M1619" s="8" t="s">
        <v>45</v>
      </c>
      <c r="N1619" s="11">
        <v>168968</v>
      </c>
      <c r="O1619" s="11">
        <v>27953</v>
      </c>
      <c r="P1619" s="12">
        <v>87</v>
      </c>
      <c r="Q1619" s="9">
        <v>2</v>
      </c>
      <c r="R1619" s="13">
        <v>0</v>
      </c>
      <c r="S1619" s="13">
        <v>3</v>
      </c>
      <c r="T1619" s="9">
        <v>26</v>
      </c>
      <c r="U1619" s="13">
        <v>89</v>
      </c>
      <c r="V1619" s="8" t="s">
        <v>31</v>
      </c>
      <c r="W1619" s="8" t="s">
        <v>205</v>
      </c>
      <c r="X1619" s="22">
        <f>IF(V1619="Yes",1,0)</f>
        <v>0</v>
      </c>
      <c r="Y1619" s="22">
        <f>IF(H1619="Active",0,1)</f>
        <v>1</v>
      </c>
    </row>
    <row r="1620" spans="1:25" ht="18" customHeight="1" x14ac:dyDescent="0.35">
      <c r="A1620" s="8" t="s">
        <v>374</v>
      </c>
      <c r="B1620" s="8" t="s">
        <v>197</v>
      </c>
      <c r="C1620" s="8" t="s">
        <v>34</v>
      </c>
      <c r="D1620" s="9">
        <v>28</v>
      </c>
      <c r="E1620" s="8" t="s">
        <v>52</v>
      </c>
      <c r="F1620" s="8" t="s">
        <v>53</v>
      </c>
      <c r="G1620" s="10">
        <v>45420</v>
      </c>
      <c r="H1620" s="8" t="s">
        <v>26</v>
      </c>
      <c r="I1620" s="8" t="s">
        <v>27</v>
      </c>
      <c r="J1620" s="8" t="s">
        <v>80</v>
      </c>
      <c r="K1620" s="8" t="s">
        <v>2271</v>
      </c>
      <c r="L1620" s="8" t="s">
        <v>29</v>
      </c>
      <c r="M1620" s="8" t="s">
        <v>30</v>
      </c>
      <c r="N1620" s="11">
        <v>85161</v>
      </c>
      <c r="O1620" s="11">
        <v>25122</v>
      </c>
      <c r="P1620" s="12">
        <v>89.1</v>
      </c>
      <c r="Q1620" s="9">
        <v>4</v>
      </c>
      <c r="R1620" s="13">
        <v>25</v>
      </c>
      <c r="S1620" s="13">
        <v>5</v>
      </c>
      <c r="T1620" s="9">
        <v>35</v>
      </c>
      <c r="U1620" s="13">
        <v>73</v>
      </c>
      <c r="V1620" s="8" t="s">
        <v>31</v>
      </c>
      <c r="W1620" s="8"/>
      <c r="X1620" s="22">
        <f>IF(V1620="Yes",1,0)</f>
        <v>0</v>
      </c>
      <c r="Y1620" s="22">
        <f>IF(H1620="Active",0,1)</f>
        <v>0</v>
      </c>
    </row>
    <row r="1621" spans="1:25" ht="18" customHeight="1" x14ac:dyDescent="0.35">
      <c r="A1621" s="14" t="s">
        <v>588</v>
      </c>
      <c r="B1621" s="14" t="s">
        <v>274</v>
      </c>
      <c r="C1621" s="14" t="s">
        <v>34</v>
      </c>
      <c r="D1621" s="15">
        <v>58</v>
      </c>
      <c r="E1621" s="14" t="s">
        <v>67</v>
      </c>
      <c r="F1621" s="14" t="s">
        <v>35</v>
      </c>
      <c r="G1621" s="16">
        <v>45420</v>
      </c>
      <c r="H1621" s="14" t="s">
        <v>26</v>
      </c>
      <c r="I1621" s="14" t="s">
        <v>36</v>
      </c>
      <c r="J1621" s="14" t="s">
        <v>2268</v>
      </c>
      <c r="K1621" s="14" t="s">
        <v>55</v>
      </c>
      <c r="L1621" s="14" t="s">
        <v>116</v>
      </c>
      <c r="M1621" s="14" t="s">
        <v>45</v>
      </c>
      <c r="N1621" s="17">
        <v>198062</v>
      </c>
      <c r="O1621" s="17">
        <v>27839</v>
      </c>
      <c r="P1621" s="18">
        <v>88.1</v>
      </c>
      <c r="Q1621" s="15">
        <v>3</v>
      </c>
      <c r="R1621" s="19">
        <v>13</v>
      </c>
      <c r="S1621" s="19">
        <v>3</v>
      </c>
      <c r="T1621" s="15">
        <v>17</v>
      </c>
      <c r="U1621" s="19">
        <v>72</v>
      </c>
      <c r="V1621" s="14" t="s">
        <v>31</v>
      </c>
      <c r="W1621" s="14"/>
      <c r="X1621" s="14">
        <f>IF(V1621="Yes",1,0)</f>
        <v>0</v>
      </c>
      <c r="Y1621" s="14">
        <f>IF(H1621="Active",0,1)</f>
        <v>0</v>
      </c>
    </row>
    <row r="1622" spans="1:25" ht="18" customHeight="1" x14ac:dyDescent="0.35">
      <c r="A1622" s="8" t="s">
        <v>608</v>
      </c>
      <c r="B1622" s="8" t="s">
        <v>308</v>
      </c>
      <c r="C1622" s="8" t="s">
        <v>34</v>
      </c>
      <c r="D1622" s="9">
        <v>47</v>
      </c>
      <c r="E1622" s="8" t="s">
        <v>109</v>
      </c>
      <c r="F1622" s="8" t="s">
        <v>76</v>
      </c>
      <c r="G1622" s="10">
        <v>45420</v>
      </c>
      <c r="H1622" s="8" t="s">
        <v>26</v>
      </c>
      <c r="I1622" s="8" t="s">
        <v>2267</v>
      </c>
      <c r="J1622" s="8" t="s">
        <v>80</v>
      </c>
      <c r="K1622" s="8" t="s">
        <v>2271</v>
      </c>
      <c r="L1622" s="8" t="s">
        <v>56</v>
      </c>
      <c r="M1622" s="8" t="s">
        <v>60</v>
      </c>
      <c r="N1622" s="11">
        <v>106037</v>
      </c>
      <c r="O1622" s="11">
        <v>32255</v>
      </c>
      <c r="P1622" s="12">
        <v>83.4</v>
      </c>
      <c r="Q1622" s="9">
        <v>2</v>
      </c>
      <c r="R1622" s="13">
        <v>10</v>
      </c>
      <c r="S1622" s="13">
        <v>2</v>
      </c>
      <c r="T1622" s="9">
        <v>7</v>
      </c>
      <c r="U1622" s="13">
        <v>61</v>
      </c>
      <c r="V1622" s="8" t="s">
        <v>69</v>
      </c>
      <c r="W1622" s="8"/>
      <c r="X1622" s="22">
        <f>IF(V1622="Yes",1,0)</f>
        <v>1</v>
      </c>
      <c r="Y1622" s="22">
        <f>IF(H1622="Active",0,1)</f>
        <v>0</v>
      </c>
    </row>
    <row r="1623" spans="1:25" ht="18" customHeight="1" x14ac:dyDescent="0.35">
      <c r="A1623" s="8" t="s">
        <v>1555</v>
      </c>
      <c r="B1623" s="8" t="s">
        <v>228</v>
      </c>
      <c r="C1623" s="8" t="s">
        <v>34</v>
      </c>
      <c r="D1623" s="9">
        <v>42</v>
      </c>
      <c r="E1623" s="8" t="s">
        <v>67</v>
      </c>
      <c r="F1623" s="8" t="s">
        <v>79</v>
      </c>
      <c r="G1623" s="10">
        <v>45420</v>
      </c>
      <c r="H1623" s="8" t="s">
        <v>26</v>
      </c>
      <c r="I1623" s="8" t="s">
        <v>27</v>
      </c>
      <c r="J1623" s="8" t="s">
        <v>80</v>
      </c>
      <c r="K1623" s="8" t="s">
        <v>2271</v>
      </c>
      <c r="L1623" s="8" t="s">
        <v>44</v>
      </c>
      <c r="M1623" s="8" t="s">
        <v>45</v>
      </c>
      <c r="N1623" s="11">
        <v>205986</v>
      </c>
      <c r="O1623" s="11">
        <v>8349</v>
      </c>
      <c r="P1623" s="12">
        <v>82.8</v>
      </c>
      <c r="Q1623" s="9">
        <v>0</v>
      </c>
      <c r="R1623" s="13">
        <v>24</v>
      </c>
      <c r="S1623" s="13">
        <v>5</v>
      </c>
      <c r="T1623" s="9">
        <v>38</v>
      </c>
      <c r="U1623" s="13">
        <v>79</v>
      </c>
      <c r="V1623" s="8" t="s">
        <v>31</v>
      </c>
      <c r="W1623" s="8"/>
      <c r="X1623" s="22">
        <f>IF(V1623="Yes",1,0)</f>
        <v>0</v>
      </c>
      <c r="Y1623" s="22">
        <f>IF(H1623="Active",0,1)</f>
        <v>0</v>
      </c>
    </row>
    <row r="1624" spans="1:25" ht="18" customHeight="1" x14ac:dyDescent="0.35">
      <c r="A1624" s="8" t="s">
        <v>1873</v>
      </c>
      <c r="B1624" s="8" t="s">
        <v>134</v>
      </c>
      <c r="C1624" s="8" t="s">
        <v>34</v>
      </c>
      <c r="D1624" s="9">
        <v>41</v>
      </c>
      <c r="E1624" s="8" t="s">
        <v>63</v>
      </c>
      <c r="F1624" s="8" t="s">
        <v>79</v>
      </c>
      <c r="G1624" s="10">
        <v>45420</v>
      </c>
      <c r="H1624" s="8" t="s">
        <v>26</v>
      </c>
      <c r="I1624" s="8" t="s">
        <v>36</v>
      </c>
      <c r="J1624" s="8" t="s">
        <v>2270</v>
      </c>
      <c r="K1624" s="8" t="s">
        <v>37</v>
      </c>
      <c r="L1624" s="8" t="s">
        <v>38</v>
      </c>
      <c r="M1624" s="8" t="s">
        <v>39</v>
      </c>
      <c r="N1624" s="11">
        <v>166605</v>
      </c>
      <c r="O1624" s="11">
        <v>38899</v>
      </c>
      <c r="P1624" s="12">
        <v>98.5</v>
      </c>
      <c r="Q1624" s="9">
        <v>4</v>
      </c>
      <c r="R1624" s="13">
        <v>29</v>
      </c>
      <c r="S1624" s="13">
        <v>5</v>
      </c>
      <c r="T1624" s="9">
        <v>7</v>
      </c>
      <c r="U1624" s="13">
        <v>65</v>
      </c>
      <c r="V1624" s="8" t="s">
        <v>31</v>
      </c>
      <c r="W1624" s="8"/>
      <c r="X1624" s="22">
        <f>IF(V1624="Yes",1,0)</f>
        <v>0</v>
      </c>
      <c r="Y1624" s="22">
        <f>IF(H1624="Active",0,1)</f>
        <v>0</v>
      </c>
    </row>
    <row r="1625" spans="1:25" ht="18" customHeight="1" x14ac:dyDescent="0.35">
      <c r="A1625" s="8" t="s">
        <v>2179</v>
      </c>
      <c r="B1625" s="8" t="s">
        <v>106</v>
      </c>
      <c r="C1625" s="8" t="s">
        <v>34</v>
      </c>
      <c r="D1625" s="9">
        <v>54</v>
      </c>
      <c r="E1625" s="8" t="s">
        <v>52</v>
      </c>
      <c r="F1625" s="8" t="s">
        <v>35</v>
      </c>
      <c r="G1625" s="10">
        <v>45420</v>
      </c>
      <c r="H1625" s="8" t="s">
        <v>26</v>
      </c>
      <c r="I1625" s="8" t="s">
        <v>36</v>
      </c>
      <c r="J1625" s="8" t="s">
        <v>80</v>
      </c>
      <c r="K1625" s="8" t="s">
        <v>55</v>
      </c>
      <c r="L1625" s="8" t="s">
        <v>49</v>
      </c>
      <c r="M1625" s="8" t="s">
        <v>45</v>
      </c>
      <c r="N1625" s="11">
        <v>217742</v>
      </c>
      <c r="O1625" s="11">
        <v>8212</v>
      </c>
      <c r="P1625" s="12">
        <v>93.8</v>
      </c>
      <c r="Q1625" s="9">
        <v>3</v>
      </c>
      <c r="R1625" s="13">
        <v>1</v>
      </c>
      <c r="S1625" s="13">
        <v>3</v>
      </c>
      <c r="T1625" s="9">
        <v>38</v>
      </c>
      <c r="U1625" s="13">
        <v>80</v>
      </c>
      <c r="V1625" s="8" t="s">
        <v>31</v>
      </c>
      <c r="W1625" s="8"/>
      <c r="X1625" s="22">
        <f>IF(V1625="Yes",1,0)</f>
        <v>0</v>
      </c>
      <c r="Y1625" s="22">
        <f>IF(H1625="Active",0,1)</f>
        <v>0</v>
      </c>
    </row>
    <row r="1626" spans="1:25" ht="18" customHeight="1" x14ac:dyDescent="0.35">
      <c r="A1626" s="14" t="s">
        <v>112</v>
      </c>
      <c r="B1626" s="14" t="s">
        <v>113</v>
      </c>
      <c r="C1626" s="14" t="s">
        <v>25</v>
      </c>
      <c r="D1626" s="15">
        <v>27</v>
      </c>
      <c r="E1626" s="14" t="s">
        <v>109</v>
      </c>
      <c r="F1626" s="14" t="s">
        <v>79</v>
      </c>
      <c r="G1626" s="16">
        <v>45419</v>
      </c>
      <c r="H1626" s="14" t="s">
        <v>26</v>
      </c>
      <c r="I1626" s="14" t="s">
        <v>2267</v>
      </c>
      <c r="J1626" s="14" t="s">
        <v>2268</v>
      </c>
      <c r="K1626" s="14" t="s">
        <v>55</v>
      </c>
      <c r="L1626" s="14" t="s">
        <v>44</v>
      </c>
      <c r="M1626" s="14" t="s">
        <v>60</v>
      </c>
      <c r="N1626" s="17">
        <v>216584</v>
      </c>
      <c r="O1626" s="17">
        <v>48419</v>
      </c>
      <c r="P1626" s="18">
        <v>95.3</v>
      </c>
      <c r="Q1626" s="15">
        <v>1</v>
      </c>
      <c r="R1626" s="19">
        <v>27</v>
      </c>
      <c r="S1626" s="19">
        <v>3</v>
      </c>
      <c r="T1626" s="15">
        <v>27</v>
      </c>
      <c r="U1626" s="19">
        <v>72</v>
      </c>
      <c r="V1626" s="14" t="s">
        <v>31</v>
      </c>
      <c r="W1626" s="14"/>
      <c r="X1626" s="14">
        <f>IF(V1626="Yes",1,0)</f>
        <v>0</v>
      </c>
      <c r="Y1626" s="14">
        <f>IF(H1626="Active",0,1)</f>
        <v>0</v>
      </c>
    </row>
    <row r="1627" spans="1:25" ht="18" customHeight="1" x14ac:dyDescent="0.35">
      <c r="A1627" s="8" t="s">
        <v>596</v>
      </c>
      <c r="B1627" s="8" t="s">
        <v>237</v>
      </c>
      <c r="C1627" s="8" t="s">
        <v>34</v>
      </c>
      <c r="D1627" s="9">
        <v>46</v>
      </c>
      <c r="E1627" s="8" t="s">
        <v>63</v>
      </c>
      <c r="F1627" s="8" t="s">
        <v>12</v>
      </c>
      <c r="G1627" s="10">
        <v>45419</v>
      </c>
      <c r="H1627" s="8" t="s">
        <v>26</v>
      </c>
      <c r="I1627" s="8" t="s">
        <v>27</v>
      </c>
      <c r="J1627" s="8" t="s">
        <v>2270</v>
      </c>
      <c r="K1627" s="8" t="s">
        <v>37</v>
      </c>
      <c r="L1627" s="8" t="s">
        <v>44</v>
      </c>
      <c r="M1627" s="8" t="s">
        <v>30</v>
      </c>
      <c r="N1627" s="11">
        <v>155032</v>
      </c>
      <c r="O1627" s="11">
        <v>36835</v>
      </c>
      <c r="P1627" s="12">
        <v>83.7</v>
      </c>
      <c r="Q1627" s="9">
        <v>9</v>
      </c>
      <c r="R1627" s="13">
        <v>20</v>
      </c>
      <c r="S1627" s="13">
        <v>4</v>
      </c>
      <c r="T1627" s="9">
        <v>12</v>
      </c>
      <c r="U1627" s="13">
        <v>99</v>
      </c>
      <c r="V1627" s="8" t="s">
        <v>31</v>
      </c>
      <c r="W1627" s="8"/>
      <c r="X1627" s="22">
        <f>IF(V1627="Yes",1,0)</f>
        <v>0</v>
      </c>
      <c r="Y1627" s="22">
        <f>IF(H1627="Active",0,1)</f>
        <v>0</v>
      </c>
    </row>
    <row r="1628" spans="1:25" ht="18" customHeight="1" x14ac:dyDescent="0.35">
      <c r="A1628" s="8" t="s">
        <v>1031</v>
      </c>
      <c r="B1628" s="8" t="s">
        <v>386</v>
      </c>
      <c r="C1628" s="8" t="s">
        <v>25</v>
      </c>
      <c r="D1628" s="9">
        <v>38</v>
      </c>
      <c r="E1628" s="8" t="s">
        <v>86</v>
      </c>
      <c r="F1628" s="8" t="s">
        <v>12</v>
      </c>
      <c r="G1628" s="10">
        <v>45419</v>
      </c>
      <c r="H1628" s="8" t="s">
        <v>26</v>
      </c>
      <c r="I1628" s="8" t="s">
        <v>27</v>
      </c>
      <c r="J1628" s="8" t="s">
        <v>2269</v>
      </c>
      <c r="K1628" s="8" t="s">
        <v>55</v>
      </c>
      <c r="L1628" s="8" t="s">
        <v>68</v>
      </c>
      <c r="M1628" s="8" t="s">
        <v>39</v>
      </c>
      <c r="N1628" s="11">
        <v>142831</v>
      </c>
      <c r="O1628" s="11">
        <v>5387</v>
      </c>
      <c r="P1628" s="12">
        <v>94.8</v>
      </c>
      <c r="Q1628" s="9">
        <v>6</v>
      </c>
      <c r="R1628" s="13">
        <v>12</v>
      </c>
      <c r="S1628" s="13">
        <v>3</v>
      </c>
      <c r="T1628" s="9">
        <v>0</v>
      </c>
      <c r="U1628" s="13">
        <v>94</v>
      </c>
      <c r="V1628" s="8" t="s">
        <v>31</v>
      </c>
      <c r="W1628" s="8"/>
      <c r="X1628" s="22">
        <f>IF(V1628="Yes",1,0)</f>
        <v>0</v>
      </c>
      <c r="Y1628" s="22">
        <f>IF(H1628="Active",0,1)</f>
        <v>0</v>
      </c>
    </row>
    <row r="1629" spans="1:25" ht="18" customHeight="1" x14ac:dyDescent="0.35">
      <c r="A1629" s="14" t="s">
        <v>1940</v>
      </c>
      <c r="B1629" s="14" t="s">
        <v>432</v>
      </c>
      <c r="C1629" s="14" t="s">
        <v>25</v>
      </c>
      <c r="D1629" s="15">
        <v>32</v>
      </c>
      <c r="E1629" s="14" t="s">
        <v>67</v>
      </c>
      <c r="F1629" s="14" t="s">
        <v>90</v>
      </c>
      <c r="G1629" s="16">
        <v>45419</v>
      </c>
      <c r="H1629" s="14" t="s">
        <v>26</v>
      </c>
      <c r="I1629" s="14" t="s">
        <v>2267</v>
      </c>
      <c r="J1629" s="14" t="s">
        <v>48</v>
      </c>
      <c r="K1629" s="14" t="s">
        <v>28</v>
      </c>
      <c r="L1629" s="14" t="s">
        <v>56</v>
      </c>
      <c r="M1629" s="14" t="s">
        <v>39</v>
      </c>
      <c r="N1629" s="17">
        <v>234692</v>
      </c>
      <c r="O1629" s="17">
        <v>17461</v>
      </c>
      <c r="P1629" s="18">
        <v>98.6</v>
      </c>
      <c r="Q1629" s="15">
        <v>5</v>
      </c>
      <c r="R1629" s="19">
        <v>6</v>
      </c>
      <c r="S1629" s="19">
        <v>1</v>
      </c>
      <c r="T1629" s="15">
        <v>35</v>
      </c>
      <c r="U1629" s="19">
        <v>85</v>
      </c>
      <c r="V1629" s="14" t="s">
        <v>31</v>
      </c>
      <c r="W1629" s="14"/>
      <c r="X1629" s="14">
        <f>IF(V1629="Yes",1,0)</f>
        <v>0</v>
      </c>
      <c r="Y1629" s="14">
        <f>IF(H1629="Active",0,1)</f>
        <v>0</v>
      </c>
    </row>
    <row r="1630" spans="1:25" ht="18" customHeight="1" x14ac:dyDescent="0.35">
      <c r="A1630" s="8" t="s">
        <v>110</v>
      </c>
      <c r="B1630" s="8" t="s">
        <v>111</v>
      </c>
      <c r="C1630" s="8" t="s">
        <v>25</v>
      </c>
      <c r="D1630" s="9">
        <v>23</v>
      </c>
      <c r="E1630" s="8" t="s">
        <v>93</v>
      </c>
      <c r="F1630" s="8" t="s">
        <v>35</v>
      </c>
      <c r="G1630" s="10">
        <v>45418</v>
      </c>
      <c r="H1630" s="8" t="s">
        <v>26</v>
      </c>
      <c r="I1630" s="8" t="s">
        <v>36</v>
      </c>
      <c r="J1630" s="8" t="s">
        <v>2268</v>
      </c>
      <c r="K1630" s="8" t="s">
        <v>28</v>
      </c>
      <c r="L1630" s="8" t="s">
        <v>49</v>
      </c>
      <c r="M1630" s="8" t="s">
        <v>60</v>
      </c>
      <c r="N1630" s="11">
        <v>59659</v>
      </c>
      <c r="O1630" s="11">
        <v>47010</v>
      </c>
      <c r="P1630" s="12">
        <v>96.7</v>
      </c>
      <c r="Q1630" s="9">
        <v>9</v>
      </c>
      <c r="R1630" s="13">
        <v>13</v>
      </c>
      <c r="S1630" s="13">
        <v>4</v>
      </c>
      <c r="T1630" s="9">
        <v>16</v>
      </c>
      <c r="U1630" s="13">
        <v>90</v>
      </c>
      <c r="V1630" s="8" t="s">
        <v>31</v>
      </c>
      <c r="W1630" s="8"/>
      <c r="X1630" s="22">
        <f>IF(V1630="Yes",1,0)</f>
        <v>0</v>
      </c>
      <c r="Y1630" s="22">
        <f>IF(H1630="Active",0,1)</f>
        <v>0</v>
      </c>
    </row>
    <row r="1631" spans="1:25" ht="18" customHeight="1" x14ac:dyDescent="0.35">
      <c r="A1631" s="14" t="s">
        <v>682</v>
      </c>
      <c r="B1631" s="14" t="s">
        <v>149</v>
      </c>
      <c r="C1631" s="14" t="s">
        <v>25</v>
      </c>
      <c r="D1631" s="15">
        <v>50</v>
      </c>
      <c r="E1631" s="14" t="s">
        <v>109</v>
      </c>
      <c r="F1631" s="14" t="s">
        <v>35</v>
      </c>
      <c r="G1631" s="16">
        <v>45418</v>
      </c>
      <c r="H1631" s="14" t="s">
        <v>26</v>
      </c>
      <c r="I1631" s="14" t="s">
        <v>2267</v>
      </c>
      <c r="J1631" s="14" t="s">
        <v>2268</v>
      </c>
      <c r="K1631" s="14" t="s">
        <v>55</v>
      </c>
      <c r="L1631" s="14" t="s">
        <v>68</v>
      </c>
      <c r="M1631" s="14" t="s">
        <v>64</v>
      </c>
      <c r="N1631" s="17">
        <v>80904</v>
      </c>
      <c r="O1631" s="17">
        <v>32497</v>
      </c>
      <c r="P1631" s="18">
        <v>98.8</v>
      </c>
      <c r="Q1631" s="15">
        <v>1</v>
      </c>
      <c r="R1631" s="19">
        <v>26</v>
      </c>
      <c r="S1631" s="19">
        <v>1</v>
      </c>
      <c r="T1631" s="15">
        <v>38</v>
      </c>
      <c r="U1631" s="19">
        <v>76</v>
      </c>
      <c r="V1631" s="14" t="s">
        <v>31</v>
      </c>
      <c r="W1631" s="14"/>
      <c r="X1631" s="14">
        <f>IF(V1631="Yes",1,0)</f>
        <v>0</v>
      </c>
      <c r="Y1631" s="14">
        <f>IF(H1631="Active",0,1)</f>
        <v>0</v>
      </c>
    </row>
    <row r="1632" spans="1:25" ht="18" customHeight="1" x14ac:dyDescent="0.35">
      <c r="A1632" s="14" t="s">
        <v>1126</v>
      </c>
      <c r="B1632" s="14" t="s">
        <v>230</v>
      </c>
      <c r="C1632" s="14" t="s">
        <v>25</v>
      </c>
      <c r="D1632" s="15">
        <v>51</v>
      </c>
      <c r="E1632" s="14" t="s">
        <v>109</v>
      </c>
      <c r="F1632" s="14" t="s">
        <v>12</v>
      </c>
      <c r="G1632" s="16">
        <v>45418</v>
      </c>
      <c r="H1632" s="14" t="s">
        <v>26</v>
      </c>
      <c r="I1632" s="14" t="s">
        <v>2267</v>
      </c>
      <c r="J1632" s="14" t="s">
        <v>2268</v>
      </c>
      <c r="K1632" s="14" t="s">
        <v>55</v>
      </c>
      <c r="L1632" s="14" t="s">
        <v>44</v>
      </c>
      <c r="M1632" s="14" t="s">
        <v>64</v>
      </c>
      <c r="N1632" s="17">
        <v>44592</v>
      </c>
      <c r="O1632" s="17">
        <v>31001</v>
      </c>
      <c r="P1632" s="18">
        <v>93.9</v>
      </c>
      <c r="Q1632" s="15">
        <v>5</v>
      </c>
      <c r="R1632" s="19">
        <v>24</v>
      </c>
      <c r="S1632" s="19">
        <v>5</v>
      </c>
      <c r="T1632" s="15">
        <v>9</v>
      </c>
      <c r="U1632" s="19">
        <v>78</v>
      </c>
      <c r="V1632" s="14" t="s">
        <v>69</v>
      </c>
      <c r="W1632" s="14"/>
      <c r="X1632" s="14">
        <f>IF(V1632="Yes",1,0)</f>
        <v>1</v>
      </c>
      <c r="Y1632" s="14">
        <f>IF(H1632="Active",0,1)</f>
        <v>0</v>
      </c>
    </row>
    <row r="1633" spans="1:25" ht="18" customHeight="1" x14ac:dyDescent="0.35">
      <c r="A1633" s="14" t="s">
        <v>1482</v>
      </c>
      <c r="B1633" s="14" t="s">
        <v>630</v>
      </c>
      <c r="C1633" s="14" t="s">
        <v>25</v>
      </c>
      <c r="D1633" s="15">
        <v>53</v>
      </c>
      <c r="E1633" s="14" t="s">
        <v>63</v>
      </c>
      <c r="F1633" s="14" t="s">
        <v>72</v>
      </c>
      <c r="G1633" s="16">
        <v>45418</v>
      </c>
      <c r="H1633" s="14" t="s">
        <v>26</v>
      </c>
      <c r="I1633" s="14" t="s">
        <v>36</v>
      </c>
      <c r="J1633" s="14" t="s">
        <v>2269</v>
      </c>
      <c r="K1633" s="14" t="s">
        <v>28</v>
      </c>
      <c r="L1633" s="14" t="s">
        <v>116</v>
      </c>
      <c r="M1633" s="14" t="s">
        <v>64</v>
      </c>
      <c r="N1633" s="17">
        <v>41394</v>
      </c>
      <c r="O1633" s="17">
        <v>11931</v>
      </c>
      <c r="P1633" s="18">
        <v>89.1</v>
      </c>
      <c r="Q1633" s="15">
        <v>3</v>
      </c>
      <c r="R1633" s="19">
        <v>19</v>
      </c>
      <c r="S1633" s="19">
        <v>1</v>
      </c>
      <c r="T1633" s="15">
        <v>25</v>
      </c>
      <c r="U1633" s="19">
        <v>82</v>
      </c>
      <c r="V1633" s="14" t="s">
        <v>69</v>
      </c>
      <c r="W1633" s="14"/>
      <c r="X1633" s="14">
        <f>IF(V1633="Yes",1,0)</f>
        <v>1</v>
      </c>
      <c r="Y1633" s="14">
        <f>IF(H1633="Active",0,1)</f>
        <v>0</v>
      </c>
    </row>
    <row r="1634" spans="1:25" ht="18" customHeight="1" x14ac:dyDescent="0.35">
      <c r="A1634" s="8" t="s">
        <v>2149</v>
      </c>
      <c r="B1634" s="8" t="s">
        <v>102</v>
      </c>
      <c r="C1634" s="8" t="s">
        <v>34</v>
      </c>
      <c r="D1634" s="9">
        <v>49</v>
      </c>
      <c r="E1634" s="8" t="s">
        <v>2304</v>
      </c>
      <c r="F1634" s="8" t="s">
        <v>35</v>
      </c>
      <c r="G1634" s="10">
        <v>45418</v>
      </c>
      <c r="H1634" s="8" t="s">
        <v>26</v>
      </c>
      <c r="I1634" s="8" t="s">
        <v>2267</v>
      </c>
      <c r="J1634" s="8" t="s">
        <v>48</v>
      </c>
      <c r="K1634" s="8" t="s">
        <v>73</v>
      </c>
      <c r="L1634" s="8" t="s">
        <v>68</v>
      </c>
      <c r="M1634" s="8" t="s">
        <v>64</v>
      </c>
      <c r="N1634" s="11">
        <v>48997</v>
      </c>
      <c r="O1634" s="11">
        <v>22157</v>
      </c>
      <c r="P1634" s="12">
        <v>82.5</v>
      </c>
      <c r="Q1634" s="9">
        <v>5</v>
      </c>
      <c r="R1634" s="13">
        <v>30</v>
      </c>
      <c r="S1634" s="13">
        <v>3</v>
      </c>
      <c r="T1634" s="9">
        <v>22</v>
      </c>
      <c r="U1634" s="13">
        <v>87</v>
      </c>
      <c r="V1634" s="8" t="s">
        <v>31</v>
      </c>
      <c r="W1634" s="8"/>
      <c r="X1634" s="22">
        <f>IF(V1634="Yes",1,0)</f>
        <v>0</v>
      </c>
      <c r="Y1634" s="22">
        <f>IF(H1634="Active",0,1)</f>
        <v>0</v>
      </c>
    </row>
    <row r="1635" spans="1:25" ht="18" customHeight="1" x14ac:dyDescent="0.35">
      <c r="A1635" s="8" t="s">
        <v>1543</v>
      </c>
      <c r="B1635" s="8" t="s">
        <v>254</v>
      </c>
      <c r="C1635" s="8" t="s">
        <v>34</v>
      </c>
      <c r="D1635" s="9">
        <v>31</v>
      </c>
      <c r="E1635" s="8" t="s">
        <v>67</v>
      </c>
      <c r="F1635" s="8" t="s">
        <v>90</v>
      </c>
      <c r="G1635" s="10">
        <v>45417</v>
      </c>
      <c r="H1635" s="8" t="s">
        <v>26</v>
      </c>
      <c r="I1635" s="8" t="s">
        <v>2267</v>
      </c>
      <c r="J1635" s="8" t="s">
        <v>80</v>
      </c>
      <c r="K1635" s="8" t="s">
        <v>2271</v>
      </c>
      <c r="L1635" s="8" t="s">
        <v>116</v>
      </c>
      <c r="M1635" s="8" t="s">
        <v>60</v>
      </c>
      <c r="N1635" s="11">
        <v>146198</v>
      </c>
      <c r="O1635" s="11">
        <v>14484</v>
      </c>
      <c r="P1635" s="12">
        <v>89.8</v>
      </c>
      <c r="Q1635" s="9">
        <v>9</v>
      </c>
      <c r="R1635" s="13">
        <v>16</v>
      </c>
      <c r="S1635" s="13">
        <v>2</v>
      </c>
      <c r="T1635" s="9">
        <v>39</v>
      </c>
      <c r="U1635" s="13">
        <v>86</v>
      </c>
      <c r="V1635" s="8" t="s">
        <v>31</v>
      </c>
      <c r="W1635" s="8"/>
      <c r="X1635" s="22">
        <f>IF(V1635="Yes",1,0)</f>
        <v>0</v>
      </c>
      <c r="Y1635" s="22">
        <f>IF(H1635="Active",0,1)</f>
        <v>0</v>
      </c>
    </row>
    <row r="1636" spans="1:25" ht="18" customHeight="1" x14ac:dyDescent="0.35">
      <c r="A1636" s="8" t="s">
        <v>1707</v>
      </c>
      <c r="B1636" s="8" t="s">
        <v>485</v>
      </c>
      <c r="C1636" s="8" t="s">
        <v>34</v>
      </c>
      <c r="D1636" s="9">
        <v>40</v>
      </c>
      <c r="E1636" s="8" t="s">
        <v>2304</v>
      </c>
      <c r="F1636" s="8" t="s">
        <v>35</v>
      </c>
      <c r="G1636" s="10">
        <v>45417</v>
      </c>
      <c r="H1636" s="8" t="s">
        <v>26</v>
      </c>
      <c r="I1636" s="8" t="s">
        <v>36</v>
      </c>
      <c r="J1636" s="8" t="s">
        <v>48</v>
      </c>
      <c r="K1636" s="8" t="s">
        <v>28</v>
      </c>
      <c r="L1636" s="8" t="s">
        <v>49</v>
      </c>
      <c r="M1636" s="8" t="s">
        <v>45</v>
      </c>
      <c r="N1636" s="11">
        <v>145978</v>
      </c>
      <c r="O1636" s="11">
        <v>18352</v>
      </c>
      <c r="P1636" s="12">
        <v>82.4</v>
      </c>
      <c r="Q1636" s="9">
        <v>4</v>
      </c>
      <c r="R1636" s="13">
        <v>10</v>
      </c>
      <c r="S1636" s="13">
        <v>3</v>
      </c>
      <c r="T1636" s="9">
        <v>12</v>
      </c>
      <c r="U1636" s="13">
        <v>75</v>
      </c>
      <c r="V1636" s="8" t="s">
        <v>31</v>
      </c>
      <c r="W1636" s="8"/>
      <c r="X1636" s="22">
        <f>IF(V1636="Yes",1,0)</f>
        <v>0</v>
      </c>
      <c r="Y1636" s="22">
        <f>IF(H1636="Active",0,1)</f>
        <v>0</v>
      </c>
    </row>
    <row r="1637" spans="1:25" ht="18" customHeight="1" x14ac:dyDescent="0.35">
      <c r="A1637" s="8" t="s">
        <v>2155</v>
      </c>
      <c r="B1637" s="8" t="s">
        <v>548</v>
      </c>
      <c r="C1637" s="8" t="s">
        <v>34</v>
      </c>
      <c r="D1637" s="9">
        <v>50</v>
      </c>
      <c r="E1637" s="8" t="s">
        <v>67</v>
      </c>
      <c r="F1637" s="8" t="s">
        <v>43</v>
      </c>
      <c r="G1637" s="10">
        <v>45417</v>
      </c>
      <c r="H1637" s="8" t="s">
        <v>26</v>
      </c>
      <c r="I1637" s="8" t="s">
        <v>27</v>
      </c>
      <c r="J1637" s="8" t="s">
        <v>2269</v>
      </c>
      <c r="K1637" s="8" t="s">
        <v>28</v>
      </c>
      <c r="L1637" s="8" t="s">
        <v>68</v>
      </c>
      <c r="M1637" s="8" t="s">
        <v>64</v>
      </c>
      <c r="N1637" s="11">
        <v>121457</v>
      </c>
      <c r="O1637" s="11">
        <v>16987</v>
      </c>
      <c r="P1637" s="12">
        <v>100</v>
      </c>
      <c r="Q1637" s="9">
        <v>5</v>
      </c>
      <c r="R1637" s="13">
        <v>17</v>
      </c>
      <c r="S1637" s="13">
        <v>1</v>
      </c>
      <c r="T1637" s="9">
        <v>11</v>
      </c>
      <c r="U1637" s="13">
        <v>62</v>
      </c>
      <c r="V1637" s="8" t="s">
        <v>31</v>
      </c>
      <c r="W1637" s="8"/>
      <c r="X1637" s="22">
        <f>IF(V1637="Yes",1,0)</f>
        <v>0</v>
      </c>
      <c r="Y1637" s="22">
        <f>IF(H1637="Active",0,1)</f>
        <v>0</v>
      </c>
    </row>
    <row r="1638" spans="1:25" ht="18" customHeight="1" x14ac:dyDescent="0.35">
      <c r="A1638" s="14" t="s">
        <v>973</v>
      </c>
      <c r="B1638" s="14" t="s">
        <v>974</v>
      </c>
      <c r="C1638" s="14" t="s">
        <v>25</v>
      </c>
      <c r="D1638" s="15">
        <v>29</v>
      </c>
      <c r="E1638" s="14" t="s">
        <v>93</v>
      </c>
      <c r="F1638" s="14" t="s">
        <v>12</v>
      </c>
      <c r="G1638" s="16">
        <v>45416</v>
      </c>
      <c r="H1638" s="14" t="s">
        <v>26</v>
      </c>
      <c r="I1638" s="14" t="s">
        <v>27</v>
      </c>
      <c r="J1638" s="14" t="s">
        <v>2269</v>
      </c>
      <c r="K1638" s="14" t="s">
        <v>37</v>
      </c>
      <c r="L1638" s="14" t="s">
        <v>29</v>
      </c>
      <c r="M1638" s="14" t="s">
        <v>39</v>
      </c>
      <c r="N1638" s="17">
        <v>170477</v>
      </c>
      <c r="O1638" s="17">
        <v>15387</v>
      </c>
      <c r="P1638" s="18">
        <v>90.2</v>
      </c>
      <c r="Q1638" s="15">
        <v>0</v>
      </c>
      <c r="R1638" s="19">
        <v>28</v>
      </c>
      <c r="S1638" s="19">
        <v>4</v>
      </c>
      <c r="T1638" s="15">
        <v>25</v>
      </c>
      <c r="U1638" s="19">
        <v>71</v>
      </c>
      <c r="V1638" s="14" t="s">
        <v>31</v>
      </c>
      <c r="W1638" s="14"/>
      <c r="X1638" s="14">
        <f>IF(V1638="Yes",1,0)</f>
        <v>0</v>
      </c>
      <c r="Y1638" s="14">
        <f>IF(H1638="Active",0,1)</f>
        <v>0</v>
      </c>
    </row>
    <row r="1639" spans="1:25" ht="18" customHeight="1" x14ac:dyDescent="0.35">
      <c r="A1639" s="14" t="s">
        <v>1260</v>
      </c>
      <c r="B1639" s="14" t="s">
        <v>230</v>
      </c>
      <c r="C1639" s="14" t="s">
        <v>25</v>
      </c>
      <c r="D1639" s="15">
        <v>29</v>
      </c>
      <c r="E1639" s="14" t="s">
        <v>52</v>
      </c>
      <c r="F1639" s="14" t="s">
        <v>12</v>
      </c>
      <c r="G1639" s="16">
        <v>45416</v>
      </c>
      <c r="H1639" s="14" t="s">
        <v>54</v>
      </c>
      <c r="I1639" s="14" t="s">
        <v>2267</v>
      </c>
      <c r="J1639" s="14" t="s">
        <v>2269</v>
      </c>
      <c r="K1639" s="14" t="s">
        <v>37</v>
      </c>
      <c r="L1639" s="14" t="s">
        <v>87</v>
      </c>
      <c r="M1639" s="14" t="s">
        <v>60</v>
      </c>
      <c r="N1639" s="17">
        <v>91615</v>
      </c>
      <c r="O1639" s="17">
        <v>36531</v>
      </c>
      <c r="P1639" s="18">
        <v>98.1</v>
      </c>
      <c r="Q1639" s="15">
        <v>6</v>
      </c>
      <c r="R1639" s="19">
        <v>17</v>
      </c>
      <c r="S1639" s="19">
        <v>2</v>
      </c>
      <c r="T1639" s="15">
        <v>14</v>
      </c>
      <c r="U1639" s="19">
        <v>73</v>
      </c>
      <c r="V1639" s="14" t="s">
        <v>31</v>
      </c>
      <c r="W1639" s="14" t="s">
        <v>57</v>
      </c>
      <c r="X1639" s="14">
        <f>IF(V1639="Yes",1,0)</f>
        <v>0</v>
      </c>
      <c r="Y1639" s="14">
        <f>IF(H1639="Active",0,1)</f>
        <v>1</v>
      </c>
    </row>
    <row r="1640" spans="1:25" ht="18" customHeight="1" x14ac:dyDescent="0.35">
      <c r="A1640" s="8" t="s">
        <v>898</v>
      </c>
      <c r="B1640" s="8" t="s">
        <v>203</v>
      </c>
      <c r="C1640" s="8" t="s">
        <v>25</v>
      </c>
      <c r="D1640" s="9">
        <v>32</v>
      </c>
      <c r="E1640" s="8" t="s">
        <v>93</v>
      </c>
      <c r="F1640" s="8" t="s">
        <v>12</v>
      </c>
      <c r="G1640" s="10">
        <v>45415</v>
      </c>
      <c r="H1640" s="8" t="s">
        <v>26</v>
      </c>
      <c r="I1640" s="8" t="s">
        <v>27</v>
      </c>
      <c r="J1640" s="8" t="s">
        <v>48</v>
      </c>
      <c r="K1640" s="8" t="s">
        <v>37</v>
      </c>
      <c r="L1640" s="8" t="s">
        <v>68</v>
      </c>
      <c r="M1640" s="8" t="s">
        <v>39</v>
      </c>
      <c r="N1640" s="11">
        <v>39436</v>
      </c>
      <c r="O1640" s="11">
        <v>23817</v>
      </c>
      <c r="P1640" s="12">
        <v>82.3</v>
      </c>
      <c r="Q1640" s="9">
        <v>4</v>
      </c>
      <c r="R1640" s="13">
        <v>10</v>
      </c>
      <c r="S1640" s="13">
        <v>5</v>
      </c>
      <c r="T1640" s="9">
        <v>26</v>
      </c>
      <c r="U1640" s="13">
        <v>87</v>
      </c>
      <c r="V1640" s="8" t="s">
        <v>31</v>
      </c>
      <c r="W1640" s="8"/>
      <c r="X1640" s="22">
        <f>IF(V1640="Yes",1,0)</f>
        <v>0</v>
      </c>
      <c r="Y1640" s="22">
        <f>IF(H1640="Active",0,1)</f>
        <v>0</v>
      </c>
    </row>
    <row r="1641" spans="1:25" ht="18" customHeight="1" x14ac:dyDescent="0.35">
      <c r="A1641" s="14" t="s">
        <v>1104</v>
      </c>
      <c r="B1641" s="14" t="s">
        <v>246</v>
      </c>
      <c r="C1641" s="14" t="s">
        <v>25</v>
      </c>
      <c r="D1641" s="15">
        <v>31</v>
      </c>
      <c r="E1641" s="14" t="s">
        <v>63</v>
      </c>
      <c r="F1641" s="14" t="s">
        <v>35</v>
      </c>
      <c r="G1641" s="16">
        <v>45415</v>
      </c>
      <c r="H1641" s="14" t="s">
        <v>26</v>
      </c>
      <c r="I1641" s="14" t="s">
        <v>36</v>
      </c>
      <c r="J1641" s="14" t="s">
        <v>80</v>
      </c>
      <c r="K1641" s="14" t="s">
        <v>2271</v>
      </c>
      <c r="L1641" s="14" t="s">
        <v>44</v>
      </c>
      <c r="M1641" s="14" t="s">
        <v>64</v>
      </c>
      <c r="N1641" s="17">
        <v>243154</v>
      </c>
      <c r="O1641" s="17">
        <v>17394</v>
      </c>
      <c r="P1641" s="18">
        <v>95.3</v>
      </c>
      <c r="Q1641" s="15">
        <v>7</v>
      </c>
      <c r="R1641" s="19">
        <v>8</v>
      </c>
      <c r="S1641" s="19">
        <v>5</v>
      </c>
      <c r="T1641" s="15">
        <v>24</v>
      </c>
      <c r="U1641" s="19">
        <v>93</v>
      </c>
      <c r="V1641" s="14" t="s">
        <v>31</v>
      </c>
      <c r="W1641" s="14"/>
      <c r="X1641" s="14">
        <f>IF(V1641="Yes",1,0)</f>
        <v>0</v>
      </c>
      <c r="Y1641" s="14">
        <f>IF(H1641="Active",0,1)</f>
        <v>0</v>
      </c>
    </row>
    <row r="1642" spans="1:25" ht="18" customHeight="1" x14ac:dyDescent="0.35">
      <c r="A1642" s="8" t="s">
        <v>1405</v>
      </c>
      <c r="B1642" s="8" t="s">
        <v>531</v>
      </c>
      <c r="C1642" s="8" t="s">
        <v>25</v>
      </c>
      <c r="D1642" s="9">
        <v>39</v>
      </c>
      <c r="E1642" s="8" t="s">
        <v>42</v>
      </c>
      <c r="F1642" s="8" t="s">
        <v>53</v>
      </c>
      <c r="G1642" s="10">
        <v>45415</v>
      </c>
      <c r="H1642" s="8" t="s">
        <v>54</v>
      </c>
      <c r="I1642" s="8" t="s">
        <v>2267</v>
      </c>
      <c r="J1642" s="8" t="s">
        <v>80</v>
      </c>
      <c r="K1642" s="8" t="s">
        <v>55</v>
      </c>
      <c r="L1642" s="8" t="s">
        <v>116</v>
      </c>
      <c r="M1642" s="8" t="s">
        <v>64</v>
      </c>
      <c r="N1642" s="11">
        <v>133935</v>
      </c>
      <c r="O1642" s="11">
        <v>20157</v>
      </c>
      <c r="P1642" s="12">
        <v>91</v>
      </c>
      <c r="Q1642" s="9">
        <v>10</v>
      </c>
      <c r="R1642" s="13">
        <v>27</v>
      </c>
      <c r="S1642" s="13">
        <v>2</v>
      </c>
      <c r="T1642" s="9">
        <v>27</v>
      </c>
      <c r="U1642" s="13">
        <v>76</v>
      </c>
      <c r="V1642" s="8" t="s">
        <v>31</v>
      </c>
      <c r="W1642" s="8" t="s">
        <v>205</v>
      </c>
      <c r="X1642" s="22">
        <f>IF(V1642="Yes",1,0)</f>
        <v>0</v>
      </c>
      <c r="Y1642" s="22">
        <f>IF(H1642="Active",0,1)</f>
        <v>1</v>
      </c>
    </row>
    <row r="1643" spans="1:25" ht="18" customHeight="1" x14ac:dyDescent="0.35">
      <c r="A1643" s="8" t="s">
        <v>1803</v>
      </c>
      <c r="B1643" s="8" t="s">
        <v>125</v>
      </c>
      <c r="C1643" s="8" t="s">
        <v>25</v>
      </c>
      <c r="D1643" s="9">
        <v>58</v>
      </c>
      <c r="E1643" s="8" t="s">
        <v>52</v>
      </c>
      <c r="F1643" s="8" t="s">
        <v>72</v>
      </c>
      <c r="G1643" s="10">
        <v>45415</v>
      </c>
      <c r="H1643" s="8" t="s">
        <v>26</v>
      </c>
      <c r="I1643" s="8" t="s">
        <v>36</v>
      </c>
      <c r="J1643" s="8" t="s">
        <v>2268</v>
      </c>
      <c r="K1643" s="8" t="s">
        <v>2271</v>
      </c>
      <c r="L1643" s="8" t="s">
        <v>49</v>
      </c>
      <c r="M1643" s="8" t="s">
        <v>64</v>
      </c>
      <c r="N1643" s="11">
        <v>116113</v>
      </c>
      <c r="O1643" s="11">
        <v>37324</v>
      </c>
      <c r="P1643" s="12">
        <v>83.5</v>
      </c>
      <c r="Q1643" s="9">
        <v>4</v>
      </c>
      <c r="R1643" s="13">
        <v>2</v>
      </c>
      <c r="S1643" s="13">
        <v>4</v>
      </c>
      <c r="T1643" s="9">
        <v>1</v>
      </c>
      <c r="U1643" s="13">
        <v>95</v>
      </c>
      <c r="V1643" s="8" t="s">
        <v>31</v>
      </c>
      <c r="W1643" s="8"/>
      <c r="X1643" s="22">
        <f>IF(V1643="Yes",1,0)</f>
        <v>0</v>
      </c>
      <c r="Y1643" s="22">
        <f>IF(H1643="Active",0,1)</f>
        <v>0</v>
      </c>
    </row>
    <row r="1644" spans="1:25" ht="18" customHeight="1" x14ac:dyDescent="0.35">
      <c r="A1644" s="8" t="s">
        <v>1909</v>
      </c>
      <c r="B1644" s="8" t="s">
        <v>443</v>
      </c>
      <c r="C1644" s="8" t="s">
        <v>34</v>
      </c>
      <c r="D1644" s="9">
        <v>60</v>
      </c>
      <c r="E1644" s="8" t="s">
        <v>42</v>
      </c>
      <c r="F1644" s="8" t="s">
        <v>76</v>
      </c>
      <c r="G1644" s="10">
        <v>45415</v>
      </c>
      <c r="H1644" s="8" t="s">
        <v>26</v>
      </c>
      <c r="I1644" s="8" t="s">
        <v>2267</v>
      </c>
      <c r="J1644" s="8" t="s">
        <v>80</v>
      </c>
      <c r="K1644" s="8" t="s">
        <v>2271</v>
      </c>
      <c r="L1644" s="8" t="s">
        <v>38</v>
      </c>
      <c r="M1644" s="8" t="s">
        <v>39</v>
      </c>
      <c r="N1644" s="11">
        <v>112567</v>
      </c>
      <c r="O1644" s="11">
        <v>49075</v>
      </c>
      <c r="P1644" s="12">
        <v>95.7</v>
      </c>
      <c r="Q1644" s="9">
        <v>0</v>
      </c>
      <c r="R1644" s="13">
        <v>15</v>
      </c>
      <c r="S1644" s="13">
        <v>1</v>
      </c>
      <c r="T1644" s="9">
        <v>9</v>
      </c>
      <c r="U1644" s="13">
        <v>79</v>
      </c>
      <c r="V1644" s="8" t="s">
        <v>31</v>
      </c>
      <c r="W1644" s="8"/>
      <c r="X1644" s="22">
        <f>IF(V1644="Yes",1,0)</f>
        <v>0</v>
      </c>
      <c r="Y1644" s="22">
        <f>IF(H1644="Active",0,1)</f>
        <v>0</v>
      </c>
    </row>
    <row r="1645" spans="1:25" ht="18" customHeight="1" x14ac:dyDescent="0.35">
      <c r="A1645" s="14" t="s">
        <v>1726</v>
      </c>
      <c r="B1645" s="14" t="s">
        <v>85</v>
      </c>
      <c r="C1645" s="14" t="s">
        <v>25</v>
      </c>
      <c r="D1645" s="15">
        <v>25</v>
      </c>
      <c r="E1645" s="14" t="s">
        <v>86</v>
      </c>
      <c r="F1645" s="14" t="s">
        <v>53</v>
      </c>
      <c r="G1645" s="16">
        <v>45414</v>
      </c>
      <c r="H1645" s="14" t="s">
        <v>26</v>
      </c>
      <c r="I1645" s="14" t="s">
        <v>36</v>
      </c>
      <c r="J1645" s="14" t="s">
        <v>80</v>
      </c>
      <c r="K1645" s="14" t="s">
        <v>55</v>
      </c>
      <c r="L1645" s="14" t="s">
        <v>49</v>
      </c>
      <c r="M1645" s="14" t="s">
        <v>45</v>
      </c>
      <c r="N1645" s="17">
        <v>210967</v>
      </c>
      <c r="O1645" s="17">
        <v>28574</v>
      </c>
      <c r="P1645" s="18">
        <v>95.7</v>
      </c>
      <c r="Q1645" s="15">
        <v>3</v>
      </c>
      <c r="R1645" s="19">
        <v>25</v>
      </c>
      <c r="S1645" s="19">
        <v>5</v>
      </c>
      <c r="T1645" s="15">
        <v>31</v>
      </c>
      <c r="U1645" s="19">
        <v>80</v>
      </c>
      <c r="V1645" s="14" t="s">
        <v>31</v>
      </c>
      <c r="W1645" s="14"/>
      <c r="X1645" s="14">
        <f>IF(V1645="Yes",1,0)</f>
        <v>0</v>
      </c>
      <c r="Y1645" s="14">
        <f>IF(H1645="Active",0,1)</f>
        <v>0</v>
      </c>
    </row>
    <row r="1646" spans="1:25" ht="18" customHeight="1" x14ac:dyDescent="0.35">
      <c r="A1646" s="14" t="s">
        <v>2072</v>
      </c>
      <c r="B1646" s="14" t="s">
        <v>356</v>
      </c>
      <c r="C1646" s="14" t="s">
        <v>34</v>
      </c>
      <c r="D1646" s="15">
        <v>25</v>
      </c>
      <c r="E1646" s="14" t="s">
        <v>93</v>
      </c>
      <c r="F1646" s="14" t="s">
        <v>79</v>
      </c>
      <c r="G1646" s="16">
        <v>45414</v>
      </c>
      <c r="H1646" s="14" t="s">
        <v>54</v>
      </c>
      <c r="I1646" s="14" t="s">
        <v>2267</v>
      </c>
      <c r="J1646" s="14" t="s">
        <v>2268</v>
      </c>
      <c r="K1646" s="14" t="s">
        <v>73</v>
      </c>
      <c r="L1646" s="14" t="s">
        <v>29</v>
      </c>
      <c r="M1646" s="14" t="s">
        <v>64</v>
      </c>
      <c r="N1646" s="17">
        <v>184187</v>
      </c>
      <c r="O1646" s="17">
        <v>28789</v>
      </c>
      <c r="P1646" s="18">
        <v>90.6</v>
      </c>
      <c r="Q1646" s="15">
        <v>6</v>
      </c>
      <c r="R1646" s="19">
        <v>17</v>
      </c>
      <c r="S1646" s="19">
        <v>5</v>
      </c>
      <c r="T1646" s="15">
        <v>15</v>
      </c>
      <c r="U1646" s="19">
        <v>68</v>
      </c>
      <c r="V1646" s="14" t="s">
        <v>31</v>
      </c>
      <c r="W1646" s="14" t="s">
        <v>57</v>
      </c>
      <c r="X1646" s="14">
        <f>IF(V1646="Yes",1,0)</f>
        <v>0</v>
      </c>
      <c r="Y1646" s="14">
        <f>IF(H1646="Active",0,1)</f>
        <v>1</v>
      </c>
    </row>
    <row r="1647" spans="1:25" ht="18" customHeight="1" x14ac:dyDescent="0.35">
      <c r="A1647" s="8" t="s">
        <v>1204</v>
      </c>
      <c r="B1647" s="8" t="s">
        <v>191</v>
      </c>
      <c r="C1647" s="8" t="s">
        <v>25</v>
      </c>
      <c r="D1647" s="9">
        <v>30</v>
      </c>
      <c r="E1647" s="8" t="s">
        <v>109</v>
      </c>
      <c r="F1647" s="8" t="s">
        <v>76</v>
      </c>
      <c r="G1647" s="10">
        <v>45413</v>
      </c>
      <c r="H1647" s="8" t="s">
        <v>26</v>
      </c>
      <c r="I1647" s="8" t="s">
        <v>2267</v>
      </c>
      <c r="J1647" s="8" t="s">
        <v>2269</v>
      </c>
      <c r="K1647" s="8" t="s">
        <v>55</v>
      </c>
      <c r="L1647" s="8" t="s">
        <v>38</v>
      </c>
      <c r="M1647" s="8" t="s">
        <v>39</v>
      </c>
      <c r="N1647" s="11">
        <v>197960</v>
      </c>
      <c r="O1647" s="11">
        <v>48573</v>
      </c>
      <c r="P1647" s="12">
        <v>86.7</v>
      </c>
      <c r="Q1647" s="9">
        <v>1</v>
      </c>
      <c r="R1647" s="13">
        <v>28</v>
      </c>
      <c r="S1647" s="13">
        <v>1</v>
      </c>
      <c r="T1647" s="9">
        <v>18</v>
      </c>
      <c r="U1647" s="13">
        <v>81</v>
      </c>
      <c r="V1647" s="8" t="s">
        <v>31</v>
      </c>
      <c r="W1647" s="8"/>
      <c r="X1647" s="22">
        <f>IF(V1647="Yes",1,0)</f>
        <v>0</v>
      </c>
      <c r="Y1647" s="22">
        <f>IF(H1647="Active",0,1)</f>
        <v>0</v>
      </c>
    </row>
    <row r="1648" spans="1:25" ht="18" customHeight="1" x14ac:dyDescent="0.35">
      <c r="A1648" s="14" t="s">
        <v>2112</v>
      </c>
      <c r="B1648" s="14" t="s">
        <v>207</v>
      </c>
      <c r="C1648" s="14" t="s">
        <v>34</v>
      </c>
      <c r="D1648" s="15">
        <v>42</v>
      </c>
      <c r="E1648" s="14" t="s">
        <v>2304</v>
      </c>
      <c r="F1648" s="14" t="s">
        <v>53</v>
      </c>
      <c r="G1648" s="16">
        <v>45413</v>
      </c>
      <c r="H1648" s="14" t="s">
        <v>26</v>
      </c>
      <c r="I1648" s="14" t="s">
        <v>36</v>
      </c>
      <c r="J1648" s="14" t="s">
        <v>48</v>
      </c>
      <c r="K1648" s="14" t="s">
        <v>37</v>
      </c>
      <c r="L1648" s="14" t="s">
        <v>38</v>
      </c>
      <c r="M1648" s="14" t="s">
        <v>30</v>
      </c>
      <c r="N1648" s="17">
        <v>160148</v>
      </c>
      <c r="O1648" s="17">
        <v>22283</v>
      </c>
      <c r="P1648" s="18">
        <v>96.7</v>
      </c>
      <c r="Q1648" s="15">
        <v>10</v>
      </c>
      <c r="R1648" s="19">
        <v>24</v>
      </c>
      <c r="S1648" s="19">
        <v>3</v>
      </c>
      <c r="T1648" s="15">
        <v>6</v>
      </c>
      <c r="U1648" s="19">
        <v>88</v>
      </c>
      <c r="V1648" s="14" t="s">
        <v>31</v>
      </c>
      <c r="W1648" s="14"/>
      <c r="X1648" s="14">
        <f>IF(V1648="Yes",1,0)</f>
        <v>0</v>
      </c>
      <c r="Y1648" s="14">
        <f>IF(H1648="Active",0,1)</f>
        <v>0</v>
      </c>
    </row>
    <row r="1649" spans="1:25" ht="18" customHeight="1" x14ac:dyDescent="0.35">
      <c r="A1649" s="14" t="s">
        <v>1030</v>
      </c>
      <c r="B1649" s="14" t="s">
        <v>234</v>
      </c>
      <c r="C1649" s="14" t="s">
        <v>34</v>
      </c>
      <c r="D1649" s="15">
        <v>30</v>
      </c>
      <c r="E1649" s="14" t="s">
        <v>2303</v>
      </c>
      <c r="F1649" s="14" t="s">
        <v>76</v>
      </c>
      <c r="G1649" s="16">
        <v>45412</v>
      </c>
      <c r="H1649" s="14" t="s">
        <v>26</v>
      </c>
      <c r="I1649" s="14" t="s">
        <v>36</v>
      </c>
      <c r="J1649" s="14" t="s">
        <v>2268</v>
      </c>
      <c r="K1649" s="14" t="s">
        <v>55</v>
      </c>
      <c r="L1649" s="14" t="s">
        <v>68</v>
      </c>
      <c r="M1649" s="14" t="s">
        <v>45</v>
      </c>
      <c r="N1649" s="17">
        <v>246171</v>
      </c>
      <c r="O1649" s="17">
        <v>13262</v>
      </c>
      <c r="P1649" s="18">
        <v>94.6</v>
      </c>
      <c r="Q1649" s="15">
        <v>9</v>
      </c>
      <c r="R1649" s="19">
        <v>13</v>
      </c>
      <c r="S1649" s="19">
        <v>3</v>
      </c>
      <c r="T1649" s="15">
        <v>28</v>
      </c>
      <c r="U1649" s="19">
        <v>78</v>
      </c>
      <c r="V1649" s="14" t="s">
        <v>31</v>
      </c>
      <c r="W1649" s="14"/>
      <c r="X1649" s="14">
        <f>IF(V1649="Yes",1,0)</f>
        <v>0</v>
      </c>
      <c r="Y1649" s="14">
        <f>IF(H1649="Active",0,1)</f>
        <v>0</v>
      </c>
    </row>
    <row r="1650" spans="1:25" ht="18" customHeight="1" x14ac:dyDescent="0.35">
      <c r="A1650" s="8" t="s">
        <v>841</v>
      </c>
      <c r="B1650" s="8" t="s">
        <v>189</v>
      </c>
      <c r="C1650" s="8" t="s">
        <v>34</v>
      </c>
      <c r="D1650" s="9">
        <v>39</v>
      </c>
      <c r="E1650" s="8" t="s">
        <v>86</v>
      </c>
      <c r="F1650" s="8" t="s">
        <v>43</v>
      </c>
      <c r="G1650" s="10">
        <v>45411</v>
      </c>
      <c r="H1650" s="8" t="s">
        <v>26</v>
      </c>
      <c r="I1650" s="8" t="s">
        <v>36</v>
      </c>
      <c r="J1650" s="8" t="s">
        <v>2269</v>
      </c>
      <c r="K1650" s="8" t="s">
        <v>73</v>
      </c>
      <c r="L1650" s="8" t="s">
        <v>68</v>
      </c>
      <c r="M1650" s="8" t="s">
        <v>64</v>
      </c>
      <c r="N1650" s="11">
        <v>60349</v>
      </c>
      <c r="O1650" s="11">
        <v>24041</v>
      </c>
      <c r="P1650" s="12">
        <v>87.1</v>
      </c>
      <c r="Q1650" s="9">
        <v>1</v>
      </c>
      <c r="R1650" s="13">
        <v>8</v>
      </c>
      <c r="S1650" s="13">
        <v>4</v>
      </c>
      <c r="T1650" s="9">
        <v>10</v>
      </c>
      <c r="U1650" s="13">
        <v>86</v>
      </c>
      <c r="V1650" s="8" t="s">
        <v>31</v>
      </c>
      <c r="W1650" s="8"/>
      <c r="X1650" s="22">
        <f>IF(V1650="Yes",1,0)</f>
        <v>0</v>
      </c>
      <c r="Y1650" s="22">
        <f>IF(H1650="Active",0,1)</f>
        <v>0</v>
      </c>
    </row>
    <row r="1651" spans="1:25" ht="18" customHeight="1" x14ac:dyDescent="0.35">
      <c r="A1651" s="8" t="s">
        <v>1599</v>
      </c>
      <c r="B1651" s="8" t="s">
        <v>837</v>
      </c>
      <c r="C1651" s="8" t="s">
        <v>25</v>
      </c>
      <c r="D1651" s="9">
        <v>49</v>
      </c>
      <c r="E1651" s="8" t="s">
        <v>52</v>
      </c>
      <c r="F1651" s="8" t="s">
        <v>12</v>
      </c>
      <c r="G1651" s="10">
        <v>45411</v>
      </c>
      <c r="H1651" s="8" t="s">
        <v>26</v>
      </c>
      <c r="I1651" s="8" t="s">
        <v>27</v>
      </c>
      <c r="J1651" s="8" t="s">
        <v>80</v>
      </c>
      <c r="K1651" s="8" t="s">
        <v>73</v>
      </c>
      <c r="L1651" s="8" t="s">
        <v>116</v>
      </c>
      <c r="M1651" s="8" t="s">
        <v>30</v>
      </c>
      <c r="N1651" s="11">
        <v>131314</v>
      </c>
      <c r="O1651" s="11">
        <v>31843</v>
      </c>
      <c r="P1651" s="12">
        <v>86.4</v>
      </c>
      <c r="Q1651" s="9">
        <v>4</v>
      </c>
      <c r="R1651" s="13">
        <v>15</v>
      </c>
      <c r="S1651" s="13">
        <v>2</v>
      </c>
      <c r="T1651" s="9">
        <v>3</v>
      </c>
      <c r="U1651" s="13">
        <v>84</v>
      </c>
      <c r="V1651" s="8" t="s">
        <v>69</v>
      </c>
      <c r="W1651" s="8"/>
      <c r="X1651" s="22">
        <f>IF(V1651="Yes",1,0)</f>
        <v>1</v>
      </c>
      <c r="Y1651" s="22">
        <f>IF(H1651="Active",0,1)</f>
        <v>0</v>
      </c>
    </row>
    <row r="1652" spans="1:25" ht="18" customHeight="1" x14ac:dyDescent="0.35">
      <c r="A1652" s="8" t="s">
        <v>2153</v>
      </c>
      <c r="B1652" s="8" t="s">
        <v>173</v>
      </c>
      <c r="C1652" s="8" t="s">
        <v>34</v>
      </c>
      <c r="D1652" s="9">
        <v>23</v>
      </c>
      <c r="E1652" s="8" t="s">
        <v>42</v>
      </c>
      <c r="F1652" s="8" t="s">
        <v>43</v>
      </c>
      <c r="G1652" s="10">
        <v>45411</v>
      </c>
      <c r="H1652" s="8" t="s">
        <v>26</v>
      </c>
      <c r="I1652" s="8" t="s">
        <v>36</v>
      </c>
      <c r="J1652" s="8" t="s">
        <v>2270</v>
      </c>
      <c r="K1652" s="8" t="s">
        <v>28</v>
      </c>
      <c r="L1652" s="8" t="s">
        <v>87</v>
      </c>
      <c r="M1652" s="8" t="s">
        <v>30</v>
      </c>
      <c r="N1652" s="11">
        <v>138167</v>
      </c>
      <c r="O1652" s="11">
        <v>24671</v>
      </c>
      <c r="P1652" s="12">
        <v>89.3</v>
      </c>
      <c r="Q1652" s="9">
        <v>5</v>
      </c>
      <c r="R1652" s="13">
        <v>27</v>
      </c>
      <c r="S1652" s="13">
        <v>5</v>
      </c>
      <c r="T1652" s="9">
        <v>17</v>
      </c>
      <c r="U1652" s="13">
        <v>100</v>
      </c>
      <c r="V1652" s="8" t="s">
        <v>31</v>
      </c>
      <c r="W1652" s="8"/>
      <c r="X1652" s="22">
        <f>IF(V1652="Yes",1,0)</f>
        <v>0</v>
      </c>
      <c r="Y1652" s="22">
        <f>IF(H1652="Active",0,1)</f>
        <v>0</v>
      </c>
    </row>
    <row r="1653" spans="1:25" ht="18" customHeight="1" x14ac:dyDescent="0.35">
      <c r="A1653" s="14" t="s">
        <v>656</v>
      </c>
      <c r="B1653" s="14" t="s">
        <v>344</v>
      </c>
      <c r="C1653" s="14" t="s">
        <v>34</v>
      </c>
      <c r="D1653" s="15">
        <v>53</v>
      </c>
      <c r="E1653" s="14" t="s">
        <v>63</v>
      </c>
      <c r="F1653" s="14" t="s">
        <v>90</v>
      </c>
      <c r="G1653" s="16">
        <v>45410</v>
      </c>
      <c r="H1653" s="14" t="s">
        <v>26</v>
      </c>
      <c r="I1653" s="14" t="s">
        <v>36</v>
      </c>
      <c r="J1653" s="14" t="s">
        <v>2270</v>
      </c>
      <c r="K1653" s="14" t="s">
        <v>55</v>
      </c>
      <c r="L1653" s="14" t="s">
        <v>29</v>
      </c>
      <c r="M1653" s="14" t="s">
        <v>60</v>
      </c>
      <c r="N1653" s="17">
        <v>237572</v>
      </c>
      <c r="O1653" s="17">
        <v>49606</v>
      </c>
      <c r="P1653" s="18">
        <v>93.8</v>
      </c>
      <c r="Q1653" s="15">
        <v>8</v>
      </c>
      <c r="R1653" s="19">
        <v>22</v>
      </c>
      <c r="S1653" s="19">
        <v>4</v>
      </c>
      <c r="T1653" s="15">
        <v>37</v>
      </c>
      <c r="U1653" s="19">
        <v>86</v>
      </c>
      <c r="V1653" s="14" t="s">
        <v>31</v>
      </c>
      <c r="W1653" s="14"/>
      <c r="X1653" s="14">
        <f>IF(V1653="Yes",1,0)</f>
        <v>0</v>
      </c>
      <c r="Y1653" s="14">
        <f>IF(H1653="Active",0,1)</f>
        <v>0</v>
      </c>
    </row>
    <row r="1654" spans="1:25" ht="18" customHeight="1" x14ac:dyDescent="0.35">
      <c r="A1654" s="8" t="s">
        <v>689</v>
      </c>
      <c r="B1654" s="8" t="s">
        <v>144</v>
      </c>
      <c r="C1654" s="8" t="s">
        <v>34</v>
      </c>
      <c r="D1654" s="9">
        <v>53</v>
      </c>
      <c r="E1654" s="8" t="s">
        <v>109</v>
      </c>
      <c r="F1654" s="8" t="s">
        <v>12</v>
      </c>
      <c r="G1654" s="10">
        <v>45410</v>
      </c>
      <c r="H1654" s="8" t="s">
        <v>26</v>
      </c>
      <c r="I1654" s="8" t="s">
        <v>2267</v>
      </c>
      <c r="J1654" s="8" t="s">
        <v>48</v>
      </c>
      <c r="K1654" s="8" t="s">
        <v>55</v>
      </c>
      <c r="L1654" s="8" t="s">
        <v>68</v>
      </c>
      <c r="M1654" s="8" t="s">
        <v>45</v>
      </c>
      <c r="N1654" s="11">
        <v>106365</v>
      </c>
      <c r="O1654" s="11">
        <v>40484</v>
      </c>
      <c r="P1654" s="12">
        <v>89.2</v>
      </c>
      <c r="Q1654" s="9">
        <v>4</v>
      </c>
      <c r="R1654" s="13">
        <v>5</v>
      </c>
      <c r="S1654" s="13">
        <v>4</v>
      </c>
      <c r="T1654" s="9">
        <v>11</v>
      </c>
      <c r="U1654" s="13">
        <v>65</v>
      </c>
      <c r="V1654" s="8" t="s">
        <v>31</v>
      </c>
      <c r="W1654" s="8"/>
      <c r="X1654" s="22">
        <f>IF(V1654="Yes",1,0)</f>
        <v>0</v>
      </c>
      <c r="Y1654" s="22">
        <f>IF(H1654="Active",0,1)</f>
        <v>0</v>
      </c>
    </row>
    <row r="1655" spans="1:25" ht="18" customHeight="1" x14ac:dyDescent="0.35">
      <c r="A1655" s="8" t="s">
        <v>1271</v>
      </c>
      <c r="B1655" s="8" t="s">
        <v>537</v>
      </c>
      <c r="C1655" s="8" t="s">
        <v>25</v>
      </c>
      <c r="D1655" s="9">
        <v>43</v>
      </c>
      <c r="E1655" s="8" t="s">
        <v>2304</v>
      </c>
      <c r="F1655" s="8" t="s">
        <v>72</v>
      </c>
      <c r="G1655" s="10">
        <v>45410</v>
      </c>
      <c r="H1655" s="8" t="s">
        <v>26</v>
      </c>
      <c r="I1655" s="8" t="s">
        <v>36</v>
      </c>
      <c r="J1655" s="8" t="s">
        <v>80</v>
      </c>
      <c r="K1655" s="8" t="s">
        <v>55</v>
      </c>
      <c r="L1655" s="8" t="s">
        <v>56</v>
      </c>
      <c r="M1655" s="8" t="s">
        <v>64</v>
      </c>
      <c r="N1655" s="11">
        <v>221020</v>
      </c>
      <c r="O1655" s="11">
        <v>43621</v>
      </c>
      <c r="P1655" s="12">
        <v>82.2</v>
      </c>
      <c r="Q1655" s="9">
        <v>10</v>
      </c>
      <c r="R1655" s="13">
        <v>20</v>
      </c>
      <c r="S1655" s="13">
        <v>4</v>
      </c>
      <c r="T1655" s="9">
        <v>37</v>
      </c>
      <c r="U1655" s="13">
        <v>69</v>
      </c>
      <c r="V1655" s="8" t="s">
        <v>31</v>
      </c>
      <c r="W1655" s="8"/>
      <c r="X1655" s="22">
        <f>IF(V1655="Yes",1,0)</f>
        <v>0</v>
      </c>
      <c r="Y1655" s="22">
        <f>IF(H1655="Active",0,1)</f>
        <v>0</v>
      </c>
    </row>
    <row r="1656" spans="1:25" ht="18" customHeight="1" x14ac:dyDescent="0.35">
      <c r="A1656" s="8" t="s">
        <v>1457</v>
      </c>
      <c r="B1656" s="8" t="s">
        <v>877</v>
      </c>
      <c r="C1656" s="8" t="s">
        <v>25</v>
      </c>
      <c r="D1656" s="9">
        <v>53</v>
      </c>
      <c r="E1656" s="8" t="s">
        <v>52</v>
      </c>
      <c r="F1656" s="8" t="s">
        <v>79</v>
      </c>
      <c r="G1656" s="10">
        <v>45410</v>
      </c>
      <c r="H1656" s="8" t="s">
        <v>26</v>
      </c>
      <c r="I1656" s="8" t="s">
        <v>36</v>
      </c>
      <c r="J1656" s="8" t="s">
        <v>48</v>
      </c>
      <c r="K1656" s="8" t="s">
        <v>55</v>
      </c>
      <c r="L1656" s="8" t="s">
        <v>68</v>
      </c>
      <c r="M1656" s="8" t="s">
        <v>39</v>
      </c>
      <c r="N1656" s="11">
        <v>204416</v>
      </c>
      <c r="O1656" s="11">
        <v>40476</v>
      </c>
      <c r="P1656" s="12">
        <v>98.1</v>
      </c>
      <c r="Q1656" s="9">
        <v>4</v>
      </c>
      <c r="R1656" s="13">
        <v>0</v>
      </c>
      <c r="S1656" s="13">
        <v>4</v>
      </c>
      <c r="T1656" s="9">
        <v>9</v>
      </c>
      <c r="U1656" s="13">
        <v>61</v>
      </c>
      <c r="V1656" s="8" t="s">
        <v>31</v>
      </c>
      <c r="W1656" s="8"/>
      <c r="X1656" s="22">
        <f>IF(V1656="Yes",1,0)</f>
        <v>0</v>
      </c>
      <c r="Y1656" s="22">
        <f>IF(H1656="Active",0,1)</f>
        <v>0</v>
      </c>
    </row>
    <row r="1657" spans="1:25" ht="18" customHeight="1" x14ac:dyDescent="0.35">
      <c r="A1657" s="14" t="s">
        <v>1714</v>
      </c>
      <c r="B1657" s="14" t="s">
        <v>78</v>
      </c>
      <c r="C1657" s="14" t="s">
        <v>25</v>
      </c>
      <c r="D1657" s="15">
        <v>51</v>
      </c>
      <c r="E1657" s="14" t="s">
        <v>93</v>
      </c>
      <c r="F1657" s="14" t="s">
        <v>90</v>
      </c>
      <c r="G1657" s="16">
        <v>45409</v>
      </c>
      <c r="H1657" s="14" t="s">
        <v>26</v>
      </c>
      <c r="I1657" s="14" t="s">
        <v>27</v>
      </c>
      <c r="J1657" s="14" t="s">
        <v>48</v>
      </c>
      <c r="K1657" s="14" t="s">
        <v>37</v>
      </c>
      <c r="L1657" s="14" t="s">
        <v>44</v>
      </c>
      <c r="M1657" s="14" t="s">
        <v>30</v>
      </c>
      <c r="N1657" s="17">
        <v>227068</v>
      </c>
      <c r="O1657" s="17">
        <v>20292</v>
      </c>
      <c r="P1657" s="18">
        <v>85.5</v>
      </c>
      <c r="Q1657" s="15">
        <v>0</v>
      </c>
      <c r="R1657" s="19">
        <v>5</v>
      </c>
      <c r="S1657" s="19">
        <v>1</v>
      </c>
      <c r="T1657" s="15">
        <v>13</v>
      </c>
      <c r="U1657" s="19">
        <v>76</v>
      </c>
      <c r="V1657" s="14" t="s">
        <v>31</v>
      </c>
      <c r="W1657" s="14"/>
      <c r="X1657" s="14">
        <f>IF(V1657="Yes",1,0)</f>
        <v>0</v>
      </c>
      <c r="Y1657" s="14">
        <f>IF(H1657="Active",0,1)</f>
        <v>0</v>
      </c>
    </row>
    <row r="1658" spans="1:25" ht="18" customHeight="1" x14ac:dyDescent="0.35">
      <c r="A1658" s="8" t="s">
        <v>2221</v>
      </c>
      <c r="B1658" s="8" t="s">
        <v>177</v>
      </c>
      <c r="C1658" s="8" t="s">
        <v>25</v>
      </c>
      <c r="D1658" s="9">
        <v>54</v>
      </c>
      <c r="E1658" s="8" t="s">
        <v>42</v>
      </c>
      <c r="F1658" s="8" t="s">
        <v>79</v>
      </c>
      <c r="G1658" s="10">
        <v>45409</v>
      </c>
      <c r="H1658" s="8" t="s">
        <v>26</v>
      </c>
      <c r="I1658" s="8" t="s">
        <v>27</v>
      </c>
      <c r="J1658" s="8" t="s">
        <v>2268</v>
      </c>
      <c r="K1658" s="8" t="s">
        <v>37</v>
      </c>
      <c r="L1658" s="8" t="s">
        <v>49</v>
      </c>
      <c r="M1658" s="8" t="s">
        <v>60</v>
      </c>
      <c r="N1658" s="11">
        <v>122956</v>
      </c>
      <c r="O1658" s="11">
        <v>8621</v>
      </c>
      <c r="P1658" s="12">
        <v>88.8</v>
      </c>
      <c r="Q1658" s="9">
        <v>10</v>
      </c>
      <c r="R1658" s="13">
        <v>4</v>
      </c>
      <c r="S1658" s="13">
        <v>1</v>
      </c>
      <c r="T1658" s="9">
        <v>33</v>
      </c>
      <c r="U1658" s="13">
        <v>87</v>
      </c>
      <c r="V1658" s="8" t="s">
        <v>31</v>
      </c>
      <c r="W1658" s="8"/>
      <c r="X1658" s="22">
        <f>IF(V1658="Yes",1,0)</f>
        <v>0</v>
      </c>
      <c r="Y1658" s="22">
        <f>IF(H1658="Active",0,1)</f>
        <v>0</v>
      </c>
    </row>
    <row r="1659" spans="1:25" ht="18" customHeight="1" x14ac:dyDescent="0.35">
      <c r="A1659" s="14" t="s">
        <v>1556</v>
      </c>
      <c r="B1659" s="14" t="s">
        <v>175</v>
      </c>
      <c r="C1659" s="14" t="s">
        <v>25</v>
      </c>
      <c r="D1659" s="15">
        <v>29</v>
      </c>
      <c r="E1659" s="14" t="s">
        <v>67</v>
      </c>
      <c r="F1659" s="14" t="s">
        <v>79</v>
      </c>
      <c r="G1659" s="16">
        <v>45408</v>
      </c>
      <c r="H1659" s="14" t="s">
        <v>54</v>
      </c>
      <c r="I1659" s="14" t="s">
        <v>27</v>
      </c>
      <c r="J1659" s="14" t="s">
        <v>2268</v>
      </c>
      <c r="K1659" s="14" t="s">
        <v>73</v>
      </c>
      <c r="L1659" s="14" t="s">
        <v>116</v>
      </c>
      <c r="M1659" s="14" t="s">
        <v>64</v>
      </c>
      <c r="N1659" s="17">
        <v>158052</v>
      </c>
      <c r="O1659" s="17">
        <v>9476</v>
      </c>
      <c r="P1659" s="18">
        <v>96.7</v>
      </c>
      <c r="Q1659" s="15">
        <v>10</v>
      </c>
      <c r="R1659" s="19">
        <v>20</v>
      </c>
      <c r="S1659" s="19">
        <v>1</v>
      </c>
      <c r="T1659" s="15">
        <v>19</v>
      </c>
      <c r="U1659" s="19">
        <v>92</v>
      </c>
      <c r="V1659" s="14" t="s">
        <v>31</v>
      </c>
      <c r="W1659" s="14" t="s">
        <v>57</v>
      </c>
      <c r="X1659" s="14">
        <f>IF(V1659="Yes",1,0)</f>
        <v>0</v>
      </c>
      <c r="Y1659" s="14">
        <f>IF(H1659="Active",0,1)</f>
        <v>1</v>
      </c>
    </row>
    <row r="1660" spans="1:25" ht="18" customHeight="1" x14ac:dyDescent="0.35">
      <c r="A1660" s="8" t="s">
        <v>859</v>
      </c>
      <c r="B1660" s="8" t="s">
        <v>540</v>
      </c>
      <c r="C1660" s="8" t="s">
        <v>34</v>
      </c>
      <c r="D1660" s="9">
        <v>24</v>
      </c>
      <c r="E1660" s="8" t="s">
        <v>52</v>
      </c>
      <c r="F1660" s="8" t="s">
        <v>12</v>
      </c>
      <c r="G1660" s="10">
        <v>45406</v>
      </c>
      <c r="H1660" s="8" t="s">
        <v>26</v>
      </c>
      <c r="I1660" s="8" t="s">
        <v>27</v>
      </c>
      <c r="J1660" s="8" t="s">
        <v>2269</v>
      </c>
      <c r="K1660" s="8" t="s">
        <v>2271</v>
      </c>
      <c r="L1660" s="8" t="s">
        <v>116</v>
      </c>
      <c r="M1660" s="8" t="s">
        <v>64</v>
      </c>
      <c r="N1660" s="11">
        <v>230815</v>
      </c>
      <c r="O1660" s="11">
        <v>32895</v>
      </c>
      <c r="P1660" s="12">
        <v>90.2</v>
      </c>
      <c r="Q1660" s="9">
        <v>8</v>
      </c>
      <c r="R1660" s="13">
        <v>0</v>
      </c>
      <c r="S1660" s="13">
        <v>1</v>
      </c>
      <c r="T1660" s="9">
        <v>18</v>
      </c>
      <c r="U1660" s="13">
        <v>94</v>
      </c>
      <c r="V1660" s="8" t="s">
        <v>31</v>
      </c>
      <c r="W1660" s="8"/>
      <c r="X1660" s="22">
        <f>IF(V1660="Yes",1,0)</f>
        <v>0</v>
      </c>
      <c r="Y1660" s="22">
        <f>IF(H1660="Active",0,1)</f>
        <v>0</v>
      </c>
    </row>
    <row r="1661" spans="1:25" ht="18" customHeight="1" x14ac:dyDescent="0.35">
      <c r="A1661" s="14" t="s">
        <v>1592</v>
      </c>
      <c r="B1661" s="14" t="s">
        <v>250</v>
      </c>
      <c r="C1661" s="14" t="s">
        <v>25</v>
      </c>
      <c r="D1661" s="15">
        <v>47</v>
      </c>
      <c r="E1661" s="14" t="s">
        <v>42</v>
      </c>
      <c r="F1661" s="14" t="s">
        <v>76</v>
      </c>
      <c r="G1661" s="16">
        <v>45406</v>
      </c>
      <c r="H1661" s="14" t="s">
        <v>26</v>
      </c>
      <c r="I1661" s="14" t="s">
        <v>2267</v>
      </c>
      <c r="J1661" s="14" t="s">
        <v>2268</v>
      </c>
      <c r="K1661" s="14" t="s">
        <v>28</v>
      </c>
      <c r="L1661" s="14" t="s">
        <v>68</v>
      </c>
      <c r="M1661" s="14" t="s">
        <v>60</v>
      </c>
      <c r="N1661" s="17">
        <v>237964</v>
      </c>
      <c r="O1661" s="17">
        <v>24426</v>
      </c>
      <c r="P1661" s="18">
        <v>98.6</v>
      </c>
      <c r="Q1661" s="15">
        <v>8</v>
      </c>
      <c r="R1661" s="19">
        <v>20</v>
      </c>
      <c r="S1661" s="19">
        <v>3</v>
      </c>
      <c r="T1661" s="15">
        <v>5</v>
      </c>
      <c r="U1661" s="19">
        <v>75</v>
      </c>
      <c r="V1661" s="14" t="s">
        <v>69</v>
      </c>
      <c r="W1661" s="14"/>
      <c r="X1661" s="14">
        <f>IF(V1661="Yes",1,0)</f>
        <v>1</v>
      </c>
      <c r="Y1661" s="14">
        <f>IF(H1661="Active",0,1)</f>
        <v>0</v>
      </c>
    </row>
    <row r="1662" spans="1:25" ht="18" customHeight="1" x14ac:dyDescent="0.35">
      <c r="A1662" s="14" t="s">
        <v>931</v>
      </c>
      <c r="B1662" s="14" t="s">
        <v>583</v>
      </c>
      <c r="C1662" s="14" t="s">
        <v>34</v>
      </c>
      <c r="D1662" s="15">
        <v>40</v>
      </c>
      <c r="E1662" s="14" t="s">
        <v>2304</v>
      </c>
      <c r="F1662" s="14" t="s">
        <v>90</v>
      </c>
      <c r="G1662" s="16">
        <v>45405</v>
      </c>
      <c r="H1662" s="14" t="s">
        <v>26</v>
      </c>
      <c r="I1662" s="14" t="s">
        <v>36</v>
      </c>
      <c r="J1662" s="14" t="s">
        <v>2269</v>
      </c>
      <c r="K1662" s="14" t="s">
        <v>73</v>
      </c>
      <c r="L1662" s="14" t="s">
        <v>87</v>
      </c>
      <c r="M1662" s="14" t="s">
        <v>30</v>
      </c>
      <c r="N1662" s="17">
        <v>226785</v>
      </c>
      <c r="O1662" s="17">
        <v>13765</v>
      </c>
      <c r="P1662" s="18">
        <v>86.4</v>
      </c>
      <c r="Q1662" s="15">
        <v>7</v>
      </c>
      <c r="R1662" s="19">
        <v>15</v>
      </c>
      <c r="S1662" s="19">
        <v>4</v>
      </c>
      <c r="T1662" s="15">
        <v>18</v>
      </c>
      <c r="U1662" s="19">
        <v>84</v>
      </c>
      <c r="V1662" s="14" t="s">
        <v>31</v>
      </c>
      <c r="W1662" s="14"/>
      <c r="X1662" s="14">
        <f>IF(V1662="Yes",1,0)</f>
        <v>0</v>
      </c>
      <c r="Y1662" s="14">
        <f>IF(H1662="Active",0,1)</f>
        <v>0</v>
      </c>
    </row>
    <row r="1663" spans="1:25" ht="18" customHeight="1" x14ac:dyDescent="0.35">
      <c r="A1663" s="14" t="s">
        <v>143</v>
      </c>
      <c r="B1663" s="14" t="s">
        <v>144</v>
      </c>
      <c r="C1663" s="14" t="s">
        <v>25</v>
      </c>
      <c r="D1663" s="15">
        <v>37</v>
      </c>
      <c r="E1663" s="14" t="s">
        <v>2304</v>
      </c>
      <c r="F1663" s="14" t="s">
        <v>43</v>
      </c>
      <c r="G1663" s="16">
        <v>45404</v>
      </c>
      <c r="H1663" s="14" t="s">
        <v>26</v>
      </c>
      <c r="I1663" s="14" t="s">
        <v>36</v>
      </c>
      <c r="J1663" s="14" t="s">
        <v>80</v>
      </c>
      <c r="K1663" s="14" t="s">
        <v>73</v>
      </c>
      <c r="L1663" s="14" t="s">
        <v>29</v>
      </c>
      <c r="M1663" s="14" t="s">
        <v>45</v>
      </c>
      <c r="N1663" s="17">
        <v>36569</v>
      </c>
      <c r="O1663" s="17">
        <v>11506</v>
      </c>
      <c r="P1663" s="18">
        <v>81.900000000000006</v>
      </c>
      <c r="Q1663" s="15">
        <v>2</v>
      </c>
      <c r="R1663" s="19">
        <v>22</v>
      </c>
      <c r="S1663" s="19">
        <v>1</v>
      </c>
      <c r="T1663" s="15">
        <v>18</v>
      </c>
      <c r="U1663" s="19">
        <v>96</v>
      </c>
      <c r="V1663" s="14" t="s">
        <v>69</v>
      </c>
      <c r="W1663" s="14"/>
      <c r="X1663" s="14">
        <f>IF(V1663="Yes",1,0)</f>
        <v>1</v>
      </c>
      <c r="Y1663" s="14">
        <f>IF(H1663="Active",0,1)</f>
        <v>0</v>
      </c>
    </row>
    <row r="1664" spans="1:25" ht="18" customHeight="1" x14ac:dyDescent="0.35">
      <c r="A1664" s="8" t="s">
        <v>644</v>
      </c>
      <c r="B1664" s="8" t="s">
        <v>181</v>
      </c>
      <c r="C1664" s="8" t="s">
        <v>25</v>
      </c>
      <c r="D1664" s="9">
        <v>60</v>
      </c>
      <c r="E1664" s="8" t="s">
        <v>2304</v>
      </c>
      <c r="F1664" s="8" t="s">
        <v>90</v>
      </c>
      <c r="G1664" s="10">
        <v>45404</v>
      </c>
      <c r="H1664" s="8" t="s">
        <v>26</v>
      </c>
      <c r="I1664" s="8" t="s">
        <v>27</v>
      </c>
      <c r="J1664" s="8" t="s">
        <v>80</v>
      </c>
      <c r="K1664" s="8" t="s">
        <v>28</v>
      </c>
      <c r="L1664" s="8" t="s">
        <v>56</v>
      </c>
      <c r="M1664" s="8" t="s">
        <v>64</v>
      </c>
      <c r="N1664" s="11">
        <v>39953</v>
      </c>
      <c r="O1664" s="11">
        <v>41910</v>
      </c>
      <c r="P1664" s="12">
        <v>96</v>
      </c>
      <c r="Q1664" s="9">
        <v>7</v>
      </c>
      <c r="R1664" s="13">
        <v>29</v>
      </c>
      <c r="S1664" s="13">
        <v>5</v>
      </c>
      <c r="T1664" s="9">
        <v>40</v>
      </c>
      <c r="U1664" s="13">
        <v>81</v>
      </c>
      <c r="V1664" s="8" t="s">
        <v>31</v>
      </c>
      <c r="W1664" s="8"/>
      <c r="X1664" s="22">
        <f>IF(V1664="Yes",1,0)</f>
        <v>0</v>
      </c>
      <c r="Y1664" s="22">
        <f>IF(H1664="Active",0,1)</f>
        <v>0</v>
      </c>
    </row>
    <row r="1665" spans="1:25" ht="18" customHeight="1" x14ac:dyDescent="0.35">
      <c r="A1665" s="14" t="s">
        <v>1364</v>
      </c>
      <c r="B1665" s="14" t="s">
        <v>246</v>
      </c>
      <c r="C1665" s="14" t="s">
        <v>25</v>
      </c>
      <c r="D1665" s="15">
        <v>56</v>
      </c>
      <c r="E1665" s="14" t="s">
        <v>2304</v>
      </c>
      <c r="F1665" s="14" t="s">
        <v>35</v>
      </c>
      <c r="G1665" s="16">
        <v>45404</v>
      </c>
      <c r="H1665" s="14" t="s">
        <v>26</v>
      </c>
      <c r="I1665" s="14" t="s">
        <v>2267</v>
      </c>
      <c r="J1665" s="14" t="s">
        <v>2270</v>
      </c>
      <c r="K1665" s="14" t="s">
        <v>37</v>
      </c>
      <c r="L1665" s="14" t="s">
        <v>29</v>
      </c>
      <c r="M1665" s="14" t="s">
        <v>64</v>
      </c>
      <c r="N1665" s="17">
        <v>57808</v>
      </c>
      <c r="O1665" s="17">
        <v>12262</v>
      </c>
      <c r="P1665" s="18">
        <v>91.9</v>
      </c>
      <c r="Q1665" s="15">
        <v>0</v>
      </c>
      <c r="R1665" s="19">
        <v>3</v>
      </c>
      <c r="S1665" s="19">
        <v>5</v>
      </c>
      <c r="T1665" s="15">
        <v>15</v>
      </c>
      <c r="U1665" s="19">
        <v>74</v>
      </c>
      <c r="V1665" s="14" t="s">
        <v>31</v>
      </c>
      <c r="W1665" s="14"/>
      <c r="X1665" s="14">
        <f>IF(V1665="Yes",1,0)</f>
        <v>0</v>
      </c>
      <c r="Y1665" s="14">
        <f>IF(H1665="Active",0,1)</f>
        <v>0</v>
      </c>
    </row>
    <row r="1666" spans="1:25" ht="18" customHeight="1" x14ac:dyDescent="0.35">
      <c r="A1666" s="8" t="s">
        <v>1759</v>
      </c>
      <c r="B1666" s="8" t="s">
        <v>78</v>
      </c>
      <c r="C1666" s="8" t="s">
        <v>25</v>
      </c>
      <c r="D1666" s="9">
        <v>45</v>
      </c>
      <c r="E1666" s="8" t="s">
        <v>52</v>
      </c>
      <c r="F1666" s="8" t="s">
        <v>43</v>
      </c>
      <c r="G1666" s="10">
        <v>45404</v>
      </c>
      <c r="H1666" s="8" t="s">
        <v>26</v>
      </c>
      <c r="I1666" s="8" t="s">
        <v>2267</v>
      </c>
      <c r="J1666" s="8" t="s">
        <v>80</v>
      </c>
      <c r="K1666" s="8" t="s">
        <v>2271</v>
      </c>
      <c r="L1666" s="8" t="s">
        <v>87</v>
      </c>
      <c r="M1666" s="8" t="s">
        <v>60</v>
      </c>
      <c r="N1666" s="11">
        <v>67937</v>
      </c>
      <c r="O1666" s="11">
        <v>27083</v>
      </c>
      <c r="P1666" s="12">
        <v>99.6</v>
      </c>
      <c r="Q1666" s="9">
        <v>3</v>
      </c>
      <c r="R1666" s="13">
        <v>15</v>
      </c>
      <c r="S1666" s="13">
        <v>2</v>
      </c>
      <c r="T1666" s="9">
        <v>27</v>
      </c>
      <c r="U1666" s="13">
        <v>99</v>
      </c>
      <c r="V1666" s="8" t="s">
        <v>31</v>
      </c>
      <c r="W1666" s="8"/>
      <c r="X1666" s="22">
        <f>IF(V1666="Yes",1,0)</f>
        <v>0</v>
      </c>
      <c r="Y1666" s="22">
        <f>IF(H1666="Active",0,1)</f>
        <v>0</v>
      </c>
    </row>
    <row r="1667" spans="1:25" ht="18" customHeight="1" x14ac:dyDescent="0.35">
      <c r="A1667" s="8" t="s">
        <v>452</v>
      </c>
      <c r="B1667" s="8" t="s">
        <v>280</v>
      </c>
      <c r="C1667" s="8" t="s">
        <v>25</v>
      </c>
      <c r="D1667" s="9">
        <v>51</v>
      </c>
      <c r="E1667" s="8" t="s">
        <v>109</v>
      </c>
      <c r="F1667" s="8" t="s">
        <v>90</v>
      </c>
      <c r="G1667" s="10">
        <v>45402</v>
      </c>
      <c r="H1667" s="8" t="s">
        <v>26</v>
      </c>
      <c r="I1667" s="8" t="s">
        <v>2267</v>
      </c>
      <c r="J1667" s="8" t="s">
        <v>2270</v>
      </c>
      <c r="K1667" s="8" t="s">
        <v>28</v>
      </c>
      <c r="L1667" s="8" t="s">
        <v>49</v>
      </c>
      <c r="M1667" s="8" t="s">
        <v>45</v>
      </c>
      <c r="N1667" s="11">
        <v>249758</v>
      </c>
      <c r="O1667" s="11">
        <v>29888</v>
      </c>
      <c r="P1667" s="12">
        <v>97.8</v>
      </c>
      <c r="Q1667" s="9">
        <v>6</v>
      </c>
      <c r="R1667" s="13">
        <v>30</v>
      </c>
      <c r="S1667" s="13">
        <v>2</v>
      </c>
      <c r="T1667" s="9">
        <v>17</v>
      </c>
      <c r="U1667" s="13">
        <v>85</v>
      </c>
      <c r="V1667" s="8" t="s">
        <v>31</v>
      </c>
      <c r="W1667" s="8"/>
      <c r="X1667" s="22">
        <f>IF(V1667="Yes",1,0)</f>
        <v>0</v>
      </c>
      <c r="Y1667" s="22">
        <f>IF(H1667="Active",0,1)</f>
        <v>0</v>
      </c>
    </row>
    <row r="1668" spans="1:25" ht="18" customHeight="1" x14ac:dyDescent="0.35">
      <c r="A1668" s="14" t="s">
        <v>756</v>
      </c>
      <c r="B1668" s="14" t="s">
        <v>149</v>
      </c>
      <c r="C1668" s="14" t="s">
        <v>34</v>
      </c>
      <c r="D1668" s="15">
        <v>40</v>
      </c>
      <c r="E1668" s="14" t="s">
        <v>67</v>
      </c>
      <c r="F1668" s="14" t="s">
        <v>43</v>
      </c>
      <c r="G1668" s="16">
        <v>45402</v>
      </c>
      <c r="H1668" s="14" t="s">
        <v>26</v>
      </c>
      <c r="I1668" s="14" t="s">
        <v>27</v>
      </c>
      <c r="J1668" s="14" t="s">
        <v>48</v>
      </c>
      <c r="K1668" s="14" t="s">
        <v>2271</v>
      </c>
      <c r="L1668" s="14" t="s">
        <v>56</v>
      </c>
      <c r="M1668" s="14" t="s">
        <v>39</v>
      </c>
      <c r="N1668" s="17">
        <v>94037</v>
      </c>
      <c r="O1668" s="17">
        <v>17067</v>
      </c>
      <c r="P1668" s="18">
        <v>80.7</v>
      </c>
      <c r="Q1668" s="15">
        <v>7</v>
      </c>
      <c r="R1668" s="19">
        <v>21</v>
      </c>
      <c r="S1668" s="19">
        <v>3</v>
      </c>
      <c r="T1668" s="15">
        <v>0</v>
      </c>
      <c r="U1668" s="19">
        <v>66</v>
      </c>
      <c r="V1668" s="14" t="s">
        <v>69</v>
      </c>
      <c r="W1668" s="14"/>
      <c r="X1668" s="14">
        <f>IF(V1668="Yes",1,0)</f>
        <v>1</v>
      </c>
      <c r="Y1668" s="14">
        <f>IF(H1668="Active",0,1)</f>
        <v>0</v>
      </c>
    </row>
    <row r="1669" spans="1:25" ht="18" customHeight="1" x14ac:dyDescent="0.35">
      <c r="A1669" s="14" t="s">
        <v>1598</v>
      </c>
      <c r="B1669" s="14" t="s">
        <v>467</v>
      </c>
      <c r="C1669" s="14" t="s">
        <v>34</v>
      </c>
      <c r="D1669" s="15">
        <v>26</v>
      </c>
      <c r="E1669" s="14" t="s">
        <v>67</v>
      </c>
      <c r="F1669" s="14" t="s">
        <v>76</v>
      </c>
      <c r="G1669" s="16">
        <v>45402</v>
      </c>
      <c r="H1669" s="14" t="s">
        <v>26</v>
      </c>
      <c r="I1669" s="14" t="s">
        <v>36</v>
      </c>
      <c r="J1669" s="14" t="s">
        <v>80</v>
      </c>
      <c r="K1669" s="14" t="s">
        <v>55</v>
      </c>
      <c r="L1669" s="14" t="s">
        <v>56</v>
      </c>
      <c r="M1669" s="14" t="s">
        <v>39</v>
      </c>
      <c r="N1669" s="17">
        <v>126808</v>
      </c>
      <c r="O1669" s="17">
        <v>21667</v>
      </c>
      <c r="P1669" s="18">
        <v>82.1</v>
      </c>
      <c r="Q1669" s="15">
        <v>0</v>
      </c>
      <c r="R1669" s="19">
        <v>17</v>
      </c>
      <c r="S1669" s="19">
        <v>4</v>
      </c>
      <c r="T1669" s="15">
        <v>24</v>
      </c>
      <c r="U1669" s="19">
        <v>99</v>
      </c>
      <c r="V1669" s="14" t="s">
        <v>31</v>
      </c>
      <c r="W1669" s="14"/>
      <c r="X1669" s="14">
        <f>IF(V1669="Yes",1,0)</f>
        <v>0</v>
      </c>
      <c r="Y1669" s="14">
        <f>IF(H1669="Active",0,1)</f>
        <v>0</v>
      </c>
    </row>
    <row r="1670" spans="1:25" ht="18" customHeight="1" x14ac:dyDescent="0.35">
      <c r="A1670" s="8" t="s">
        <v>227</v>
      </c>
      <c r="B1670" s="8" t="s">
        <v>228</v>
      </c>
      <c r="C1670" s="8" t="s">
        <v>34</v>
      </c>
      <c r="D1670" s="9">
        <v>31</v>
      </c>
      <c r="E1670" s="8" t="s">
        <v>2304</v>
      </c>
      <c r="F1670" s="8" t="s">
        <v>53</v>
      </c>
      <c r="G1670" s="10">
        <v>45401</v>
      </c>
      <c r="H1670" s="8" t="s">
        <v>26</v>
      </c>
      <c r="I1670" s="8" t="s">
        <v>36</v>
      </c>
      <c r="J1670" s="8" t="s">
        <v>48</v>
      </c>
      <c r="K1670" s="8" t="s">
        <v>28</v>
      </c>
      <c r="L1670" s="8" t="s">
        <v>56</v>
      </c>
      <c r="M1670" s="8" t="s">
        <v>60</v>
      </c>
      <c r="N1670" s="11">
        <v>179965</v>
      </c>
      <c r="O1670" s="11">
        <v>28783</v>
      </c>
      <c r="P1670" s="12">
        <v>86.8</v>
      </c>
      <c r="Q1670" s="9">
        <v>7</v>
      </c>
      <c r="R1670" s="13">
        <v>11</v>
      </c>
      <c r="S1670" s="13">
        <v>3</v>
      </c>
      <c r="T1670" s="9">
        <v>1</v>
      </c>
      <c r="U1670" s="13">
        <v>66</v>
      </c>
      <c r="V1670" s="8" t="s">
        <v>31</v>
      </c>
      <c r="W1670" s="8"/>
      <c r="X1670" s="22">
        <f>IF(V1670="Yes",1,0)</f>
        <v>0</v>
      </c>
      <c r="Y1670" s="22">
        <f>IF(H1670="Active",0,1)</f>
        <v>0</v>
      </c>
    </row>
    <row r="1671" spans="1:25" ht="18" customHeight="1" x14ac:dyDescent="0.35">
      <c r="A1671" s="8" t="s">
        <v>1685</v>
      </c>
      <c r="B1671" s="8" t="s">
        <v>548</v>
      </c>
      <c r="C1671" s="8" t="s">
        <v>25</v>
      </c>
      <c r="D1671" s="9">
        <v>36</v>
      </c>
      <c r="E1671" s="8" t="s">
        <v>63</v>
      </c>
      <c r="F1671" s="8" t="s">
        <v>76</v>
      </c>
      <c r="G1671" s="10">
        <v>45401</v>
      </c>
      <c r="H1671" s="8" t="s">
        <v>26</v>
      </c>
      <c r="I1671" s="8" t="s">
        <v>36</v>
      </c>
      <c r="J1671" s="8" t="s">
        <v>80</v>
      </c>
      <c r="K1671" s="8" t="s">
        <v>73</v>
      </c>
      <c r="L1671" s="8" t="s">
        <v>29</v>
      </c>
      <c r="M1671" s="8" t="s">
        <v>30</v>
      </c>
      <c r="N1671" s="11">
        <v>213682</v>
      </c>
      <c r="O1671" s="11">
        <v>45014</v>
      </c>
      <c r="P1671" s="12">
        <v>96.7</v>
      </c>
      <c r="Q1671" s="9">
        <v>0</v>
      </c>
      <c r="R1671" s="13">
        <v>1</v>
      </c>
      <c r="S1671" s="13">
        <v>5</v>
      </c>
      <c r="T1671" s="9">
        <v>36</v>
      </c>
      <c r="U1671" s="13">
        <v>95</v>
      </c>
      <c r="V1671" s="8" t="s">
        <v>31</v>
      </c>
      <c r="W1671" s="8"/>
      <c r="X1671" s="22">
        <f>IF(V1671="Yes",1,0)</f>
        <v>0</v>
      </c>
      <c r="Y1671" s="22">
        <f>IF(H1671="Active",0,1)</f>
        <v>0</v>
      </c>
    </row>
    <row r="1672" spans="1:25" ht="18" customHeight="1" x14ac:dyDescent="0.35">
      <c r="A1672" s="8" t="s">
        <v>1172</v>
      </c>
      <c r="B1672" s="8" t="s">
        <v>104</v>
      </c>
      <c r="C1672" s="8" t="s">
        <v>34</v>
      </c>
      <c r="D1672" s="9">
        <v>39</v>
      </c>
      <c r="E1672" s="8" t="s">
        <v>86</v>
      </c>
      <c r="F1672" s="8" t="s">
        <v>90</v>
      </c>
      <c r="G1672" s="10">
        <v>45400</v>
      </c>
      <c r="H1672" s="8" t="s">
        <v>26</v>
      </c>
      <c r="I1672" s="8" t="s">
        <v>2267</v>
      </c>
      <c r="J1672" s="8" t="s">
        <v>2268</v>
      </c>
      <c r="K1672" s="8" t="s">
        <v>2271</v>
      </c>
      <c r="L1672" s="8" t="s">
        <v>49</v>
      </c>
      <c r="M1672" s="8" t="s">
        <v>60</v>
      </c>
      <c r="N1672" s="11">
        <v>245515</v>
      </c>
      <c r="O1672" s="11">
        <v>10142</v>
      </c>
      <c r="P1672" s="12">
        <v>82.6</v>
      </c>
      <c r="Q1672" s="9">
        <v>10</v>
      </c>
      <c r="R1672" s="13">
        <v>24</v>
      </c>
      <c r="S1672" s="13">
        <v>3</v>
      </c>
      <c r="T1672" s="9">
        <v>10</v>
      </c>
      <c r="U1672" s="13">
        <v>96</v>
      </c>
      <c r="V1672" s="8" t="s">
        <v>31</v>
      </c>
      <c r="W1672" s="8"/>
      <c r="X1672" s="22">
        <f>IF(V1672="Yes",1,0)</f>
        <v>0</v>
      </c>
      <c r="Y1672" s="22">
        <f>IF(H1672="Active",0,1)</f>
        <v>0</v>
      </c>
    </row>
    <row r="1673" spans="1:25" ht="18" customHeight="1" x14ac:dyDescent="0.35">
      <c r="A1673" s="8" t="s">
        <v>1273</v>
      </c>
      <c r="B1673" s="8" t="s">
        <v>837</v>
      </c>
      <c r="C1673" s="8" t="s">
        <v>25</v>
      </c>
      <c r="D1673" s="9">
        <v>41</v>
      </c>
      <c r="E1673" s="8" t="s">
        <v>42</v>
      </c>
      <c r="F1673" s="8" t="s">
        <v>12</v>
      </c>
      <c r="G1673" s="10">
        <v>45400</v>
      </c>
      <c r="H1673" s="8" t="s">
        <v>26</v>
      </c>
      <c r="I1673" s="8" t="s">
        <v>2267</v>
      </c>
      <c r="J1673" s="8" t="s">
        <v>2269</v>
      </c>
      <c r="K1673" s="8" t="s">
        <v>28</v>
      </c>
      <c r="L1673" s="8" t="s">
        <v>44</v>
      </c>
      <c r="M1673" s="8" t="s">
        <v>30</v>
      </c>
      <c r="N1673" s="11">
        <v>160678</v>
      </c>
      <c r="O1673" s="11">
        <v>15649</v>
      </c>
      <c r="P1673" s="12">
        <v>95.1</v>
      </c>
      <c r="Q1673" s="9">
        <v>5</v>
      </c>
      <c r="R1673" s="13">
        <v>23</v>
      </c>
      <c r="S1673" s="13">
        <v>4</v>
      </c>
      <c r="T1673" s="9">
        <v>36</v>
      </c>
      <c r="U1673" s="13">
        <v>89</v>
      </c>
      <c r="V1673" s="8" t="s">
        <v>31</v>
      </c>
      <c r="W1673" s="8"/>
      <c r="X1673" s="22">
        <f>IF(V1673="Yes",1,0)</f>
        <v>0</v>
      </c>
      <c r="Y1673" s="22">
        <f>IF(H1673="Active",0,1)</f>
        <v>0</v>
      </c>
    </row>
    <row r="1674" spans="1:25" ht="18" customHeight="1" x14ac:dyDescent="0.35">
      <c r="A1674" s="14" t="s">
        <v>1904</v>
      </c>
      <c r="B1674" s="14" t="s">
        <v>390</v>
      </c>
      <c r="C1674" s="14" t="s">
        <v>34</v>
      </c>
      <c r="D1674" s="15">
        <v>53</v>
      </c>
      <c r="E1674" s="14" t="s">
        <v>86</v>
      </c>
      <c r="F1674" s="14" t="s">
        <v>79</v>
      </c>
      <c r="G1674" s="16">
        <v>45400</v>
      </c>
      <c r="H1674" s="14" t="s">
        <v>26</v>
      </c>
      <c r="I1674" s="14" t="s">
        <v>2267</v>
      </c>
      <c r="J1674" s="14" t="s">
        <v>80</v>
      </c>
      <c r="K1674" s="14" t="s">
        <v>37</v>
      </c>
      <c r="L1674" s="14" t="s">
        <v>49</v>
      </c>
      <c r="M1674" s="14" t="s">
        <v>60</v>
      </c>
      <c r="N1674" s="17">
        <v>60751</v>
      </c>
      <c r="O1674" s="17">
        <v>6235</v>
      </c>
      <c r="P1674" s="18">
        <v>91.7</v>
      </c>
      <c r="Q1674" s="15">
        <v>6</v>
      </c>
      <c r="R1674" s="19">
        <v>28</v>
      </c>
      <c r="S1674" s="19">
        <v>2</v>
      </c>
      <c r="T1674" s="15">
        <v>10</v>
      </c>
      <c r="U1674" s="19">
        <v>72</v>
      </c>
      <c r="V1674" s="14" t="s">
        <v>31</v>
      </c>
      <c r="W1674" s="14"/>
      <c r="X1674" s="14">
        <f>IF(V1674="Yes",1,0)</f>
        <v>0</v>
      </c>
      <c r="Y1674" s="14">
        <f>IF(H1674="Active",0,1)</f>
        <v>0</v>
      </c>
    </row>
    <row r="1675" spans="1:25" ht="18" customHeight="1" x14ac:dyDescent="0.35">
      <c r="A1675" s="14" t="s">
        <v>746</v>
      </c>
      <c r="B1675" s="14" t="s">
        <v>89</v>
      </c>
      <c r="C1675" s="14" t="s">
        <v>25</v>
      </c>
      <c r="D1675" s="15">
        <v>30</v>
      </c>
      <c r="E1675" s="14" t="s">
        <v>2304</v>
      </c>
      <c r="F1675" s="14" t="s">
        <v>90</v>
      </c>
      <c r="G1675" s="16">
        <v>45399</v>
      </c>
      <c r="H1675" s="14" t="s">
        <v>54</v>
      </c>
      <c r="I1675" s="14" t="s">
        <v>36</v>
      </c>
      <c r="J1675" s="14" t="s">
        <v>80</v>
      </c>
      <c r="K1675" s="14" t="s">
        <v>28</v>
      </c>
      <c r="L1675" s="14" t="s">
        <v>49</v>
      </c>
      <c r="M1675" s="14" t="s">
        <v>45</v>
      </c>
      <c r="N1675" s="17">
        <v>93934</v>
      </c>
      <c r="O1675" s="17">
        <v>30438</v>
      </c>
      <c r="P1675" s="18">
        <v>89.4</v>
      </c>
      <c r="Q1675" s="15">
        <v>0</v>
      </c>
      <c r="R1675" s="19">
        <v>20</v>
      </c>
      <c r="S1675" s="19">
        <v>2</v>
      </c>
      <c r="T1675" s="15">
        <v>38</v>
      </c>
      <c r="U1675" s="19">
        <v>73</v>
      </c>
      <c r="V1675" s="14" t="s">
        <v>31</v>
      </c>
      <c r="W1675" s="14" t="s">
        <v>83</v>
      </c>
      <c r="X1675" s="14">
        <f>IF(V1675="Yes",1,0)</f>
        <v>0</v>
      </c>
      <c r="Y1675" s="14">
        <f>IF(H1675="Active",0,1)</f>
        <v>1</v>
      </c>
    </row>
    <row r="1676" spans="1:25" ht="18" customHeight="1" x14ac:dyDescent="0.35">
      <c r="A1676" s="8" t="s">
        <v>1156</v>
      </c>
      <c r="B1676" s="8" t="s">
        <v>559</v>
      </c>
      <c r="C1676" s="8" t="s">
        <v>25</v>
      </c>
      <c r="D1676" s="9">
        <v>31</v>
      </c>
      <c r="E1676" s="8" t="s">
        <v>86</v>
      </c>
      <c r="F1676" s="8" t="s">
        <v>90</v>
      </c>
      <c r="G1676" s="10">
        <v>45399</v>
      </c>
      <c r="H1676" s="8" t="s">
        <v>26</v>
      </c>
      <c r="I1676" s="8" t="s">
        <v>27</v>
      </c>
      <c r="J1676" s="8" t="s">
        <v>2270</v>
      </c>
      <c r="K1676" s="8" t="s">
        <v>37</v>
      </c>
      <c r="L1676" s="8" t="s">
        <v>44</v>
      </c>
      <c r="M1676" s="8" t="s">
        <v>39</v>
      </c>
      <c r="N1676" s="11">
        <v>142435</v>
      </c>
      <c r="O1676" s="11">
        <v>28904</v>
      </c>
      <c r="P1676" s="12">
        <v>95.3</v>
      </c>
      <c r="Q1676" s="9">
        <v>7</v>
      </c>
      <c r="R1676" s="13">
        <v>23</v>
      </c>
      <c r="S1676" s="13">
        <v>2</v>
      </c>
      <c r="T1676" s="9">
        <v>15</v>
      </c>
      <c r="U1676" s="13">
        <v>84</v>
      </c>
      <c r="V1676" s="8" t="s">
        <v>31</v>
      </c>
      <c r="W1676" s="8"/>
      <c r="X1676" s="22">
        <f>IF(V1676="Yes",1,0)</f>
        <v>0</v>
      </c>
      <c r="Y1676" s="22">
        <f>IF(H1676="Active",0,1)</f>
        <v>0</v>
      </c>
    </row>
    <row r="1677" spans="1:25" ht="18" customHeight="1" x14ac:dyDescent="0.35">
      <c r="A1677" s="14" t="s">
        <v>214</v>
      </c>
      <c r="B1677" s="14" t="s">
        <v>215</v>
      </c>
      <c r="C1677" s="14" t="s">
        <v>25</v>
      </c>
      <c r="D1677" s="15">
        <v>43</v>
      </c>
      <c r="E1677" s="14" t="s">
        <v>2303</v>
      </c>
      <c r="F1677" s="14" t="s">
        <v>12</v>
      </c>
      <c r="G1677" s="16">
        <v>45398</v>
      </c>
      <c r="H1677" s="14" t="s">
        <v>26</v>
      </c>
      <c r="I1677" s="14" t="s">
        <v>2267</v>
      </c>
      <c r="J1677" s="14" t="s">
        <v>2268</v>
      </c>
      <c r="K1677" s="14" t="s">
        <v>37</v>
      </c>
      <c r="L1677" s="14" t="s">
        <v>38</v>
      </c>
      <c r="M1677" s="14" t="s">
        <v>39</v>
      </c>
      <c r="N1677" s="17">
        <v>220014</v>
      </c>
      <c r="O1677" s="17">
        <v>20740</v>
      </c>
      <c r="P1677" s="18">
        <v>90.5</v>
      </c>
      <c r="Q1677" s="15">
        <v>10</v>
      </c>
      <c r="R1677" s="19">
        <v>20</v>
      </c>
      <c r="S1677" s="19">
        <v>4</v>
      </c>
      <c r="T1677" s="15">
        <v>6</v>
      </c>
      <c r="U1677" s="19">
        <v>76</v>
      </c>
      <c r="V1677" s="14" t="s">
        <v>31</v>
      </c>
      <c r="W1677" s="14"/>
      <c r="X1677" s="14">
        <f>IF(V1677="Yes",1,0)</f>
        <v>0</v>
      </c>
      <c r="Y1677" s="14">
        <f>IF(H1677="Active",0,1)</f>
        <v>0</v>
      </c>
    </row>
    <row r="1678" spans="1:25" ht="18" customHeight="1" x14ac:dyDescent="0.35">
      <c r="A1678" s="14" t="s">
        <v>493</v>
      </c>
      <c r="B1678" s="14" t="s">
        <v>485</v>
      </c>
      <c r="C1678" s="14" t="s">
        <v>25</v>
      </c>
      <c r="D1678" s="15">
        <v>21</v>
      </c>
      <c r="E1678" s="14" t="s">
        <v>67</v>
      </c>
      <c r="F1678" s="14" t="s">
        <v>90</v>
      </c>
      <c r="G1678" s="16">
        <v>45398</v>
      </c>
      <c r="H1678" s="14" t="s">
        <v>26</v>
      </c>
      <c r="I1678" s="14" t="s">
        <v>2267</v>
      </c>
      <c r="J1678" s="14" t="s">
        <v>2268</v>
      </c>
      <c r="K1678" s="14" t="s">
        <v>28</v>
      </c>
      <c r="L1678" s="14" t="s">
        <v>49</v>
      </c>
      <c r="M1678" s="14" t="s">
        <v>64</v>
      </c>
      <c r="N1678" s="17">
        <v>113922</v>
      </c>
      <c r="O1678" s="17">
        <v>30752</v>
      </c>
      <c r="P1678" s="18">
        <v>81.2</v>
      </c>
      <c r="Q1678" s="15">
        <v>7</v>
      </c>
      <c r="R1678" s="19">
        <v>15</v>
      </c>
      <c r="S1678" s="19">
        <v>2</v>
      </c>
      <c r="T1678" s="15">
        <v>34</v>
      </c>
      <c r="U1678" s="19">
        <v>81</v>
      </c>
      <c r="V1678" s="14" t="s">
        <v>69</v>
      </c>
      <c r="W1678" s="14"/>
      <c r="X1678" s="14">
        <f>IF(V1678="Yes",1,0)</f>
        <v>1</v>
      </c>
      <c r="Y1678" s="14">
        <f>IF(H1678="Active",0,1)</f>
        <v>0</v>
      </c>
    </row>
    <row r="1679" spans="1:25" ht="18" customHeight="1" x14ac:dyDescent="0.35">
      <c r="A1679" s="8" t="s">
        <v>1164</v>
      </c>
      <c r="B1679" s="8" t="s">
        <v>384</v>
      </c>
      <c r="C1679" s="8" t="s">
        <v>34</v>
      </c>
      <c r="D1679" s="9">
        <v>42</v>
      </c>
      <c r="E1679" s="8" t="s">
        <v>63</v>
      </c>
      <c r="F1679" s="8" t="s">
        <v>35</v>
      </c>
      <c r="G1679" s="10">
        <v>45398</v>
      </c>
      <c r="H1679" s="8" t="s">
        <v>26</v>
      </c>
      <c r="I1679" s="8" t="s">
        <v>36</v>
      </c>
      <c r="J1679" s="8" t="s">
        <v>48</v>
      </c>
      <c r="K1679" s="8" t="s">
        <v>2271</v>
      </c>
      <c r="L1679" s="8" t="s">
        <v>116</v>
      </c>
      <c r="M1679" s="8" t="s">
        <v>45</v>
      </c>
      <c r="N1679" s="11">
        <v>160887</v>
      </c>
      <c r="O1679" s="11">
        <v>18433</v>
      </c>
      <c r="P1679" s="12">
        <v>96.3</v>
      </c>
      <c r="Q1679" s="9">
        <v>3</v>
      </c>
      <c r="R1679" s="13">
        <v>17</v>
      </c>
      <c r="S1679" s="13">
        <v>5</v>
      </c>
      <c r="T1679" s="9">
        <v>24</v>
      </c>
      <c r="U1679" s="13">
        <v>82</v>
      </c>
      <c r="V1679" s="8" t="s">
        <v>31</v>
      </c>
      <c r="W1679" s="8"/>
      <c r="X1679" s="22">
        <f>IF(V1679="Yes",1,0)</f>
        <v>0</v>
      </c>
      <c r="Y1679" s="22">
        <f>IF(H1679="Active",0,1)</f>
        <v>0</v>
      </c>
    </row>
    <row r="1680" spans="1:25" ht="18" customHeight="1" x14ac:dyDescent="0.35">
      <c r="A1680" s="14" t="s">
        <v>1418</v>
      </c>
      <c r="B1680" s="14" t="s">
        <v>327</v>
      </c>
      <c r="C1680" s="14" t="s">
        <v>25</v>
      </c>
      <c r="D1680" s="15">
        <v>51</v>
      </c>
      <c r="E1680" s="14" t="s">
        <v>52</v>
      </c>
      <c r="F1680" s="14" t="s">
        <v>72</v>
      </c>
      <c r="G1680" s="16">
        <v>45398</v>
      </c>
      <c r="H1680" s="14" t="s">
        <v>26</v>
      </c>
      <c r="I1680" s="14" t="s">
        <v>36</v>
      </c>
      <c r="J1680" s="14" t="s">
        <v>2270</v>
      </c>
      <c r="K1680" s="14" t="s">
        <v>55</v>
      </c>
      <c r="L1680" s="14" t="s">
        <v>29</v>
      </c>
      <c r="M1680" s="14" t="s">
        <v>30</v>
      </c>
      <c r="N1680" s="17">
        <v>200820</v>
      </c>
      <c r="O1680" s="17">
        <v>22473</v>
      </c>
      <c r="P1680" s="18">
        <v>94.5</v>
      </c>
      <c r="Q1680" s="15">
        <v>4</v>
      </c>
      <c r="R1680" s="19">
        <v>27</v>
      </c>
      <c r="S1680" s="19">
        <v>5</v>
      </c>
      <c r="T1680" s="15">
        <v>37</v>
      </c>
      <c r="U1680" s="19">
        <v>100</v>
      </c>
      <c r="V1680" s="14" t="s">
        <v>69</v>
      </c>
      <c r="W1680" s="14"/>
      <c r="X1680" s="14">
        <f>IF(V1680="Yes",1,0)</f>
        <v>1</v>
      </c>
      <c r="Y1680" s="14">
        <f>IF(H1680="Active",0,1)</f>
        <v>0</v>
      </c>
    </row>
    <row r="1681" spans="1:25" ht="18" customHeight="1" x14ac:dyDescent="0.35">
      <c r="A1681" s="8" t="s">
        <v>1649</v>
      </c>
      <c r="B1681" s="8" t="s">
        <v>341</v>
      </c>
      <c r="C1681" s="8" t="s">
        <v>25</v>
      </c>
      <c r="D1681" s="9">
        <v>34</v>
      </c>
      <c r="E1681" s="8" t="s">
        <v>42</v>
      </c>
      <c r="F1681" s="8" t="s">
        <v>79</v>
      </c>
      <c r="G1681" s="10">
        <v>45398</v>
      </c>
      <c r="H1681" s="8" t="s">
        <v>26</v>
      </c>
      <c r="I1681" s="8" t="s">
        <v>36</v>
      </c>
      <c r="J1681" s="8" t="s">
        <v>2269</v>
      </c>
      <c r="K1681" s="8" t="s">
        <v>2271</v>
      </c>
      <c r="L1681" s="8" t="s">
        <v>68</v>
      </c>
      <c r="M1681" s="8" t="s">
        <v>64</v>
      </c>
      <c r="N1681" s="11">
        <v>35438</v>
      </c>
      <c r="O1681" s="11">
        <v>31694</v>
      </c>
      <c r="P1681" s="12">
        <v>81.900000000000006</v>
      </c>
      <c r="Q1681" s="9">
        <v>4</v>
      </c>
      <c r="R1681" s="13">
        <v>22</v>
      </c>
      <c r="S1681" s="13">
        <v>1</v>
      </c>
      <c r="T1681" s="9">
        <v>11</v>
      </c>
      <c r="U1681" s="13">
        <v>93</v>
      </c>
      <c r="V1681" s="8" t="s">
        <v>31</v>
      </c>
      <c r="W1681" s="8"/>
      <c r="X1681" s="22">
        <f>IF(V1681="Yes",1,0)</f>
        <v>0</v>
      </c>
      <c r="Y1681" s="22">
        <f>IF(H1681="Active",0,1)</f>
        <v>0</v>
      </c>
    </row>
    <row r="1682" spans="1:25" ht="18" customHeight="1" x14ac:dyDescent="0.35">
      <c r="A1682" s="14" t="s">
        <v>478</v>
      </c>
      <c r="B1682" s="14" t="s">
        <v>75</v>
      </c>
      <c r="C1682" s="14" t="s">
        <v>34</v>
      </c>
      <c r="D1682" s="15">
        <v>22</v>
      </c>
      <c r="E1682" s="14" t="s">
        <v>109</v>
      </c>
      <c r="F1682" s="14" t="s">
        <v>79</v>
      </c>
      <c r="G1682" s="16">
        <v>45397</v>
      </c>
      <c r="H1682" s="14" t="s">
        <v>26</v>
      </c>
      <c r="I1682" s="14" t="s">
        <v>2267</v>
      </c>
      <c r="J1682" s="14" t="s">
        <v>2270</v>
      </c>
      <c r="K1682" s="14" t="s">
        <v>2271</v>
      </c>
      <c r="L1682" s="14" t="s">
        <v>87</v>
      </c>
      <c r="M1682" s="14" t="s">
        <v>60</v>
      </c>
      <c r="N1682" s="17">
        <v>40175</v>
      </c>
      <c r="O1682" s="17">
        <v>8875</v>
      </c>
      <c r="P1682" s="18">
        <v>89.5</v>
      </c>
      <c r="Q1682" s="15">
        <v>3</v>
      </c>
      <c r="R1682" s="19">
        <v>3</v>
      </c>
      <c r="S1682" s="19">
        <v>5</v>
      </c>
      <c r="T1682" s="15">
        <v>17</v>
      </c>
      <c r="U1682" s="19">
        <v>89</v>
      </c>
      <c r="V1682" s="14" t="s">
        <v>31</v>
      </c>
      <c r="W1682" s="14"/>
      <c r="X1682" s="14">
        <f>IF(V1682="Yes",1,0)</f>
        <v>0</v>
      </c>
      <c r="Y1682" s="14">
        <f>IF(H1682="Active",0,1)</f>
        <v>0</v>
      </c>
    </row>
    <row r="1683" spans="1:25" ht="18" customHeight="1" x14ac:dyDescent="0.35">
      <c r="A1683" s="14" t="s">
        <v>1000</v>
      </c>
      <c r="B1683" s="14" t="s">
        <v>224</v>
      </c>
      <c r="C1683" s="14" t="s">
        <v>25</v>
      </c>
      <c r="D1683" s="15">
        <v>59</v>
      </c>
      <c r="E1683" s="14" t="s">
        <v>63</v>
      </c>
      <c r="F1683" s="14" t="s">
        <v>72</v>
      </c>
      <c r="G1683" s="16">
        <v>45397</v>
      </c>
      <c r="H1683" s="14" t="s">
        <v>26</v>
      </c>
      <c r="I1683" s="14" t="s">
        <v>27</v>
      </c>
      <c r="J1683" s="14" t="s">
        <v>2269</v>
      </c>
      <c r="K1683" s="14" t="s">
        <v>28</v>
      </c>
      <c r="L1683" s="14" t="s">
        <v>56</v>
      </c>
      <c r="M1683" s="14" t="s">
        <v>30</v>
      </c>
      <c r="N1683" s="17">
        <v>63109</v>
      </c>
      <c r="O1683" s="17">
        <v>44925</v>
      </c>
      <c r="P1683" s="18">
        <v>90.9</v>
      </c>
      <c r="Q1683" s="15">
        <v>6</v>
      </c>
      <c r="R1683" s="19">
        <v>7</v>
      </c>
      <c r="S1683" s="19">
        <v>3</v>
      </c>
      <c r="T1683" s="15">
        <v>40</v>
      </c>
      <c r="U1683" s="19">
        <v>98</v>
      </c>
      <c r="V1683" s="14" t="s">
        <v>69</v>
      </c>
      <c r="W1683" s="14"/>
      <c r="X1683" s="14">
        <f>IF(V1683="Yes",1,0)</f>
        <v>1</v>
      </c>
      <c r="Y1683" s="14">
        <f>IF(H1683="Active",0,1)</f>
        <v>0</v>
      </c>
    </row>
    <row r="1684" spans="1:25" ht="18" customHeight="1" x14ac:dyDescent="0.35">
      <c r="A1684" s="14" t="s">
        <v>1199</v>
      </c>
      <c r="B1684" s="14" t="s">
        <v>1155</v>
      </c>
      <c r="C1684" s="14" t="s">
        <v>34</v>
      </c>
      <c r="D1684" s="15">
        <v>29</v>
      </c>
      <c r="E1684" s="14" t="s">
        <v>93</v>
      </c>
      <c r="F1684" s="14" t="s">
        <v>72</v>
      </c>
      <c r="G1684" s="16">
        <v>45397</v>
      </c>
      <c r="H1684" s="14" t="s">
        <v>26</v>
      </c>
      <c r="I1684" s="14" t="s">
        <v>2267</v>
      </c>
      <c r="J1684" s="14" t="s">
        <v>48</v>
      </c>
      <c r="K1684" s="14" t="s">
        <v>2271</v>
      </c>
      <c r="L1684" s="14" t="s">
        <v>29</v>
      </c>
      <c r="M1684" s="14" t="s">
        <v>45</v>
      </c>
      <c r="N1684" s="17">
        <v>98937</v>
      </c>
      <c r="O1684" s="17">
        <v>24626</v>
      </c>
      <c r="P1684" s="18">
        <v>83</v>
      </c>
      <c r="Q1684" s="15">
        <v>6</v>
      </c>
      <c r="R1684" s="19">
        <v>17</v>
      </c>
      <c r="S1684" s="19">
        <v>1</v>
      </c>
      <c r="T1684" s="15">
        <v>1</v>
      </c>
      <c r="U1684" s="19">
        <v>84</v>
      </c>
      <c r="V1684" s="14" t="s">
        <v>31</v>
      </c>
      <c r="W1684" s="14"/>
      <c r="X1684" s="14">
        <f>IF(V1684="Yes",1,0)</f>
        <v>0</v>
      </c>
      <c r="Y1684" s="14">
        <f>IF(H1684="Active",0,1)</f>
        <v>0</v>
      </c>
    </row>
    <row r="1685" spans="1:25" ht="18" customHeight="1" x14ac:dyDescent="0.35">
      <c r="A1685" s="14" t="s">
        <v>1526</v>
      </c>
      <c r="B1685" s="14" t="s">
        <v>108</v>
      </c>
      <c r="C1685" s="14" t="s">
        <v>25</v>
      </c>
      <c r="D1685" s="15">
        <v>28</v>
      </c>
      <c r="E1685" s="14" t="s">
        <v>93</v>
      </c>
      <c r="F1685" s="14" t="s">
        <v>12</v>
      </c>
      <c r="G1685" s="16">
        <v>45397</v>
      </c>
      <c r="H1685" s="14" t="s">
        <v>26</v>
      </c>
      <c r="I1685" s="14" t="s">
        <v>36</v>
      </c>
      <c r="J1685" s="14" t="s">
        <v>80</v>
      </c>
      <c r="K1685" s="14" t="s">
        <v>2271</v>
      </c>
      <c r="L1685" s="14" t="s">
        <v>116</v>
      </c>
      <c r="M1685" s="14" t="s">
        <v>45</v>
      </c>
      <c r="N1685" s="17">
        <v>103566</v>
      </c>
      <c r="O1685" s="17">
        <v>18490</v>
      </c>
      <c r="P1685" s="18">
        <v>82</v>
      </c>
      <c r="Q1685" s="15">
        <v>6</v>
      </c>
      <c r="R1685" s="19">
        <v>13</v>
      </c>
      <c r="S1685" s="19">
        <v>4</v>
      </c>
      <c r="T1685" s="15">
        <v>35</v>
      </c>
      <c r="U1685" s="19">
        <v>64</v>
      </c>
      <c r="V1685" s="14" t="s">
        <v>69</v>
      </c>
      <c r="W1685" s="14"/>
      <c r="X1685" s="14">
        <f>IF(V1685="Yes",1,0)</f>
        <v>1</v>
      </c>
      <c r="Y1685" s="14">
        <f>IF(H1685="Active",0,1)</f>
        <v>0</v>
      </c>
    </row>
    <row r="1686" spans="1:25" ht="18" customHeight="1" x14ac:dyDescent="0.35">
      <c r="A1686" s="8" t="s">
        <v>1701</v>
      </c>
      <c r="B1686" s="8" t="s">
        <v>467</v>
      </c>
      <c r="C1686" s="8" t="s">
        <v>34</v>
      </c>
      <c r="D1686" s="9">
        <v>21</v>
      </c>
      <c r="E1686" s="8" t="s">
        <v>63</v>
      </c>
      <c r="F1686" s="8" t="s">
        <v>76</v>
      </c>
      <c r="G1686" s="10">
        <v>45397</v>
      </c>
      <c r="H1686" s="8" t="s">
        <v>26</v>
      </c>
      <c r="I1686" s="8" t="s">
        <v>27</v>
      </c>
      <c r="J1686" s="8" t="s">
        <v>2269</v>
      </c>
      <c r="K1686" s="8" t="s">
        <v>2271</v>
      </c>
      <c r="L1686" s="8" t="s">
        <v>49</v>
      </c>
      <c r="M1686" s="8" t="s">
        <v>30</v>
      </c>
      <c r="N1686" s="11">
        <v>223777</v>
      </c>
      <c r="O1686" s="11">
        <v>43675</v>
      </c>
      <c r="P1686" s="12">
        <v>87.6</v>
      </c>
      <c r="Q1686" s="9">
        <v>4</v>
      </c>
      <c r="R1686" s="13">
        <v>17</v>
      </c>
      <c r="S1686" s="13">
        <v>2</v>
      </c>
      <c r="T1686" s="9">
        <v>31</v>
      </c>
      <c r="U1686" s="13">
        <v>79</v>
      </c>
      <c r="V1686" s="8" t="s">
        <v>69</v>
      </c>
      <c r="W1686" s="8"/>
      <c r="X1686" s="22">
        <f>IF(V1686="Yes",1,0)</f>
        <v>1</v>
      </c>
      <c r="Y1686" s="22">
        <f>IF(H1686="Active",0,1)</f>
        <v>0</v>
      </c>
    </row>
    <row r="1687" spans="1:25" ht="18" customHeight="1" x14ac:dyDescent="0.35">
      <c r="A1687" s="14" t="s">
        <v>2250</v>
      </c>
      <c r="B1687" s="14" t="s">
        <v>341</v>
      </c>
      <c r="C1687" s="14" t="s">
        <v>25</v>
      </c>
      <c r="D1687" s="15">
        <v>39</v>
      </c>
      <c r="E1687" s="14" t="s">
        <v>63</v>
      </c>
      <c r="F1687" s="14" t="s">
        <v>35</v>
      </c>
      <c r="G1687" s="16">
        <v>45397</v>
      </c>
      <c r="H1687" s="14" t="s">
        <v>54</v>
      </c>
      <c r="I1687" s="14" t="s">
        <v>2267</v>
      </c>
      <c r="J1687" s="14" t="s">
        <v>2269</v>
      </c>
      <c r="K1687" s="14" t="s">
        <v>37</v>
      </c>
      <c r="L1687" s="14" t="s">
        <v>116</v>
      </c>
      <c r="M1687" s="14" t="s">
        <v>64</v>
      </c>
      <c r="N1687" s="17">
        <v>50743</v>
      </c>
      <c r="O1687" s="17">
        <v>47635</v>
      </c>
      <c r="P1687" s="18">
        <v>92</v>
      </c>
      <c r="Q1687" s="15">
        <v>5</v>
      </c>
      <c r="R1687" s="19">
        <v>3</v>
      </c>
      <c r="S1687" s="19">
        <v>5</v>
      </c>
      <c r="T1687" s="15">
        <v>39</v>
      </c>
      <c r="U1687" s="19">
        <v>89</v>
      </c>
      <c r="V1687" s="14" t="s">
        <v>31</v>
      </c>
      <c r="W1687" s="14" t="s">
        <v>83</v>
      </c>
      <c r="X1687" s="14">
        <f>IF(V1687="Yes",1,0)</f>
        <v>0</v>
      </c>
      <c r="Y1687" s="14">
        <f>IF(H1687="Active",0,1)</f>
        <v>1</v>
      </c>
    </row>
    <row r="1688" spans="1:25" ht="18" customHeight="1" x14ac:dyDescent="0.35">
      <c r="A1688" s="14" t="s">
        <v>1058</v>
      </c>
      <c r="B1688" s="14" t="s">
        <v>100</v>
      </c>
      <c r="C1688" s="14" t="s">
        <v>25</v>
      </c>
      <c r="D1688" s="15">
        <v>30</v>
      </c>
      <c r="E1688" s="14" t="s">
        <v>109</v>
      </c>
      <c r="F1688" s="14" t="s">
        <v>35</v>
      </c>
      <c r="G1688" s="16">
        <v>45395</v>
      </c>
      <c r="H1688" s="14" t="s">
        <v>26</v>
      </c>
      <c r="I1688" s="14" t="s">
        <v>36</v>
      </c>
      <c r="J1688" s="14" t="s">
        <v>80</v>
      </c>
      <c r="K1688" s="14" t="s">
        <v>2271</v>
      </c>
      <c r="L1688" s="14" t="s">
        <v>56</v>
      </c>
      <c r="M1688" s="14" t="s">
        <v>30</v>
      </c>
      <c r="N1688" s="17">
        <v>71157</v>
      </c>
      <c r="O1688" s="17">
        <v>36876</v>
      </c>
      <c r="P1688" s="18">
        <v>99.5</v>
      </c>
      <c r="Q1688" s="15">
        <v>6</v>
      </c>
      <c r="R1688" s="19">
        <v>25</v>
      </c>
      <c r="S1688" s="19">
        <v>2</v>
      </c>
      <c r="T1688" s="15">
        <v>10</v>
      </c>
      <c r="U1688" s="19">
        <v>81</v>
      </c>
      <c r="V1688" s="14" t="s">
        <v>31</v>
      </c>
      <c r="W1688" s="14"/>
      <c r="X1688" s="14">
        <f>IF(V1688="Yes",1,0)</f>
        <v>0</v>
      </c>
      <c r="Y1688" s="14">
        <f>IF(H1688="Active",0,1)</f>
        <v>0</v>
      </c>
    </row>
    <row r="1689" spans="1:25" ht="18" customHeight="1" x14ac:dyDescent="0.35">
      <c r="A1689" s="14" t="s">
        <v>150</v>
      </c>
      <c r="B1689" s="14" t="s">
        <v>151</v>
      </c>
      <c r="C1689" s="14" t="s">
        <v>34</v>
      </c>
      <c r="D1689" s="15">
        <v>33</v>
      </c>
      <c r="E1689" s="14" t="s">
        <v>63</v>
      </c>
      <c r="F1689" s="14" t="s">
        <v>43</v>
      </c>
      <c r="G1689" s="16">
        <v>45394</v>
      </c>
      <c r="H1689" s="14" t="s">
        <v>26</v>
      </c>
      <c r="I1689" s="14" t="s">
        <v>2267</v>
      </c>
      <c r="J1689" s="14" t="s">
        <v>80</v>
      </c>
      <c r="K1689" s="14" t="s">
        <v>2271</v>
      </c>
      <c r="L1689" s="14" t="s">
        <v>38</v>
      </c>
      <c r="M1689" s="14" t="s">
        <v>45</v>
      </c>
      <c r="N1689" s="17">
        <v>104663</v>
      </c>
      <c r="O1689" s="17">
        <v>39431</v>
      </c>
      <c r="P1689" s="18">
        <v>92.4</v>
      </c>
      <c r="Q1689" s="15">
        <v>9</v>
      </c>
      <c r="R1689" s="19">
        <v>14</v>
      </c>
      <c r="S1689" s="19">
        <v>3</v>
      </c>
      <c r="T1689" s="15">
        <v>15</v>
      </c>
      <c r="U1689" s="19">
        <v>97</v>
      </c>
      <c r="V1689" s="14" t="s">
        <v>31</v>
      </c>
      <c r="W1689" s="14"/>
      <c r="X1689" s="14">
        <f>IF(V1689="Yes",1,0)</f>
        <v>0</v>
      </c>
      <c r="Y1689" s="14">
        <f>IF(H1689="Active",0,1)</f>
        <v>0</v>
      </c>
    </row>
    <row r="1690" spans="1:25" ht="18" customHeight="1" x14ac:dyDescent="0.35">
      <c r="A1690" s="8" t="s">
        <v>1501</v>
      </c>
      <c r="B1690" s="8" t="s">
        <v>111</v>
      </c>
      <c r="C1690" s="8" t="s">
        <v>25</v>
      </c>
      <c r="D1690" s="9">
        <v>39</v>
      </c>
      <c r="E1690" s="8" t="s">
        <v>63</v>
      </c>
      <c r="F1690" s="8" t="s">
        <v>76</v>
      </c>
      <c r="G1690" s="10">
        <v>45394</v>
      </c>
      <c r="H1690" s="8" t="s">
        <v>26</v>
      </c>
      <c r="I1690" s="8" t="s">
        <v>2267</v>
      </c>
      <c r="J1690" s="8" t="s">
        <v>48</v>
      </c>
      <c r="K1690" s="8" t="s">
        <v>55</v>
      </c>
      <c r="L1690" s="8" t="s">
        <v>49</v>
      </c>
      <c r="M1690" s="8" t="s">
        <v>64</v>
      </c>
      <c r="N1690" s="11">
        <v>56780</v>
      </c>
      <c r="O1690" s="11">
        <v>43483</v>
      </c>
      <c r="P1690" s="12">
        <v>92.2</v>
      </c>
      <c r="Q1690" s="9">
        <v>4</v>
      </c>
      <c r="R1690" s="13">
        <v>9</v>
      </c>
      <c r="S1690" s="13">
        <v>3</v>
      </c>
      <c r="T1690" s="9">
        <v>20</v>
      </c>
      <c r="U1690" s="13">
        <v>84</v>
      </c>
      <c r="V1690" s="8" t="s">
        <v>31</v>
      </c>
      <c r="W1690" s="8"/>
      <c r="X1690" s="22">
        <f>IF(V1690="Yes",1,0)</f>
        <v>0</v>
      </c>
      <c r="Y1690" s="22">
        <f>IF(H1690="Active",0,1)</f>
        <v>0</v>
      </c>
    </row>
    <row r="1691" spans="1:25" ht="18" customHeight="1" x14ac:dyDescent="0.35">
      <c r="A1691" s="14" t="s">
        <v>1608</v>
      </c>
      <c r="B1691" s="14" t="s">
        <v>92</v>
      </c>
      <c r="C1691" s="14" t="s">
        <v>34</v>
      </c>
      <c r="D1691" s="15">
        <v>27</v>
      </c>
      <c r="E1691" s="14" t="s">
        <v>52</v>
      </c>
      <c r="F1691" s="14" t="s">
        <v>76</v>
      </c>
      <c r="G1691" s="16">
        <v>45394</v>
      </c>
      <c r="H1691" s="14" t="s">
        <v>26</v>
      </c>
      <c r="I1691" s="14" t="s">
        <v>36</v>
      </c>
      <c r="J1691" s="14" t="s">
        <v>48</v>
      </c>
      <c r="K1691" s="14" t="s">
        <v>55</v>
      </c>
      <c r="L1691" s="14" t="s">
        <v>87</v>
      </c>
      <c r="M1691" s="14" t="s">
        <v>39</v>
      </c>
      <c r="N1691" s="17">
        <v>52444</v>
      </c>
      <c r="O1691" s="17">
        <v>49613</v>
      </c>
      <c r="P1691" s="18">
        <v>82</v>
      </c>
      <c r="Q1691" s="15">
        <v>4</v>
      </c>
      <c r="R1691" s="19">
        <v>23</v>
      </c>
      <c r="S1691" s="19">
        <v>4</v>
      </c>
      <c r="T1691" s="15">
        <v>32</v>
      </c>
      <c r="U1691" s="19">
        <v>80</v>
      </c>
      <c r="V1691" s="14" t="s">
        <v>69</v>
      </c>
      <c r="W1691" s="14"/>
      <c r="X1691" s="14">
        <f>IF(V1691="Yes",1,0)</f>
        <v>1</v>
      </c>
      <c r="Y1691" s="14">
        <f>IF(H1691="Active",0,1)</f>
        <v>0</v>
      </c>
    </row>
    <row r="1692" spans="1:25" ht="18" customHeight="1" x14ac:dyDescent="0.35">
      <c r="A1692" s="8" t="s">
        <v>404</v>
      </c>
      <c r="B1692" s="8" t="s">
        <v>405</v>
      </c>
      <c r="C1692" s="8" t="s">
        <v>25</v>
      </c>
      <c r="D1692" s="9">
        <v>52</v>
      </c>
      <c r="E1692" s="8" t="s">
        <v>67</v>
      </c>
      <c r="F1692" s="8" t="s">
        <v>90</v>
      </c>
      <c r="G1692" s="10">
        <v>45393</v>
      </c>
      <c r="H1692" s="8" t="s">
        <v>26</v>
      </c>
      <c r="I1692" s="8" t="s">
        <v>27</v>
      </c>
      <c r="J1692" s="8" t="s">
        <v>2269</v>
      </c>
      <c r="K1692" s="8" t="s">
        <v>2271</v>
      </c>
      <c r="L1692" s="8" t="s">
        <v>56</v>
      </c>
      <c r="M1692" s="8" t="s">
        <v>30</v>
      </c>
      <c r="N1692" s="11">
        <v>196686</v>
      </c>
      <c r="O1692" s="11">
        <v>34292</v>
      </c>
      <c r="P1692" s="12">
        <v>94.7</v>
      </c>
      <c r="Q1692" s="9">
        <v>6</v>
      </c>
      <c r="R1692" s="13">
        <v>19</v>
      </c>
      <c r="S1692" s="13">
        <v>2</v>
      </c>
      <c r="T1692" s="9">
        <v>40</v>
      </c>
      <c r="U1692" s="13">
        <v>75</v>
      </c>
      <c r="V1692" s="8" t="s">
        <v>31</v>
      </c>
      <c r="W1692" s="8"/>
      <c r="X1692" s="22">
        <f>IF(V1692="Yes",1,0)</f>
        <v>0</v>
      </c>
      <c r="Y1692" s="22">
        <f>IF(H1692="Active",0,1)</f>
        <v>0</v>
      </c>
    </row>
    <row r="1693" spans="1:25" ht="18" customHeight="1" x14ac:dyDescent="0.35">
      <c r="A1693" s="8" t="s">
        <v>867</v>
      </c>
      <c r="B1693" s="8" t="s">
        <v>66</v>
      </c>
      <c r="C1693" s="8" t="s">
        <v>25</v>
      </c>
      <c r="D1693" s="9">
        <v>27</v>
      </c>
      <c r="E1693" s="8" t="s">
        <v>86</v>
      </c>
      <c r="F1693" s="8" t="s">
        <v>53</v>
      </c>
      <c r="G1693" s="10">
        <v>45393</v>
      </c>
      <c r="H1693" s="8" t="s">
        <v>26</v>
      </c>
      <c r="I1693" s="8" t="s">
        <v>36</v>
      </c>
      <c r="J1693" s="8" t="s">
        <v>2268</v>
      </c>
      <c r="K1693" s="8" t="s">
        <v>37</v>
      </c>
      <c r="L1693" s="8" t="s">
        <v>56</v>
      </c>
      <c r="M1693" s="8" t="s">
        <v>30</v>
      </c>
      <c r="N1693" s="11">
        <v>161800</v>
      </c>
      <c r="O1693" s="11">
        <v>6696</v>
      </c>
      <c r="P1693" s="12">
        <v>84.6</v>
      </c>
      <c r="Q1693" s="9">
        <v>1</v>
      </c>
      <c r="R1693" s="13">
        <v>13</v>
      </c>
      <c r="S1693" s="13">
        <v>4</v>
      </c>
      <c r="T1693" s="9">
        <v>6</v>
      </c>
      <c r="U1693" s="13">
        <v>82</v>
      </c>
      <c r="V1693" s="8" t="s">
        <v>69</v>
      </c>
      <c r="W1693" s="8"/>
      <c r="X1693" s="22">
        <f>IF(V1693="Yes",1,0)</f>
        <v>1</v>
      </c>
      <c r="Y1693" s="22">
        <f>IF(H1693="Active",0,1)</f>
        <v>0</v>
      </c>
    </row>
    <row r="1694" spans="1:25" ht="18" customHeight="1" x14ac:dyDescent="0.35">
      <c r="A1694" s="14" t="s">
        <v>1054</v>
      </c>
      <c r="B1694" s="14" t="s">
        <v>261</v>
      </c>
      <c r="C1694" s="14" t="s">
        <v>25</v>
      </c>
      <c r="D1694" s="15">
        <v>32</v>
      </c>
      <c r="E1694" s="14" t="s">
        <v>2304</v>
      </c>
      <c r="F1694" s="14" t="s">
        <v>35</v>
      </c>
      <c r="G1694" s="16">
        <v>45393</v>
      </c>
      <c r="H1694" s="14" t="s">
        <v>54</v>
      </c>
      <c r="I1694" s="14" t="s">
        <v>27</v>
      </c>
      <c r="J1694" s="14" t="s">
        <v>2270</v>
      </c>
      <c r="K1694" s="14" t="s">
        <v>73</v>
      </c>
      <c r="L1694" s="14" t="s">
        <v>116</v>
      </c>
      <c r="M1694" s="14" t="s">
        <v>64</v>
      </c>
      <c r="N1694" s="17">
        <v>53884</v>
      </c>
      <c r="O1694" s="17">
        <v>22034</v>
      </c>
      <c r="P1694" s="18">
        <v>93.1</v>
      </c>
      <c r="Q1694" s="15">
        <v>1</v>
      </c>
      <c r="R1694" s="19">
        <v>23</v>
      </c>
      <c r="S1694" s="19">
        <v>3</v>
      </c>
      <c r="T1694" s="15">
        <v>3</v>
      </c>
      <c r="U1694" s="19">
        <v>66</v>
      </c>
      <c r="V1694" s="14" t="s">
        <v>31</v>
      </c>
      <c r="W1694" s="14" t="s">
        <v>123</v>
      </c>
      <c r="X1694" s="14">
        <f>IF(V1694="Yes",1,0)</f>
        <v>0</v>
      </c>
      <c r="Y1694" s="14">
        <f>IF(H1694="Active",0,1)</f>
        <v>1</v>
      </c>
    </row>
    <row r="1695" spans="1:25" ht="18" customHeight="1" x14ac:dyDescent="0.35">
      <c r="A1695" s="14" t="s">
        <v>1552</v>
      </c>
      <c r="B1695" s="14" t="s">
        <v>263</v>
      </c>
      <c r="C1695" s="14" t="s">
        <v>34</v>
      </c>
      <c r="D1695" s="15">
        <v>45</v>
      </c>
      <c r="E1695" s="14" t="s">
        <v>67</v>
      </c>
      <c r="F1695" s="14" t="s">
        <v>79</v>
      </c>
      <c r="G1695" s="16">
        <v>45393</v>
      </c>
      <c r="H1695" s="14" t="s">
        <v>26</v>
      </c>
      <c r="I1695" s="14" t="s">
        <v>27</v>
      </c>
      <c r="J1695" s="14" t="s">
        <v>2268</v>
      </c>
      <c r="K1695" s="14" t="s">
        <v>37</v>
      </c>
      <c r="L1695" s="14" t="s">
        <v>116</v>
      </c>
      <c r="M1695" s="14" t="s">
        <v>60</v>
      </c>
      <c r="N1695" s="17">
        <v>93620</v>
      </c>
      <c r="O1695" s="17">
        <v>45422</v>
      </c>
      <c r="P1695" s="18">
        <v>98.5</v>
      </c>
      <c r="Q1695" s="15">
        <v>7</v>
      </c>
      <c r="R1695" s="19">
        <v>4</v>
      </c>
      <c r="S1695" s="19">
        <v>3</v>
      </c>
      <c r="T1695" s="15">
        <v>3</v>
      </c>
      <c r="U1695" s="19">
        <v>66</v>
      </c>
      <c r="V1695" s="14" t="s">
        <v>69</v>
      </c>
      <c r="W1695" s="14"/>
      <c r="X1695" s="14">
        <f>IF(V1695="Yes",1,0)</f>
        <v>1</v>
      </c>
      <c r="Y1695" s="14">
        <f>IF(H1695="Active",0,1)</f>
        <v>0</v>
      </c>
    </row>
    <row r="1696" spans="1:25" ht="18" customHeight="1" x14ac:dyDescent="0.35">
      <c r="A1696" s="14" t="s">
        <v>1708</v>
      </c>
      <c r="B1696" s="14" t="s">
        <v>551</v>
      </c>
      <c r="C1696" s="14" t="s">
        <v>25</v>
      </c>
      <c r="D1696" s="15">
        <v>51</v>
      </c>
      <c r="E1696" s="14" t="s">
        <v>42</v>
      </c>
      <c r="F1696" s="14" t="s">
        <v>76</v>
      </c>
      <c r="G1696" s="16">
        <v>45393</v>
      </c>
      <c r="H1696" s="14" t="s">
        <v>26</v>
      </c>
      <c r="I1696" s="14" t="s">
        <v>2267</v>
      </c>
      <c r="J1696" s="14" t="s">
        <v>2268</v>
      </c>
      <c r="K1696" s="14" t="s">
        <v>55</v>
      </c>
      <c r="L1696" s="14" t="s">
        <v>116</v>
      </c>
      <c r="M1696" s="14" t="s">
        <v>30</v>
      </c>
      <c r="N1696" s="17">
        <v>123340</v>
      </c>
      <c r="O1696" s="17">
        <v>43473</v>
      </c>
      <c r="P1696" s="18">
        <v>94.3</v>
      </c>
      <c r="Q1696" s="15">
        <v>5</v>
      </c>
      <c r="R1696" s="19">
        <v>22</v>
      </c>
      <c r="S1696" s="19">
        <v>4</v>
      </c>
      <c r="T1696" s="15">
        <v>20</v>
      </c>
      <c r="U1696" s="19">
        <v>78</v>
      </c>
      <c r="V1696" s="14" t="s">
        <v>31</v>
      </c>
      <c r="W1696" s="14"/>
      <c r="X1696" s="14">
        <f>IF(V1696="Yes",1,0)</f>
        <v>0</v>
      </c>
      <c r="Y1696" s="14">
        <f>IF(H1696="Active",0,1)</f>
        <v>0</v>
      </c>
    </row>
    <row r="1697" spans="1:25" ht="18" customHeight="1" x14ac:dyDescent="0.35">
      <c r="A1697" s="14" t="s">
        <v>1722</v>
      </c>
      <c r="B1697" s="14" t="s">
        <v>193</v>
      </c>
      <c r="C1697" s="14" t="s">
        <v>34</v>
      </c>
      <c r="D1697" s="15">
        <v>24</v>
      </c>
      <c r="E1697" s="14" t="s">
        <v>109</v>
      </c>
      <c r="F1697" s="14" t="s">
        <v>76</v>
      </c>
      <c r="G1697" s="16">
        <v>45393</v>
      </c>
      <c r="H1697" s="14" t="s">
        <v>26</v>
      </c>
      <c r="I1697" s="14" t="s">
        <v>36</v>
      </c>
      <c r="J1697" s="14" t="s">
        <v>2268</v>
      </c>
      <c r="K1697" s="14" t="s">
        <v>28</v>
      </c>
      <c r="L1697" s="14" t="s">
        <v>87</v>
      </c>
      <c r="M1697" s="14" t="s">
        <v>30</v>
      </c>
      <c r="N1697" s="17">
        <v>169442</v>
      </c>
      <c r="O1697" s="17">
        <v>38349</v>
      </c>
      <c r="P1697" s="18">
        <v>94.5</v>
      </c>
      <c r="Q1697" s="15">
        <v>5</v>
      </c>
      <c r="R1697" s="19">
        <v>17</v>
      </c>
      <c r="S1697" s="19">
        <v>4</v>
      </c>
      <c r="T1697" s="15">
        <v>13</v>
      </c>
      <c r="U1697" s="19">
        <v>98</v>
      </c>
      <c r="V1697" s="14" t="s">
        <v>31</v>
      </c>
      <c r="W1697" s="14"/>
      <c r="X1697" s="14">
        <f>IF(V1697="Yes",1,0)</f>
        <v>0</v>
      </c>
      <c r="Y1697" s="14">
        <f>IF(H1697="Active",0,1)</f>
        <v>0</v>
      </c>
    </row>
    <row r="1698" spans="1:25" ht="18" customHeight="1" x14ac:dyDescent="0.35">
      <c r="A1698" s="14" t="s">
        <v>1762</v>
      </c>
      <c r="B1698" s="14" t="s">
        <v>191</v>
      </c>
      <c r="C1698" s="14" t="s">
        <v>34</v>
      </c>
      <c r="D1698" s="15">
        <v>38</v>
      </c>
      <c r="E1698" s="14" t="s">
        <v>93</v>
      </c>
      <c r="F1698" s="14" t="s">
        <v>79</v>
      </c>
      <c r="G1698" s="16">
        <v>45393</v>
      </c>
      <c r="H1698" s="14" t="s">
        <v>26</v>
      </c>
      <c r="I1698" s="14" t="s">
        <v>36</v>
      </c>
      <c r="J1698" s="14" t="s">
        <v>80</v>
      </c>
      <c r="K1698" s="14" t="s">
        <v>28</v>
      </c>
      <c r="L1698" s="14" t="s">
        <v>44</v>
      </c>
      <c r="M1698" s="14" t="s">
        <v>60</v>
      </c>
      <c r="N1698" s="17">
        <v>107231</v>
      </c>
      <c r="O1698" s="17">
        <v>27268</v>
      </c>
      <c r="P1698" s="18">
        <v>95.1</v>
      </c>
      <c r="Q1698" s="15">
        <v>4</v>
      </c>
      <c r="R1698" s="19">
        <v>20</v>
      </c>
      <c r="S1698" s="19">
        <v>3</v>
      </c>
      <c r="T1698" s="15">
        <v>22</v>
      </c>
      <c r="U1698" s="19">
        <v>76</v>
      </c>
      <c r="V1698" s="14" t="s">
        <v>31</v>
      </c>
      <c r="W1698" s="14"/>
      <c r="X1698" s="14">
        <f>IF(V1698="Yes",1,0)</f>
        <v>0</v>
      </c>
      <c r="Y1698" s="14">
        <f>IF(H1698="Active",0,1)</f>
        <v>0</v>
      </c>
    </row>
    <row r="1699" spans="1:25" ht="18" customHeight="1" x14ac:dyDescent="0.35">
      <c r="A1699" s="14" t="s">
        <v>1764</v>
      </c>
      <c r="B1699" s="14" t="s">
        <v>118</v>
      </c>
      <c r="C1699" s="14" t="s">
        <v>25</v>
      </c>
      <c r="D1699" s="15">
        <v>39</v>
      </c>
      <c r="E1699" s="14" t="s">
        <v>42</v>
      </c>
      <c r="F1699" s="14" t="s">
        <v>72</v>
      </c>
      <c r="G1699" s="16">
        <v>45393</v>
      </c>
      <c r="H1699" s="14" t="s">
        <v>26</v>
      </c>
      <c r="I1699" s="14" t="s">
        <v>27</v>
      </c>
      <c r="J1699" s="14" t="s">
        <v>80</v>
      </c>
      <c r="K1699" s="14" t="s">
        <v>73</v>
      </c>
      <c r="L1699" s="14" t="s">
        <v>49</v>
      </c>
      <c r="M1699" s="14" t="s">
        <v>45</v>
      </c>
      <c r="N1699" s="17">
        <v>123881</v>
      </c>
      <c r="O1699" s="17">
        <v>49616</v>
      </c>
      <c r="P1699" s="18">
        <v>81.2</v>
      </c>
      <c r="Q1699" s="15">
        <v>4</v>
      </c>
      <c r="R1699" s="19">
        <v>23</v>
      </c>
      <c r="S1699" s="19">
        <v>3</v>
      </c>
      <c r="T1699" s="15">
        <v>38</v>
      </c>
      <c r="U1699" s="19">
        <v>65</v>
      </c>
      <c r="V1699" s="14" t="s">
        <v>31</v>
      </c>
      <c r="W1699" s="14"/>
      <c r="X1699" s="14">
        <f>IF(V1699="Yes",1,0)</f>
        <v>0</v>
      </c>
      <c r="Y1699" s="14">
        <f>IF(H1699="Active",0,1)</f>
        <v>0</v>
      </c>
    </row>
    <row r="1700" spans="1:25" ht="18" customHeight="1" x14ac:dyDescent="0.35">
      <c r="A1700" s="8" t="s">
        <v>2103</v>
      </c>
      <c r="B1700" s="8" t="s">
        <v>514</v>
      </c>
      <c r="C1700" s="8" t="s">
        <v>25</v>
      </c>
      <c r="D1700" s="9">
        <v>33</v>
      </c>
      <c r="E1700" s="8" t="s">
        <v>86</v>
      </c>
      <c r="F1700" s="8" t="s">
        <v>35</v>
      </c>
      <c r="G1700" s="10">
        <v>45393</v>
      </c>
      <c r="H1700" s="8" t="s">
        <v>26</v>
      </c>
      <c r="I1700" s="8" t="s">
        <v>36</v>
      </c>
      <c r="J1700" s="8" t="s">
        <v>2270</v>
      </c>
      <c r="K1700" s="8" t="s">
        <v>55</v>
      </c>
      <c r="L1700" s="8" t="s">
        <v>56</v>
      </c>
      <c r="M1700" s="8" t="s">
        <v>30</v>
      </c>
      <c r="N1700" s="11">
        <v>246772</v>
      </c>
      <c r="O1700" s="11">
        <v>19427</v>
      </c>
      <c r="P1700" s="12">
        <v>95.4</v>
      </c>
      <c r="Q1700" s="9">
        <v>9</v>
      </c>
      <c r="R1700" s="13">
        <v>26</v>
      </c>
      <c r="S1700" s="13">
        <v>5</v>
      </c>
      <c r="T1700" s="9">
        <v>1</v>
      </c>
      <c r="U1700" s="13">
        <v>82</v>
      </c>
      <c r="V1700" s="8" t="s">
        <v>31</v>
      </c>
      <c r="W1700" s="8"/>
      <c r="X1700" s="22">
        <f>IF(V1700="Yes",1,0)</f>
        <v>0</v>
      </c>
      <c r="Y1700" s="22">
        <f>IF(H1700="Active",0,1)</f>
        <v>0</v>
      </c>
    </row>
    <row r="1701" spans="1:25" ht="18" customHeight="1" x14ac:dyDescent="0.35">
      <c r="A1701" s="14" t="s">
        <v>1046</v>
      </c>
      <c r="B1701" s="14" t="s">
        <v>548</v>
      </c>
      <c r="C1701" s="14" t="s">
        <v>25</v>
      </c>
      <c r="D1701" s="15">
        <v>56</v>
      </c>
      <c r="E1701" s="14" t="s">
        <v>109</v>
      </c>
      <c r="F1701" s="14" t="s">
        <v>72</v>
      </c>
      <c r="G1701" s="16">
        <v>45392</v>
      </c>
      <c r="H1701" s="14" t="s">
        <v>26</v>
      </c>
      <c r="I1701" s="14" t="s">
        <v>36</v>
      </c>
      <c r="J1701" s="14" t="s">
        <v>2270</v>
      </c>
      <c r="K1701" s="14" t="s">
        <v>37</v>
      </c>
      <c r="L1701" s="14" t="s">
        <v>38</v>
      </c>
      <c r="M1701" s="14" t="s">
        <v>45</v>
      </c>
      <c r="N1701" s="17">
        <v>242476</v>
      </c>
      <c r="O1701" s="17">
        <v>25063</v>
      </c>
      <c r="P1701" s="18">
        <v>89.9</v>
      </c>
      <c r="Q1701" s="15">
        <v>1</v>
      </c>
      <c r="R1701" s="19">
        <v>4</v>
      </c>
      <c r="S1701" s="19">
        <v>2</v>
      </c>
      <c r="T1701" s="15">
        <v>19</v>
      </c>
      <c r="U1701" s="19">
        <v>65</v>
      </c>
      <c r="V1701" s="14" t="s">
        <v>31</v>
      </c>
      <c r="W1701" s="14"/>
      <c r="X1701" s="14">
        <f>IF(V1701="Yes",1,0)</f>
        <v>0</v>
      </c>
      <c r="Y1701" s="14">
        <f>IF(H1701="Active",0,1)</f>
        <v>0</v>
      </c>
    </row>
    <row r="1702" spans="1:25" ht="18" customHeight="1" x14ac:dyDescent="0.35">
      <c r="A1702" s="14" t="s">
        <v>1448</v>
      </c>
      <c r="B1702" s="14" t="s">
        <v>302</v>
      </c>
      <c r="C1702" s="14" t="s">
        <v>25</v>
      </c>
      <c r="D1702" s="15">
        <v>58</v>
      </c>
      <c r="E1702" s="14" t="s">
        <v>2303</v>
      </c>
      <c r="F1702" s="14" t="s">
        <v>53</v>
      </c>
      <c r="G1702" s="16">
        <v>45392</v>
      </c>
      <c r="H1702" s="14" t="s">
        <v>26</v>
      </c>
      <c r="I1702" s="14" t="s">
        <v>36</v>
      </c>
      <c r="J1702" s="14" t="s">
        <v>48</v>
      </c>
      <c r="K1702" s="14" t="s">
        <v>73</v>
      </c>
      <c r="L1702" s="14" t="s">
        <v>44</v>
      </c>
      <c r="M1702" s="14" t="s">
        <v>30</v>
      </c>
      <c r="N1702" s="17">
        <v>38584</v>
      </c>
      <c r="O1702" s="17">
        <v>32399</v>
      </c>
      <c r="P1702" s="18">
        <v>82.5</v>
      </c>
      <c r="Q1702" s="15">
        <v>3</v>
      </c>
      <c r="R1702" s="19">
        <v>13</v>
      </c>
      <c r="S1702" s="19">
        <v>5</v>
      </c>
      <c r="T1702" s="15">
        <v>23</v>
      </c>
      <c r="U1702" s="19">
        <v>93</v>
      </c>
      <c r="V1702" s="14" t="s">
        <v>31</v>
      </c>
      <c r="W1702" s="14"/>
      <c r="X1702" s="14">
        <f>IF(V1702="Yes",1,0)</f>
        <v>0</v>
      </c>
      <c r="Y1702" s="14">
        <f>IF(H1702="Active",0,1)</f>
        <v>0</v>
      </c>
    </row>
    <row r="1703" spans="1:25" ht="18" customHeight="1" x14ac:dyDescent="0.35">
      <c r="A1703" s="8" t="s">
        <v>799</v>
      </c>
      <c r="B1703" s="8" t="s">
        <v>439</v>
      </c>
      <c r="C1703" s="8" t="s">
        <v>34</v>
      </c>
      <c r="D1703" s="9">
        <v>48</v>
      </c>
      <c r="E1703" s="8" t="s">
        <v>52</v>
      </c>
      <c r="F1703" s="8" t="s">
        <v>72</v>
      </c>
      <c r="G1703" s="10">
        <v>45391</v>
      </c>
      <c r="H1703" s="8" t="s">
        <v>26</v>
      </c>
      <c r="I1703" s="8" t="s">
        <v>2267</v>
      </c>
      <c r="J1703" s="8" t="s">
        <v>2269</v>
      </c>
      <c r="K1703" s="8" t="s">
        <v>73</v>
      </c>
      <c r="L1703" s="8" t="s">
        <v>116</v>
      </c>
      <c r="M1703" s="8" t="s">
        <v>45</v>
      </c>
      <c r="N1703" s="11">
        <v>97822</v>
      </c>
      <c r="O1703" s="11">
        <v>42773</v>
      </c>
      <c r="P1703" s="12">
        <v>86.3</v>
      </c>
      <c r="Q1703" s="9">
        <v>9</v>
      </c>
      <c r="R1703" s="13">
        <v>14</v>
      </c>
      <c r="S1703" s="13">
        <v>1</v>
      </c>
      <c r="T1703" s="9">
        <v>4</v>
      </c>
      <c r="U1703" s="13">
        <v>72</v>
      </c>
      <c r="V1703" s="8" t="s">
        <v>69</v>
      </c>
      <c r="W1703" s="8"/>
      <c r="X1703" s="22">
        <f>IF(V1703="Yes",1,0)</f>
        <v>1</v>
      </c>
      <c r="Y1703" s="22">
        <f>IF(H1703="Active",0,1)</f>
        <v>0</v>
      </c>
    </row>
    <row r="1704" spans="1:25" ht="18" customHeight="1" x14ac:dyDescent="0.35">
      <c r="A1704" s="14" t="s">
        <v>1354</v>
      </c>
      <c r="B1704" s="14" t="s">
        <v>106</v>
      </c>
      <c r="C1704" s="14" t="s">
        <v>25</v>
      </c>
      <c r="D1704" s="15">
        <v>36</v>
      </c>
      <c r="E1704" s="14" t="s">
        <v>52</v>
      </c>
      <c r="F1704" s="14" t="s">
        <v>72</v>
      </c>
      <c r="G1704" s="16">
        <v>45391</v>
      </c>
      <c r="H1704" s="14" t="s">
        <v>26</v>
      </c>
      <c r="I1704" s="14" t="s">
        <v>27</v>
      </c>
      <c r="J1704" s="14" t="s">
        <v>2270</v>
      </c>
      <c r="K1704" s="14" t="s">
        <v>37</v>
      </c>
      <c r="L1704" s="14" t="s">
        <v>49</v>
      </c>
      <c r="M1704" s="14" t="s">
        <v>30</v>
      </c>
      <c r="N1704" s="17">
        <v>199007</v>
      </c>
      <c r="O1704" s="17">
        <v>41824</v>
      </c>
      <c r="P1704" s="18">
        <v>85.5</v>
      </c>
      <c r="Q1704" s="15">
        <v>10</v>
      </c>
      <c r="R1704" s="19">
        <v>26</v>
      </c>
      <c r="S1704" s="19">
        <v>3</v>
      </c>
      <c r="T1704" s="15">
        <v>2</v>
      </c>
      <c r="U1704" s="19">
        <v>70</v>
      </c>
      <c r="V1704" s="14" t="s">
        <v>31</v>
      </c>
      <c r="W1704" s="14"/>
      <c r="X1704" s="14">
        <f>IF(V1704="Yes",1,0)</f>
        <v>0</v>
      </c>
      <c r="Y1704" s="14">
        <f>IF(H1704="Active",0,1)</f>
        <v>0</v>
      </c>
    </row>
    <row r="1705" spans="1:25" ht="18" customHeight="1" x14ac:dyDescent="0.35">
      <c r="A1705" s="14" t="s">
        <v>1432</v>
      </c>
      <c r="B1705" s="14" t="s">
        <v>274</v>
      </c>
      <c r="C1705" s="14" t="s">
        <v>25</v>
      </c>
      <c r="D1705" s="15">
        <v>53</v>
      </c>
      <c r="E1705" s="14" t="s">
        <v>52</v>
      </c>
      <c r="F1705" s="14" t="s">
        <v>76</v>
      </c>
      <c r="G1705" s="16">
        <v>45391</v>
      </c>
      <c r="H1705" s="14" t="s">
        <v>54</v>
      </c>
      <c r="I1705" s="14" t="s">
        <v>27</v>
      </c>
      <c r="J1705" s="14" t="s">
        <v>2269</v>
      </c>
      <c r="K1705" s="14" t="s">
        <v>37</v>
      </c>
      <c r="L1705" s="14" t="s">
        <v>49</v>
      </c>
      <c r="M1705" s="14" t="s">
        <v>60</v>
      </c>
      <c r="N1705" s="17">
        <v>196440</v>
      </c>
      <c r="O1705" s="17">
        <v>31790</v>
      </c>
      <c r="P1705" s="18">
        <v>83.9</v>
      </c>
      <c r="Q1705" s="15">
        <v>7</v>
      </c>
      <c r="R1705" s="19">
        <v>2</v>
      </c>
      <c r="S1705" s="19">
        <v>2</v>
      </c>
      <c r="T1705" s="15">
        <v>26</v>
      </c>
      <c r="U1705" s="19">
        <v>67</v>
      </c>
      <c r="V1705" s="14" t="s">
        <v>31</v>
      </c>
      <c r="W1705" s="14" t="s">
        <v>205</v>
      </c>
      <c r="X1705" s="14">
        <f>IF(V1705="Yes",1,0)</f>
        <v>0</v>
      </c>
      <c r="Y1705" s="14">
        <f>IF(H1705="Active",0,1)</f>
        <v>1</v>
      </c>
    </row>
    <row r="1706" spans="1:25" ht="18" customHeight="1" x14ac:dyDescent="0.35">
      <c r="A1706" s="8" t="s">
        <v>1853</v>
      </c>
      <c r="B1706" s="8" t="s">
        <v>146</v>
      </c>
      <c r="C1706" s="8" t="s">
        <v>34</v>
      </c>
      <c r="D1706" s="9">
        <v>29</v>
      </c>
      <c r="E1706" s="8" t="s">
        <v>2304</v>
      </c>
      <c r="F1706" s="8" t="s">
        <v>79</v>
      </c>
      <c r="G1706" s="10">
        <v>45391</v>
      </c>
      <c r="H1706" s="8" t="s">
        <v>26</v>
      </c>
      <c r="I1706" s="8" t="s">
        <v>2267</v>
      </c>
      <c r="J1706" s="8" t="s">
        <v>2269</v>
      </c>
      <c r="K1706" s="8" t="s">
        <v>28</v>
      </c>
      <c r="L1706" s="8" t="s">
        <v>38</v>
      </c>
      <c r="M1706" s="8" t="s">
        <v>60</v>
      </c>
      <c r="N1706" s="11">
        <v>61363</v>
      </c>
      <c r="O1706" s="11">
        <v>7910</v>
      </c>
      <c r="P1706" s="12">
        <v>86.9</v>
      </c>
      <c r="Q1706" s="9">
        <v>1</v>
      </c>
      <c r="R1706" s="13">
        <v>6</v>
      </c>
      <c r="S1706" s="13">
        <v>3</v>
      </c>
      <c r="T1706" s="9">
        <v>32</v>
      </c>
      <c r="U1706" s="13">
        <v>98</v>
      </c>
      <c r="V1706" s="8" t="s">
        <v>69</v>
      </c>
      <c r="W1706" s="8"/>
      <c r="X1706" s="22">
        <f>IF(V1706="Yes",1,0)</f>
        <v>1</v>
      </c>
      <c r="Y1706" s="22">
        <f>IF(H1706="Active",0,1)</f>
        <v>0</v>
      </c>
    </row>
    <row r="1707" spans="1:25" ht="18" customHeight="1" x14ac:dyDescent="0.35">
      <c r="A1707" s="14" t="s">
        <v>1866</v>
      </c>
      <c r="B1707" s="14" t="s">
        <v>362</v>
      </c>
      <c r="C1707" s="14" t="s">
        <v>25</v>
      </c>
      <c r="D1707" s="15">
        <v>22</v>
      </c>
      <c r="E1707" s="14" t="s">
        <v>63</v>
      </c>
      <c r="F1707" s="14" t="s">
        <v>76</v>
      </c>
      <c r="G1707" s="16">
        <v>45391</v>
      </c>
      <c r="H1707" s="14" t="s">
        <v>26</v>
      </c>
      <c r="I1707" s="14" t="s">
        <v>36</v>
      </c>
      <c r="J1707" s="14" t="s">
        <v>2270</v>
      </c>
      <c r="K1707" s="14" t="s">
        <v>37</v>
      </c>
      <c r="L1707" s="14" t="s">
        <v>56</v>
      </c>
      <c r="M1707" s="14" t="s">
        <v>60</v>
      </c>
      <c r="N1707" s="17">
        <v>154944</v>
      </c>
      <c r="O1707" s="17">
        <v>34799</v>
      </c>
      <c r="P1707" s="18">
        <v>87</v>
      </c>
      <c r="Q1707" s="15">
        <v>9</v>
      </c>
      <c r="R1707" s="19">
        <v>18</v>
      </c>
      <c r="S1707" s="19">
        <v>2</v>
      </c>
      <c r="T1707" s="15">
        <v>27</v>
      </c>
      <c r="U1707" s="19">
        <v>77</v>
      </c>
      <c r="V1707" s="14" t="s">
        <v>31</v>
      </c>
      <c r="W1707" s="14"/>
      <c r="X1707" s="14">
        <f>IF(V1707="Yes",1,0)</f>
        <v>0</v>
      </c>
      <c r="Y1707" s="14">
        <f>IF(H1707="Active",0,1)</f>
        <v>0</v>
      </c>
    </row>
    <row r="1708" spans="1:25" ht="18" customHeight="1" x14ac:dyDescent="0.35">
      <c r="A1708" s="14" t="s">
        <v>1880</v>
      </c>
      <c r="B1708" s="14" t="s">
        <v>261</v>
      </c>
      <c r="C1708" s="14" t="s">
        <v>34</v>
      </c>
      <c r="D1708" s="15">
        <v>33</v>
      </c>
      <c r="E1708" s="14" t="s">
        <v>86</v>
      </c>
      <c r="F1708" s="14" t="s">
        <v>12</v>
      </c>
      <c r="G1708" s="16">
        <v>45391</v>
      </c>
      <c r="H1708" s="14" t="s">
        <v>26</v>
      </c>
      <c r="I1708" s="14" t="s">
        <v>2267</v>
      </c>
      <c r="J1708" s="14" t="s">
        <v>80</v>
      </c>
      <c r="K1708" s="14" t="s">
        <v>73</v>
      </c>
      <c r="L1708" s="14" t="s">
        <v>29</v>
      </c>
      <c r="M1708" s="14" t="s">
        <v>30</v>
      </c>
      <c r="N1708" s="17">
        <v>142922</v>
      </c>
      <c r="O1708" s="17">
        <v>44271</v>
      </c>
      <c r="P1708" s="18">
        <v>98.5</v>
      </c>
      <c r="Q1708" s="15">
        <v>8</v>
      </c>
      <c r="R1708" s="19">
        <v>27</v>
      </c>
      <c r="S1708" s="19">
        <v>3</v>
      </c>
      <c r="T1708" s="15">
        <v>13</v>
      </c>
      <c r="U1708" s="19">
        <v>77</v>
      </c>
      <c r="V1708" s="14" t="s">
        <v>69</v>
      </c>
      <c r="W1708" s="14"/>
      <c r="X1708" s="14">
        <f>IF(V1708="Yes",1,0)</f>
        <v>1</v>
      </c>
      <c r="Y1708" s="14">
        <f>IF(H1708="Active",0,1)</f>
        <v>0</v>
      </c>
    </row>
    <row r="1709" spans="1:25" ht="18" customHeight="1" x14ac:dyDescent="0.35">
      <c r="A1709" s="8" t="s">
        <v>315</v>
      </c>
      <c r="B1709" s="8" t="s">
        <v>62</v>
      </c>
      <c r="C1709" s="8" t="s">
        <v>25</v>
      </c>
      <c r="D1709" s="9">
        <v>31</v>
      </c>
      <c r="E1709" s="8" t="s">
        <v>67</v>
      </c>
      <c r="F1709" s="8" t="s">
        <v>35</v>
      </c>
      <c r="G1709" s="10">
        <v>45389</v>
      </c>
      <c r="H1709" s="8" t="s">
        <v>26</v>
      </c>
      <c r="I1709" s="8" t="s">
        <v>27</v>
      </c>
      <c r="J1709" s="8" t="s">
        <v>2270</v>
      </c>
      <c r="K1709" s="8" t="s">
        <v>2271</v>
      </c>
      <c r="L1709" s="8" t="s">
        <v>56</v>
      </c>
      <c r="M1709" s="8" t="s">
        <v>30</v>
      </c>
      <c r="N1709" s="11">
        <v>171023</v>
      </c>
      <c r="O1709" s="11">
        <v>38709</v>
      </c>
      <c r="P1709" s="12">
        <v>95.8</v>
      </c>
      <c r="Q1709" s="9">
        <v>3</v>
      </c>
      <c r="R1709" s="13">
        <v>29</v>
      </c>
      <c r="S1709" s="13">
        <v>2</v>
      </c>
      <c r="T1709" s="9">
        <v>17</v>
      </c>
      <c r="U1709" s="13">
        <v>60</v>
      </c>
      <c r="V1709" s="8" t="s">
        <v>31</v>
      </c>
      <c r="W1709" s="8"/>
      <c r="X1709" s="22">
        <f>IF(V1709="Yes",1,0)</f>
        <v>0</v>
      </c>
      <c r="Y1709" s="22">
        <f>IF(H1709="Active",0,1)</f>
        <v>0</v>
      </c>
    </row>
    <row r="1710" spans="1:25" ht="18" customHeight="1" x14ac:dyDescent="0.35">
      <c r="A1710" s="14" t="s">
        <v>366</v>
      </c>
      <c r="B1710" s="14" t="s">
        <v>367</v>
      </c>
      <c r="C1710" s="14" t="s">
        <v>34</v>
      </c>
      <c r="D1710" s="15">
        <v>33</v>
      </c>
      <c r="E1710" s="14" t="s">
        <v>42</v>
      </c>
      <c r="F1710" s="14" t="s">
        <v>79</v>
      </c>
      <c r="G1710" s="16">
        <v>45389</v>
      </c>
      <c r="H1710" s="14" t="s">
        <v>26</v>
      </c>
      <c r="I1710" s="14" t="s">
        <v>2267</v>
      </c>
      <c r="J1710" s="14" t="s">
        <v>2269</v>
      </c>
      <c r="K1710" s="14" t="s">
        <v>55</v>
      </c>
      <c r="L1710" s="14" t="s">
        <v>68</v>
      </c>
      <c r="M1710" s="14" t="s">
        <v>39</v>
      </c>
      <c r="N1710" s="17">
        <v>84587</v>
      </c>
      <c r="O1710" s="17">
        <v>27872</v>
      </c>
      <c r="P1710" s="18">
        <v>99.9</v>
      </c>
      <c r="Q1710" s="15">
        <v>2</v>
      </c>
      <c r="R1710" s="19">
        <v>1</v>
      </c>
      <c r="S1710" s="19">
        <v>4</v>
      </c>
      <c r="T1710" s="15">
        <v>9</v>
      </c>
      <c r="U1710" s="19">
        <v>69</v>
      </c>
      <c r="V1710" s="14" t="s">
        <v>31</v>
      </c>
      <c r="W1710" s="14"/>
      <c r="X1710" s="14">
        <f>IF(V1710="Yes",1,0)</f>
        <v>0</v>
      </c>
      <c r="Y1710" s="14">
        <f>IF(H1710="Active",0,1)</f>
        <v>0</v>
      </c>
    </row>
    <row r="1711" spans="1:25" ht="18" customHeight="1" x14ac:dyDescent="0.35">
      <c r="A1711" s="8" t="s">
        <v>1561</v>
      </c>
      <c r="B1711" s="8" t="s">
        <v>142</v>
      </c>
      <c r="C1711" s="8" t="s">
        <v>25</v>
      </c>
      <c r="D1711" s="9">
        <v>24</v>
      </c>
      <c r="E1711" s="8" t="s">
        <v>52</v>
      </c>
      <c r="F1711" s="8" t="s">
        <v>35</v>
      </c>
      <c r="G1711" s="10">
        <v>45389</v>
      </c>
      <c r="H1711" s="8" t="s">
        <v>26</v>
      </c>
      <c r="I1711" s="8" t="s">
        <v>2267</v>
      </c>
      <c r="J1711" s="8" t="s">
        <v>80</v>
      </c>
      <c r="K1711" s="8" t="s">
        <v>73</v>
      </c>
      <c r="L1711" s="8" t="s">
        <v>44</v>
      </c>
      <c r="M1711" s="8" t="s">
        <v>60</v>
      </c>
      <c r="N1711" s="11">
        <v>233334</v>
      </c>
      <c r="O1711" s="11">
        <v>30438</v>
      </c>
      <c r="P1711" s="12">
        <v>95.8</v>
      </c>
      <c r="Q1711" s="9">
        <v>3</v>
      </c>
      <c r="R1711" s="13">
        <v>10</v>
      </c>
      <c r="S1711" s="13">
        <v>5</v>
      </c>
      <c r="T1711" s="9">
        <v>21</v>
      </c>
      <c r="U1711" s="13">
        <v>77</v>
      </c>
      <c r="V1711" s="8" t="s">
        <v>69</v>
      </c>
      <c r="W1711" s="8"/>
      <c r="X1711" s="22">
        <f>IF(V1711="Yes",1,0)</f>
        <v>1</v>
      </c>
      <c r="Y1711" s="22">
        <f>IF(H1711="Active",0,1)</f>
        <v>0</v>
      </c>
    </row>
    <row r="1712" spans="1:25" ht="18" customHeight="1" x14ac:dyDescent="0.35">
      <c r="A1712" s="8" t="s">
        <v>2249</v>
      </c>
      <c r="B1712" s="8" t="s">
        <v>248</v>
      </c>
      <c r="C1712" s="8" t="s">
        <v>34</v>
      </c>
      <c r="D1712" s="9">
        <v>48</v>
      </c>
      <c r="E1712" s="8" t="s">
        <v>2303</v>
      </c>
      <c r="F1712" s="8" t="s">
        <v>35</v>
      </c>
      <c r="G1712" s="10">
        <v>45389</v>
      </c>
      <c r="H1712" s="8" t="s">
        <v>26</v>
      </c>
      <c r="I1712" s="8" t="s">
        <v>27</v>
      </c>
      <c r="J1712" s="8" t="s">
        <v>80</v>
      </c>
      <c r="K1712" s="8" t="s">
        <v>55</v>
      </c>
      <c r="L1712" s="8" t="s">
        <v>56</v>
      </c>
      <c r="M1712" s="8" t="s">
        <v>64</v>
      </c>
      <c r="N1712" s="11">
        <v>221669</v>
      </c>
      <c r="O1712" s="11">
        <v>32731</v>
      </c>
      <c r="P1712" s="12">
        <v>88.1</v>
      </c>
      <c r="Q1712" s="9">
        <v>5</v>
      </c>
      <c r="R1712" s="13">
        <v>1</v>
      </c>
      <c r="S1712" s="13">
        <v>1</v>
      </c>
      <c r="T1712" s="9">
        <v>0</v>
      </c>
      <c r="U1712" s="13">
        <v>68</v>
      </c>
      <c r="V1712" s="8" t="s">
        <v>31</v>
      </c>
      <c r="W1712" s="8"/>
      <c r="X1712" s="22">
        <f>IF(V1712="Yes",1,0)</f>
        <v>0</v>
      </c>
      <c r="Y1712" s="22">
        <f>IF(H1712="Active",0,1)</f>
        <v>0</v>
      </c>
    </row>
    <row r="1713" spans="1:25" ht="18" customHeight="1" x14ac:dyDescent="0.35">
      <c r="A1713" s="8" t="s">
        <v>1437</v>
      </c>
      <c r="B1713" s="8" t="s">
        <v>464</v>
      </c>
      <c r="C1713" s="8" t="s">
        <v>34</v>
      </c>
      <c r="D1713" s="9">
        <v>21</v>
      </c>
      <c r="E1713" s="8" t="s">
        <v>109</v>
      </c>
      <c r="F1713" s="8" t="s">
        <v>79</v>
      </c>
      <c r="G1713" s="10">
        <v>45388</v>
      </c>
      <c r="H1713" s="8" t="s">
        <v>26</v>
      </c>
      <c r="I1713" s="8" t="s">
        <v>27</v>
      </c>
      <c r="J1713" s="8" t="s">
        <v>48</v>
      </c>
      <c r="K1713" s="8" t="s">
        <v>37</v>
      </c>
      <c r="L1713" s="8" t="s">
        <v>116</v>
      </c>
      <c r="M1713" s="8" t="s">
        <v>30</v>
      </c>
      <c r="N1713" s="11">
        <v>35853</v>
      </c>
      <c r="O1713" s="11">
        <v>45257</v>
      </c>
      <c r="P1713" s="12">
        <v>80.2</v>
      </c>
      <c r="Q1713" s="9">
        <v>7</v>
      </c>
      <c r="R1713" s="13">
        <v>6</v>
      </c>
      <c r="S1713" s="13">
        <v>3</v>
      </c>
      <c r="T1713" s="9">
        <v>6</v>
      </c>
      <c r="U1713" s="13">
        <v>62</v>
      </c>
      <c r="V1713" s="8" t="s">
        <v>31</v>
      </c>
      <c r="W1713" s="8"/>
      <c r="X1713" s="22">
        <f>IF(V1713="Yes",1,0)</f>
        <v>0</v>
      </c>
      <c r="Y1713" s="22">
        <f>IF(H1713="Active",0,1)</f>
        <v>0</v>
      </c>
    </row>
    <row r="1714" spans="1:25" ht="18" customHeight="1" x14ac:dyDescent="0.35">
      <c r="A1714" s="14" t="s">
        <v>1536</v>
      </c>
      <c r="B1714" s="14" t="s">
        <v>464</v>
      </c>
      <c r="C1714" s="14" t="s">
        <v>34</v>
      </c>
      <c r="D1714" s="15">
        <v>24</v>
      </c>
      <c r="E1714" s="14" t="s">
        <v>109</v>
      </c>
      <c r="F1714" s="14" t="s">
        <v>72</v>
      </c>
      <c r="G1714" s="16">
        <v>45388</v>
      </c>
      <c r="H1714" s="14" t="s">
        <v>26</v>
      </c>
      <c r="I1714" s="14" t="s">
        <v>36</v>
      </c>
      <c r="J1714" s="14" t="s">
        <v>2268</v>
      </c>
      <c r="K1714" s="14" t="s">
        <v>28</v>
      </c>
      <c r="L1714" s="14" t="s">
        <v>49</v>
      </c>
      <c r="M1714" s="14" t="s">
        <v>30</v>
      </c>
      <c r="N1714" s="17">
        <v>231584</v>
      </c>
      <c r="O1714" s="17">
        <v>39019</v>
      </c>
      <c r="P1714" s="18">
        <v>82.4</v>
      </c>
      <c r="Q1714" s="15">
        <v>2</v>
      </c>
      <c r="R1714" s="19">
        <v>30</v>
      </c>
      <c r="S1714" s="19">
        <v>2</v>
      </c>
      <c r="T1714" s="15">
        <v>32</v>
      </c>
      <c r="U1714" s="19">
        <v>85</v>
      </c>
      <c r="V1714" s="14" t="s">
        <v>69</v>
      </c>
      <c r="W1714" s="14"/>
      <c r="X1714" s="14">
        <f>IF(V1714="Yes",1,0)</f>
        <v>1</v>
      </c>
      <c r="Y1714" s="14">
        <f>IF(H1714="Active",0,1)</f>
        <v>0</v>
      </c>
    </row>
    <row r="1715" spans="1:25" ht="18" customHeight="1" x14ac:dyDescent="0.35">
      <c r="A1715" s="14" t="s">
        <v>107</v>
      </c>
      <c r="B1715" s="14" t="s">
        <v>108</v>
      </c>
      <c r="C1715" s="14" t="s">
        <v>25</v>
      </c>
      <c r="D1715" s="15">
        <v>58</v>
      </c>
      <c r="E1715" s="14" t="s">
        <v>109</v>
      </c>
      <c r="F1715" s="14" t="s">
        <v>79</v>
      </c>
      <c r="G1715" s="16">
        <v>45387</v>
      </c>
      <c r="H1715" s="14" t="s">
        <v>26</v>
      </c>
      <c r="I1715" s="14" t="s">
        <v>2267</v>
      </c>
      <c r="J1715" s="14" t="s">
        <v>80</v>
      </c>
      <c r="K1715" s="14" t="s">
        <v>73</v>
      </c>
      <c r="L1715" s="14" t="s">
        <v>68</v>
      </c>
      <c r="M1715" s="14" t="s">
        <v>60</v>
      </c>
      <c r="N1715" s="17">
        <v>83052</v>
      </c>
      <c r="O1715" s="17">
        <v>37957</v>
      </c>
      <c r="P1715" s="18">
        <v>91.7</v>
      </c>
      <c r="Q1715" s="15">
        <v>3</v>
      </c>
      <c r="R1715" s="19">
        <v>30</v>
      </c>
      <c r="S1715" s="19">
        <v>3</v>
      </c>
      <c r="T1715" s="15">
        <v>8</v>
      </c>
      <c r="U1715" s="19">
        <v>85</v>
      </c>
      <c r="V1715" s="14" t="s">
        <v>31</v>
      </c>
      <c r="W1715" s="14"/>
      <c r="X1715" s="14">
        <f>IF(V1715="Yes",1,0)</f>
        <v>0</v>
      </c>
      <c r="Y1715" s="14">
        <f>IF(H1715="Active",0,1)</f>
        <v>0</v>
      </c>
    </row>
    <row r="1716" spans="1:25" ht="18" customHeight="1" x14ac:dyDescent="0.35">
      <c r="A1716" s="8" t="s">
        <v>715</v>
      </c>
      <c r="B1716" s="8" t="s">
        <v>278</v>
      </c>
      <c r="C1716" s="8" t="s">
        <v>25</v>
      </c>
      <c r="D1716" s="9">
        <v>33</v>
      </c>
      <c r="E1716" s="8" t="s">
        <v>86</v>
      </c>
      <c r="F1716" s="8" t="s">
        <v>35</v>
      </c>
      <c r="G1716" s="10">
        <v>45387</v>
      </c>
      <c r="H1716" s="8" t="s">
        <v>26</v>
      </c>
      <c r="I1716" s="8" t="s">
        <v>27</v>
      </c>
      <c r="J1716" s="8" t="s">
        <v>2270</v>
      </c>
      <c r="K1716" s="8" t="s">
        <v>28</v>
      </c>
      <c r="L1716" s="8" t="s">
        <v>49</v>
      </c>
      <c r="M1716" s="8" t="s">
        <v>45</v>
      </c>
      <c r="N1716" s="11">
        <v>203793</v>
      </c>
      <c r="O1716" s="11">
        <v>34062</v>
      </c>
      <c r="P1716" s="12">
        <v>87.1</v>
      </c>
      <c r="Q1716" s="9">
        <v>7</v>
      </c>
      <c r="R1716" s="13">
        <v>28</v>
      </c>
      <c r="S1716" s="13">
        <v>4</v>
      </c>
      <c r="T1716" s="9">
        <v>19</v>
      </c>
      <c r="U1716" s="13">
        <v>65</v>
      </c>
      <c r="V1716" s="8" t="s">
        <v>31</v>
      </c>
      <c r="W1716" s="8"/>
      <c r="X1716" s="22">
        <f>IF(V1716="Yes",1,0)</f>
        <v>0</v>
      </c>
      <c r="Y1716" s="22">
        <f>IF(H1716="Active",0,1)</f>
        <v>0</v>
      </c>
    </row>
    <row r="1717" spans="1:25" ht="18" customHeight="1" x14ac:dyDescent="0.35">
      <c r="A1717" s="14" t="s">
        <v>2008</v>
      </c>
      <c r="B1717" s="14" t="s">
        <v>347</v>
      </c>
      <c r="C1717" s="14" t="s">
        <v>34</v>
      </c>
      <c r="D1717" s="15">
        <v>43</v>
      </c>
      <c r="E1717" s="14" t="s">
        <v>86</v>
      </c>
      <c r="F1717" s="14" t="s">
        <v>76</v>
      </c>
      <c r="G1717" s="16">
        <v>45387</v>
      </c>
      <c r="H1717" s="14" t="s">
        <v>26</v>
      </c>
      <c r="I1717" s="14" t="s">
        <v>27</v>
      </c>
      <c r="J1717" s="14" t="s">
        <v>80</v>
      </c>
      <c r="K1717" s="14" t="s">
        <v>28</v>
      </c>
      <c r="L1717" s="14" t="s">
        <v>68</v>
      </c>
      <c r="M1717" s="14" t="s">
        <v>64</v>
      </c>
      <c r="N1717" s="17">
        <v>68612</v>
      </c>
      <c r="O1717" s="17">
        <v>11066</v>
      </c>
      <c r="P1717" s="18">
        <v>88.2</v>
      </c>
      <c r="Q1717" s="15">
        <v>1</v>
      </c>
      <c r="R1717" s="19">
        <v>29</v>
      </c>
      <c r="S1717" s="19">
        <v>3</v>
      </c>
      <c r="T1717" s="15">
        <v>33</v>
      </c>
      <c r="U1717" s="19">
        <v>100</v>
      </c>
      <c r="V1717" s="14" t="s">
        <v>31</v>
      </c>
      <c r="W1717" s="14"/>
      <c r="X1717" s="14">
        <f>IF(V1717="Yes",1,0)</f>
        <v>0</v>
      </c>
      <c r="Y1717" s="14">
        <f>IF(H1717="Active",0,1)</f>
        <v>0</v>
      </c>
    </row>
    <row r="1718" spans="1:25" ht="18" customHeight="1" x14ac:dyDescent="0.35">
      <c r="A1718" s="14" t="s">
        <v>132</v>
      </c>
      <c r="B1718" s="14" t="s">
        <v>113</v>
      </c>
      <c r="C1718" s="14" t="s">
        <v>34</v>
      </c>
      <c r="D1718" s="15">
        <v>50</v>
      </c>
      <c r="E1718" s="14" t="s">
        <v>2304</v>
      </c>
      <c r="F1718" s="14" t="s">
        <v>72</v>
      </c>
      <c r="G1718" s="16">
        <v>45386</v>
      </c>
      <c r="H1718" s="14" t="s">
        <v>26</v>
      </c>
      <c r="I1718" s="14" t="s">
        <v>27</v>
      </c>
      <c r="J1718" s="14" t="s">
        <v>2270</v>
      </c>
      <c r="K1718" s="14" t="s">
        <v>55</v>
      </c>
      <c r="L1718" s="14" t="s">
        <v>44</v>
      </c>
      <c r="M1718" s="14" t="s">
        <v>39</v>
      </c>
      <c r="N1718" s="17">
        <v>133852</v>
      </c>
      <c r="O1718" s="17">
        <v>41180</v>
      </c>
      <c r="P1718" s="18">
        <v>99.1</v>
      </c>
      <c r="Q1718" s="15">
        <v>6</v>
      </c>
      <c r="R1718" s="19">
        <v>14</v>
      </c>
      <c r="S1718" s="19">
        <v>2</v>
      </c>
      <c r="T1718" s="15">
        <v>21</v>
      </c>
      <c r="U1718" s="19">
        <v>78</v>
      </c>
      <c r="V1718" s="14" t="s">
        <v>31</v>
      </c>
      <c r="W1718" s="14"/>
      <c r="X1718" s="14">
        <f>IF(V1718="Yes",1,0)</f>
        <v>0</v>
      </c>
      <c r="Y1718" s="14">
        <f>IF(H1718="Active",0,1)</f>
        <v>0</v>
      </c>
    </row>
    <row r="1719" spans="1:25" ht="18" customHeight="1" x14ac:dyDescent="0.35">
      <c r="A1719" s="14" t="s">
        <v>1146</v>
      </c>
      <c r="B1719" s="14" t="s">
        <v>475</v>
      </c>
      <c r="C1719" s="14" t="s">
        <v>34</v>
      </c>
      <c r="D1719" s="15">
        <v>59</v>
      </c>
      <c r="E1719" s="14" t="s">
        <v>2304</v>
      </c>
      <c r="F1719" s="14" t="s">
        <v>35</v>
      </c>
      <c r="G1719" s="16">
        <v>45386</v>
      </c>
      <c r="H1719" s="14" t="s">
        <v>26</v>
      </c>
      <c r="I1719" s="14" t="s">
        <v>36</v>
      </c>
      <c r="J1719" s="14" t="s">
        <v>2270</v>
      </c>
      <c r="K1719" s="14" t="s">
        <v>37</v>
      </c>
      <c r="L1719" s="14" t="s">
        <v>56</v>
      </c>
      <c r="M1719" s="14" t="s">
        <v>64</v>
      </c>
      <c r="N1719" s="17">
        <v>210378</v>
      </c>
      <c r="O1719" s="17">
        <v>40670</v>
      </c>
      <c r="P1719" s="18">
        <v>92.4</v>
      </c>
      <c r="Q1719" s="15">
        <v>0</v>
      </c>
      <c r="R1719" s="19">
        <v>5</v>
      </c>
      <c r="S1719" s="19">
        <v>1</v>
      </c>
      <c r="T1719" s="15">
        <v>4</v>
      </c>
      <c r="U1719" s="19">
        <v>92</v>
      </c>
      <c r="V1719" s="14" t="s">
        <v>31</v>
      </c>
      <c r="W1719" s="14"/>
      <c r="X1719" s="14">
        <f>IF(V1719="Yes",1,0)</f>
        <v>0</v>
      </c>
      <c r="Y1719" s="14">
        <f>IF(H1719="Active",0,1)</f>
        <v>0</v>
      </c>
    </row>
    <row r="1720" spans="1:25" ht="18" customHeight="1" x14ac:dyDescent="0.35">
      <c r="A1720" s="8" t="s">
        <v>1391</v>
      </c>
      <c r="B1720" s="8" t="s">
        <v>485</v>
      </c>
      <c r="C1720" s="8" t="s">
        <v>25</v>
      </c>
      <c r="D1720" s="9">
        <v>27</v>
      </c>
      <c r="E1720" s="8" t="s">
        <v>42</v>
      </c>
      <c r="F1720" s="8" t="s">
        <v>12</v>
      </c>
      <c r="G1720" s="10">
        <v>45386</v>
      </c>
      <c r="H1720" s="8" t="s">
        <v>26</v>
      </c>
      <c r="I1720" s="8" t="s">
        <v>36</v>
      </c>
      <c r="J1720" s="8" t="s">
        <v>2268</v>
      </c>
      <c r="K1720" s="8" t="s">
        <v>28</v>
      </c>
      <c r="L1720" s="8" t="s">
        <v>116</v>
      </c>
      <c r="M1720" s="8" t="s">
        <v>60</v>
      </c>
      <c r="N1720" s="11">
        <v>189548</v>
      </c>
      <c r="O1720" s="11">
        <v>35582</v>
      </c>
      <c r="P1720" s="12">
        <v>91.2</v>
      </c>
      <c r="Q1720" s="9">
        <v>0</v>
      </c>
      <c r="R1720" s="13">
        <v>26</v>
      </c>
      <c r="S1720" s="13">
        <v>2</v>
      </c>
      <c r="T1720" s="9">
        <v>0</v>
      </c>
      <c r="U1720" s="13">
        <v>61</v>
      </c>
      <c r="V1720" s="8" t="s">
        <v>31</v>
      </c>
      <c r="W1720" s="8"/>
      <c r="X1720" s="22">
        <f>IF(V1720="Yes",1,0)</f>
        <v>0</v>
      </c>
      <c r="Y1720" s="22">
        <f>IF(H1720="Active",0,1)</f>
        <v>0</v>
      </c>
    </row>
    <row r="1721" spans="1:25" ht="18" customHeight="1" x14ac:dyDescent="0.35">
      <c r="A1721" s="14" t="s">
        <v>802</v>
      </c>
      <c r="B1721" s="14" t="s">
        <v>274</v>
      </c>
      <c r="C1721" s="14" t="s">
        <v>34</v>
      </c>
      <c r="D1721" s="15">
        <v>52</v>
      </c>
      <c r="E1721" s="14" t="s">
        <v>2304</v>
      </c>
      <c r="F1721" s="14" t="s">
        <v>12</v>
      </c>
      <c r="G1721" s="16">
        <v>45385</v>
      </c>
      <c r="H1721" s="14" t="s">
        <v>54</v>
      </c>
      <c r="I1721" s="14" t="s">
        <v>2267</v>
      </c>
      <c r="J1721" s="14" t="s">
        <v>48</v>
      </c>
      <c r="K1721" s="14" t="s">
        <v>55</v>
      </c>
      <c r="L1721" s="14" t="s">
        <v>29</v>
      </c>
      <c r="M1721" s="14" t="s">
        <v>30</v>
      </c>
      <c r="N1721" s="17">
        <v>67808</v>
      </c>
      <c r="O1721" s="17">
        <v>40826</v>
      </c>
      <c r="P1721" s="18">
        <v>86.5</v>
      </c>
      <c r="Q1721" s="15">
        <v>1</v>
      </c>
      <c r="R1721" s="19">
        <v>4</v>
      </c>
      <c r="S1721" s="19">
        <v>1</v>
      </c>
      <c r="T1721" s="15">
        <v>12</v>
      </c>
      <c r="U1721" s="19">
        <v>74</v>
      </c>
      <c r="V1721" s="14" t="s">
        <v>31</v>
      </c>
      <c r="W1721" s="14" t="s">
        <v>123</v>
      </c>
      <c r="X1721" s="14">
        <f>IF(V1721="Yes",1,0)</f>
        <v>0</v>
      </c>
      <c r="Y1721" s="14">
        <f>IF(H1721="Active",0,1)</f>
        <v>1</v>
      </c>
    </row>
    <row r="1722" spans="1:25" ht="18" customHeight="1" x14ac:dyDescent="0.35">
      <c r="A1722" s="8" t="s">
        <v>882</v>
      </c>
      <c r="B1722" s="8" t="s">
        <v>341</v>
      </c>
      <c r="C1722" s="8" t="s">
        <v>34</v>
      </c>
      <c r="D1722" s="9">
        <v>52</v>
      </c>
      <c r="E1722" s="8" t="s">
        <v>63</v>
      </c>
      <c r="F1722" s="8" t="s">
        <v>35</v>
      </c>
      <c r="G1722" s="10">
        <v>45385</v>
      </c>
      <c r="H1722" s="8" t="s">
        <v>26</v>
      </c>
      <c r="I1722" s="8" t="s">
        <v>2267</v>
      </c>
      <c r="J1722" s="8" t="s">
        <v>2268</v>
      </c>
      <c r="K1722" s="8" t="s">
        <v>2271</v>
      </c>
      <c r="L1722" s="8" t="s">
        <v>49</v>
      </c>
      <c r="M1722" s="8" t="s">
        <v>45</v>
      </c>
      <c r="N1722" s="11">
        <v>150465</v>
      </c>
      <c r="O1722" s="11">
        <v>14829</v>
      </c>
      <c r="P1722" s="12">
        <v>99.9</v>
      </c>
      <c r="Q1722" s="9">
        <v>9</v>
      </c>
      <c r="R1722" s="13">
        <v>10</v>
      </c>
      <c r="S1722" s="13">
        <v>5</v>
      </c>
      <c r="T1722" s="9">
        <v>29</v>
      </c>
      <c r="U1722" s="13">
        <v>63</v>
      </c>
      <c r="V1722" s="8" t="s">
        <v>69</v>
      </c>
      <c r="W1722" s="8"/>
      <c r="X1722" s="22">
        <f>IF(V1722="Yes",1,0)</f>
        <v>1</v>
      </c>
      <c r="Y1722" s="22">
        <f>IF(H1722="Active",0,1)</f>
        <v>0</v>
      </c>
    </row>
    <row r="1723" spans="1:25" ht="18" customHeight="1" x14ac:dyDescent="0.35">
      <c r="A1723" s="8" t="s">
        <v>975</v>
      </c>
      <c r="B1723" s="8" t="s">
        <v>447</v>
      </c>
      <c r="C1723" s="8" t="s">
        <v>34</v>
      </c>
      <c r="D1723" s="9">
        <v>32</v>
      </c>
      <c r="E1723" s="8" t="s">
        <v>2304</v>
      </c>
      <c r="F1723" s="8" t="s">
        <v>72</v>
      </c>
      <c r="G1723" s="10">
        <v>45385</v>
      </c>
      <c r="H1723" s="8" t="s">
        <v>26</v>
      </c>
      <c r="I1723" s="8" t="s">
        <v>2267</v>
      </c>
      <c r="J1723" s="8" t="s">
        <v>2270</v>
      </c>
      <c r="K1723" s="8" t="s">
        <v>28</v>
      </c>
      <c r="L1723" s="8" t="s">
        <v>68</v>
      </c>
      <c r="M1723" s="8" t="s">
        <v>45</v>
      </c>
      <c r="N1723" s="11">
        <v>55633</v>
      </c>
      <c r="O1723" s="11">
        <v>31632</v>
      </c>
      <c r="P1723" s="12">
        <v>92.7</v>
      </c>
      <c r="Q1723" s="9">
        <v>9</v>
      </c>
      <c r="R1723" s="13">
        <v>27</v>
      </c>
      <c r="S1723" s="13">
        <v>5</v>
      </c>
      <c r="T1723" s="9">
        <v>4</v>
      </c>
      <c r="U1723" s="13">
        <v>96</v>
      </c>
      <c r="V1723" s="8" t="s">
        <v>31</v>
      </c>
      <c r="W1723" s="8"/>
      <c r="X1723" s="22">
        <f>IF(V1723="Yes",1,0)</f>
        <v>0</v>
      </c>
      <c r="Y1723" s="22">
        <f>IF(H1723="Active",0,1)</f>
        <v>0</v>
      </c>
    </row>
    <row r="1724" spans="1:25" ht="18" customHeight="1" x14ac:dyDescent="0.35">
      <c r="A1724" s="14" t="s">
        <v>1244</v>
      </c>
      <c r="B1724" s="14" t="s">
        <v>872</v>
      </c>
      <c r="C1724" s="14" t="s">
        <v>34</v>
      </c>
      <c r="D1724" s="15">
        <v>52</v>
      </c>
      <c r="E1724" s="14" t="s">
        <v>93</v>
      </c>
      <c r="F1724" s="14" t="s">
        <v>43</v>
      </c>
      <c r="G1724" s="16">
        <v>45385</v>
      </c>
      <c r="H1724" s="14" t="s">
        <v>26</v>
      </c>
      <c r="I1724" s="14" t="s">
        <v>2267</v>
      </c>
      <c r="J1724" s="14" t="s">
        <v>48</v>
      </c>
      <c r="K1724" s="14" t="s">
        <v>73</v>
      </c>
      <c r="L1724" s="14" t="s">
        <v>87</v>
      </c>
      <c r="M1724" s="14" t="s">
        <v>45</v>
      </c>
      <c r="N1724" s="17">
        <v>182555</v>
      </c>
      <c r="O1724" s="17">
        <v>41055</v>
      </c>
      <c r="P1724" s="18">
        <v>88.8</v>
      </c>
      <c r="Q1724" s="15">
        <v>0</v>
      </c>
      <c r="R1724" s="19">
        <v>17</v>
      </c>
      <c r="S1724" s="19">
        <v>3</v>
      </c>
      <c r="T1724" s="15">
        <v>5</v>
      </c>
      <c r="U1724" s="19">
        <v>76</v>
      </c>
      <c r="V1724" s="14" t="s">
        <v>31</v>
      </c>
      <c r="W1724" s="14"/>
      <c r="X1724" s="14">
        <f>IF(V1724="Yes",1,0)</f>
        <v>0</v>
      </c>
      <c r="Y1724" s="14">
        <f>IF(H1724="Active",0,1)</f>
        <v>0</v>
      </c>
    </row>
    <row r="1725" spans="1:25" ht="18" customHeight="1" x14ac:dyDescent="0.35">
      <c r="A1725" s="8" t="s">
        <v>2053</v>
      </c>
      <c r="B1725" s="8" t="s">
        <v>177</v>
      </c>
      <c r="C1725" s="8" t="s">
        <v>34</v>
      </c>
      <c r="D1725" s="9">
        <v>26</v>
      </c>
      <c r="E1725" s="8" t="s">
        <v>67</v>
      </c>
      <c r="F1725" s="8" t="s">
        <v>35</v>
      </c>
      <c r="G1725" s="10">
        <v>45385</v>
      </c>
      <c r="H1725" s="8" t="s">
        <v>26</v>
      </c>
      <c r="I1725" s="8" t="s">
        <v>2267</v>
      </c>
      <c r="J1725" s="8" t="s">
        <v>80</v>
      </c>
      <c r="K1725" s="8" t="s">
        <v>55</v>
      </c>
      <c r="L1725" s="8" t="s">
        <v>49</v>
      </c>
      <c r="M1725" s="8" t="s">
        <v>30</v>
      </c>
      <c r="N1725" s="11">
        <v>97778</v>
      </c>
      <c r="O1725" s="11">
        <v>33548</v>
      </c>
      <c r="P1725" s="12">
        <v>87.4</v>
      </c>
      <c r="Q1725" s="9">
        <v>1</v>
      </c>
      <c r="R1725" s="13">
        <v>10</v>
      </c>
      <c r="S1725" s="13">
        <v>2</v>
      </c>
      <c r="T1725" s="9">
        <v>19</v>
      </c>
      <c r="U1725" s="13">
        <v>61</v>
      </c>
      <c r="V1725" s="8" t="s">
        <v>31</v>
      </c>
      <c r="W1725" s="8"/>
      <c r="X1725" s="22">
        <f>IF(V1725="Yes",1,0)</f>
        <v>0</v>
      </c>
      <c r="Y1725" s="22">
        <f>IF(H1725="Active",0,1)</f>
        <v>0</v>
      </c>
    </row>
    <row r="1726" spans="1:25" ht="18" customHeight="1" x14ac:dyDescent="0.35">
      <c r="A1726" s="14" t="s">
        <v>343</v>
      </c>
      <c r="B1726" s="14" t="s">
        <v>344</v>
      </c>
      <c r="C1726" s="14" t="s">
        <v>25</v>
      </c>
      <c r="D1726" s="15">
        <v>38</v>
      </c>
      <c r="E1726" s="14" t="s">
        <v>42</v>
      </c>
      <c r="F1726" s="14" t="s">
        <v>12</v>
      </c>
      <c r="G1726" s="16">
        <v>45384</v>
      </c>
      <c r="H1726" s="14" t="s">
        <v>26</v>
      </c>
      <c r="I1726" s="14" t="s">
        <v>27</v>
      </c>
      <c r="J1726" s="14" t="s">
        <v>80</v>
      </c>
      <c r="K1726" s="14" t="s">
        <v>55</v>
      </c>
      <c r="L1726" s="14" t="s">
        <v>68</v>
      </c>
      <c r="M1726" s="14" t="s">
        <v>64</v>
      </c>
      <c r="N1726" s="17">
        <v>86266</v>
      </c>
      <c r="O1726" s="17">
        <v>25754</v>
      </c>
      <c r="P1726" s="18">
        <v>89.3</v>
      </c>
      <c r="Q1726" s="15">
        <v>0</v>
      </c>
      <c r="R1726" s="19">
        <v>3</v>
      </c>
      <c r="S1726" s="19">
        <v>4</v>
      </c>
      <c r="T1726" s="15">
        <v>10</v>
      </c>
      <c r="U1726" s="19">
        <v>90</v>
      </c>
      <c r="V1726" s="14" t="s">
        <v>31</v>
      </c>
      <c r="W1726" s="14"/>
      <c r="X1726" s="14">
        <f>IF(V1726="Yes",1,0)</f>
        <v>0</v>
      </c>
      <c r="Y1726" s="14">
        <f>IF(H1726="Active",0,1)</f>
        <v>0</v>
      </c>
    </row>
    <row r="1727" spans="1:25" ht="18" customHeight="1" x14ac:dyDescent="0.35">
      <c r="A1727" s="8" t="s">
        <v>1099</v>
      </c>
      <c r="B1727" s="8" t="s">
        <v>439</v>
      </c>
      <c r="C1727" s="8" t="s">
        <v>25</v>
      </c>
      <c r="D1727" s="9">
        <v>31</v>
      </c>
      <c r="E1727" s="8" t="s">
        <v>2303</v>
      </c>
      <c r="F1727" s="8" t="s">
        <v>12</v>
      </c>
      <c r="G1727" s="10">
        <v>45384</v>
      </c>
      <c r="H1727" s="8" t="s">
        <v>26</v>
      </c>
      <c r="I1727" s="8" t="s">
        <v>36</v>
      </c>
      <c r="J1727" s="8" t="s">
        <v>2268</v>
      </c>
      <c r="K1727" s="8" t="s">
        <v>2271</v>
      </c>
      <c r="L1727" s="8" t="s">
        <v>56</v>
      </c>
      <c r="M1727" s="8" t="s">
        <v>39</v>
      </c>
      <c r="N1727" s="11">
        <v>242975</v>
      </c>
      <c r="O1727" s="11">
        <v>39112</v>
      </c>
      <c r="P1727" s="12">
        <v>96.8</v>
      </c>
      <c r="Q1727" s="9">
        <v>10</v>
      </c>
      <c r="R1727" s="13">
        <v>25</v>
      </c>
      <c r="S1727" s="13">
        <v>3</v>
      </c>
      <c r="T1727" s="9">
        <v>39</v>
      </c>
      <c r="U1727" s="13">
        <v>88</v>
      </c>
      <c r="V1727" s="8" t="s">
        <v>31</v>
      </c>
      <c r="W1727" s="8"/>
      <c r="X1727" s="22">
        <f>IF(V1727="Yes",1,0)</f>
        <v>0</v>
      </c>
      <c r="Y1727" s="22">
        <f>IF(H1727="Active",0,1)</f>
        <v>0</v>
      </c>
    </row>
    <row r="1728" spans="1:25" ht="18" customHeight="1" x14ac:dyDescent="0.35">
      <c r="A1728" s="8" t="s">
        <v>1267</v>
      </c>
      <c r="B1728" s="8" t="s">
        <v>405</v>
      </c>
      <c r="C1728" s="8" t="s">
        <v>25</v>
      </c>
      <c r="D1728" s="9">
        <v>22</v>
      </c>
      <c r="E1728" s="8" t="s">
        <v>2303</v>
      </c>
      <c r="F1728" s="8" t="s">
        <v>35</v>
      </c>
      <c r="G1728" s="10">
        <v>45384</v>
      </c>
      <c r="H1728" s="8" t="s">
        <v>26</v>
      </c>
      <c r="I1728" s="8" t="s">
        <v>27</v>
      </c>
      <c r="J1728" s="8" t="s">
        <v>2269</v>
      </c>
      <c r="K1728" s="8" t="s">
        <v>28</v>
      </c>
      <c r="L1728" s="8" t="s">
        <v>29</v>
      </c>
      <c r="M1728" s="8" t="s">
        <v>64</v>
      </c>
      <c r="N1728" s="11">
        <v>67086</v>
      </c>
      <c r="O1728" s="11">
        <v>17598</v>
      </c>
      <c r="P1728" s="12">
        <v>89.5</v>
      </c>
      <c r="Q1728" s="9">
        <v>3</v>
      </c>
      <c r="R1728" s="13">
        <v>29</v>
      </c>
      <c r="S1728" s="13">
        <v>1</v>
      </c>
      <c r="T1728" s="9">
        <v>23</v>
      </c>
      <c r="U1728" s="13">
        <v>95</v>
      </c>
      <c r="V1728" s="8" t="s">
        <v>31</v>
      </c>
      <c r="W1728" s="8"/>
      <c r="X1728" s="22">
        <f>IF(V1728="Yes",1,0)</f>
        <v>0</v>
      </c>
      <c r="Y1728" s="22">
        <f>IF(H1728="Active",0,1)</f>
        <v>0</v>
      </c>
    </row>
    <row r="1729" spans="1:25" ht="18" customHeight="1" x14ac:dyDescent="0.35">
      <c r="A1729" s="14" t="s">
        <v>1426</v>
      </c>
      <c r="B1729" s="14" t="s">
        <v>195</v>
      </c>
      <c r="C1729" s="14" t="s">
        <v>34</v>
      </c>
      <c r="D1729" s="15">
        <v>53</v>
      </c>
      <c r="E1729" s="14" t="s">
        <v>86</v>
      </c>
      <c r="F1729" s="14" t="s">
        <v>53</v>
      </c>
      <c r="G1729" s="16">
        <v>45384</v>
      </c>
      <c r="H1729" s="14" t="s">
        <v>26</v>
      </c>
      <c r="I1729" s="14" t="s">
        <v>36</v>
      </c>
      <c r="J1729" s="14" t="s">
        <v>80</v>
      </c>
      <c r="K1729" s="14" t="s">
        <v>37</v>
      </c>
      <c r="L1729" s="14" t="s">
        <v>44</v>
      </c>
      <c r="M1729" s="14" t="s">
        <v>39</v>
      </c>
      <c r="N1729" s="17">
        <v>120662</v>
      </c>
      <c r="O1729" s="17">
        <v>45790</v>
      </c>
      <c r="P1729" s="18">
        <v>94.3</v>
      </c>
      <c r="Q1729" s="15">
        <v>0</v>
      </c>
      <c r="R1729" s="19">
        <v>6</v>
      </c>
      <c r="S1729" s="19">
        <v>5</v>
      </c>
      <c r="T1729" s="15">
        <v>35</v>
      </c>
      <c r="U1729" s="19">
        <v>66</v>
      </c>
      <c r="V1729" s="14" t="s">
        <v>31</v>
      </c>
      <c r="W1729" s="14"/>
      <c r="X1729" s="14">
        <f>IF(V1729="Yes",1,0)</f>
        <v>0</v>
      </c>
      <c r="Y1729" s="14">
        <f>IF(H1729="Active",0,1)</f>
        <v>0</v>
      </c>
    </row>
    <row r="1730" spans="1:25" ht="18" customHeight="1" x14ac:dyDescent="0.35">
      <c r="A1730" s="8" t="s">
        <v>1699</v>
      </c>
      <c r="B1730" s="8" t="s">
        <v>106</v>
      </c>
      <c r="C1730" s="8" t="s">
        <v>25</v>
      </c>
      <c r="D1730" s="9">
        <v>51</v>
      </c>
      <c r="E1730" s="8" t="s">
        <v>63</v>
      </c>
      <c r="F1730" s="8" t="s">
        <v>90</v>
      </c>
      <c r="G1730" s="10">
        <v>45384</v>
      </c>
      <c r="H1730" s="8" t="s">
        <v>26</v>
      </c>
      <c r="I1730" s="8" t="s">
        <v>27</v>
      </c>
      <c r="J1730" s="8" t="s">
        <v>80</v>
      </c>
      <c r="K1730" s="8" t="s">
        <v>37</v>
      </c>
      <c r="L1730" s="8" t="s">
        <v>56</v>
      </c>
      <c r="M1730" s="8" t="s">
        <v>64</v>
      </c>
      <c r="N1730" s="11">
        <v>214554</v>
      </c>
      <c r="O1730" s="11">
        <v>31736</v>
      </c>
      <c r="P1730" s="12">
        <v>93.5</v>
      </c>
      <c r="Q1730" s="9">
        <v>9</v>
      </c>
      <c r="R1730" s="13">
        <v>17</v>
      </c>
      <c r="S1730" s="13">
        <v>2</v>
      </c>
      <c r="T1730" s="9">
        <v>38</v>
      </c>
      <c r="U1730" s="13">
        <v>88</v>
      </c>
      <c r="V1730" s="8" t="s">
        <v>31</v>
      </c>
      <c r="W1730" s="8"/>
      <c r="X1730" s="22">
        <f>IF(V1730="Yes",1,0)</f>
        <v>0</v>
      </c>
      <c r="Y1730" s="22">
        <f>IF(H1730="Active",0,1)</f>
        <v>0</v>
      </c>
    </row>
    <row r="1731" spans="1:25" ht="18" customHeight="1" x14ac:dyDescent="0.35">
      <c r="A1731" s="14" t="s">
        <v>1900</v>
      </c>
      <c r="B1731" s="14" t="s">
        <v>329</v>
      </c>
      <c r="C1731" s="14" t="s">
        <v>34</v>
      </c>
      <c r="D1731" s="15">
        <v>40</v>
      </c>
      <c r="E1731" s="14" t="s">
        <v>42</v>
      </c>
      <c r="F1731" s="14" t="s">
        <v>35</v>
      </c>
      <c r="G1731" s="16">
        <v>45384</v>
      </c>
      <c r="H1731" s="14" t="s">
        <v>26</v>
      </c>
      <c r="I1731" s="14" t="s">
        <v>2267</v>
      </c>
      <c r="J1731" s="14" t="s">
        <v>2268</v>
      </c>
      <c r="K1731" s="14" t="s">
        <v>55</v>
      </c>
      <c r="L1731" s="14" t="s">
        <v>87</v>
      </c>
      <c r="M1731" s="14" t="s">
        <v>60</v>
      </c>
      <c r="N1731" s="17">
        <v>117215</v>
      </c>
      <c r="O1731" s="17">
        <v>5759</v>
      </c>
      <c r="P1731" s="18">
        <v>91.3</v>
      </c>
      <c r="Q1731" s="15">
        <v>8</v>
      </c>
      <c r="R1731" s="19">
        <v>29</v>
      </c>
      <c r="S1731" s="19">
        <v>5</v>
      </c>
      <c r="T1731" s="15">
        <v>38</v>
      </c>
      <c r="U1731" s="19">
        <v>68</v>
      </c>
      <c r="V1731" s="14" t="s">
        <v>31</v>
      </c>
      <c r="W1731" s="14"/>
      <c r="X1731" s="14">
        <f>IF(V1731="Yes",1,0)</f>
        <v>0</v>
      </c>
      <c r="Y1731" s="14">
        <f>IF(H1731="Active",0,1)</f>
        <v>0</v>
      </c>
    </row>
    <row r="1732" spans="1:25" ht="18" customHeight="1" x14ac:dyDescent="0.35">
      <c r="A1732" s="8" t="s">
        <v>1979</v>
      </c>
      <c r="B1732" s="8" t="s">
        <v>285</v>
      </c>
      <c r="C1732" s="8" t="s">
        <v>34</v>
      </c>
      <c r="D1732" s="9">
        <v>54</v>
      </c>
      <c r="E1732" s="8" t="s">
        <v>109</v>
      </c>
      <c r="F1732" s="8" t="s">
        <v>35</v>
      </c>
      <c r="G1732" s="10">
        <v>45384</v>
      </c>
      <c r="H1732" s="8" t="s">
        <v>26</v>
      </c>
      <c r="I1732" s="8" t="s">
        <v>2267</v>
      </c>
      <c r="J1732" s="8" t="s">
        <v>2268</v>
      </c>
      <c r="K1732" s="8" t="s">
        <v>28</v>
      </c>
      <c r="L1732" s="8" t="s">
        <v>56</v>
      </c>
      <c r="M1732" s="8" t="s">
        <v>60</v>
      </c>
      <c r="N1732" s="11">
        <v>105740</v>
      </c>
      <c r="O1732" s="11">
        <v>36375</v>
      </c>
      <c r="P1732" s="12">
        <v>89.9</v>
      </c>
      <c r="Q1732" s="9">
        <v>2</v>
      </c>
      <c r="R1732" s="13">
        <v>3</v>
      </c>
      <c r="S1732" s="13">
        <v>2</v>
      </c>
      <c r="T1732" s="9">
        <v>4</v>
      </c>
      <c r="U1732" s="13">
        <v>90</v>
      </c>
      <c r="V1732" s="8" t="s">
        <v>31</v>
      </c>
      <c r="W1732" s="8"/>
      <c r="X1732" s="22">
        <f>IF(V1732="Yes",1,0)</f>
        <v>0</v>
      </c>
      <c r="Y1732" s="22">
        <f>IF(H1732="Active",0,1)</f>
        <v>0</v>
      </c>
    </row>
    <row r="1733" spans="1:25" ht="18" customHeight="1" x14ac:dyDescent="0.35">
      <c r="A1733" s="8" t="s">
        <v>159</v>
      </c>
      <c r="B1733" s="8" t="s">
        <v>160</v>
      </c>
      <c r="C1733" s="8" t="s">
        <v>34</v>
      </c>
      <c r="D1733" s="9">
        <v>44</v>
      </c>
      <c r="E1733" s="8" t="s">
        <v>109</v>
      </c>
      <c r="F1733" s="8" t="s">
        <v>79</v>
      </c>
      <c r="G1733" s="10">
        <v>45383</v>
      </c>
      <c r="H1733" s="8" t="s">
        <v>26</v>
      </c>
      <c r="I1733" s="8" t="s">
        <v>27</v>
      </c>
      <c r="J1733" s="8" t="s">
        <v>2270</v>
      </c>
      <c r="K1733" s="8" t="s">
        <v>28</v>
      </c>
      <c r="L1733" s="8" t="s">
        <v>116</v>
      </c>
      <c r="M1733" s="8" t="s">
        <v>45</v>
      </c>
      <c r="N1733" s="11">
        <v>110586</v>
      </c>
      <c r="O1733" s="11">
        <v>27656</v>
      </c>
      <c r="P1733" s="12">
        <v>86.3</v>
      </c>
      <c r="Q1733" s="9">
        <v>3</v>
      </c>
      <c r="R1733" s="13">
        <v>6</v>
      </c>
      <c r="S1733" s="13">
        <v>2</v>
      </c>
      <c r="T1733" s="9">
        <v>36</v>
      </c>
      <c r="U1733" s="13">
        <v>85</v>
      </c>
      <c r="V1733" s="8" t="s">
        <v>31</v>
      </c>
      <c r="W1733" s="8"/>
      <c r="X1733" s="22">
        <f>IF(V1733="Yes",1,0)</f>
        <v>0</v>
      </c>
      <c r="Y1733" s="22">
        <f>IF(H1733="Active",0,1)</f>
        <v>0</v>
      </c>
    </row>
    <row r="1734" spans="1:25" ht="18" customHeight="1" x14ac:dyDescent="0.35">
      <c r="A1734" s="8" t="s">
        <v>474</v>
      </c>
      <c r="B1734" s="8" t="s">
        <v>475</v>
      </c>
      <c r="C1734" s="8" t="s">
        <v>25</v>
      </c>
      <c r="D1734" s="9">
        <v>24</v>
      </c>
      <c r="E1734" s="8" t="s">
        <v>93</v>
      </c>
      <c r="F1734" s="8" t="s">
        <v>72</v>
      </c>
      <c r="G1734" s="10">
        <v>45383</v>
      </c>
      <c r="H1734" s="8" t="s">
        <v>26</v>
      </c>
      <c r="I1734" s="8" t="s">
        <v>36</v>
      </c>
      <c r="J1734" s="8" t="s">
        <v>2270</v>
      </c>
      <c r="K1734" s="8" t="s">
        <v>55</v>
      </c>
      <c r="L1734" s="8" t="s">
        <v>49</v>
      </c>
      <c r="M1734" s="8" t="s">
        <v>64</v>
      </c>
      <c r="N1734" s="11">
        <v>86526</v>
      </c>
      <c r="O1734" s="11">
        <v>49409</v>
      </c>
      <c r="P1734" s="12">
        <v>87.9</v>
      </c>
      <c r="Q1734" s="9">
        <v>9</v>
      </c>
      <c r="R1734" s="13">
        <v>17</v>
      </c>
      <c r="S1734" s="13">
        <v>3</v>
      </c>
      <c r="T1734" s="9">
        <v>2</v>
      </c>
      <c r="U1734" s="13">
        <v>87</v>
      </c>
      <c r="V1734" s="8" t="s">
        <v>31</v>
      </c>
      <c r="W1734" s="8"/>
      <c r="X1734" s="22">
        <f>IF(V1734="Yes",1,0)</f>
        <v>0</v>
      </c>
      <c r="Y1734" s="22">
        <f>IF(H1734="Active",0,1)</f>
        <v>0</v>
      </c>
    </row>
    <row r="1735" spans="1:25" ht="18" customHeight="1" x14ac:dyDescent="0.35">
      <c r="A1735" s="8" t="s">
        <v>824</v>
      </c>
      <c r="B1735" s="8" t="s">
        <v>461</v>
      </c>
      <c r="C1735" s="8" t="s">
        <v>34</v>
      </c>
      <c r="D1735" s="9">
        <v>35</v>
      </c>
      <c r="E1735" s="8" t="s">
        <v>67</v>
      </c>
      <c r="F1735" s="8" t="s">
        <v>76</v>
      </c>
      <c r="G1735" s="10">
        <v>45383</v>
      </c>
      <c r="H1735" s="8" t="s">
        <v>26</v>
      </c>
      <c r="I1735" s="8" t="s">
        <v>36</v>
      </c>
      <c r="J1735" s="8" t="s">
        <v>48</v>
      </c>
      <c r="K1735" s="8" t="s">
        <v>2271</v>
      </c>
      <c r="L1735" s="8" t="s">
        <v>56</v>
      </c>
      <c r="M1735" s="8" t="s">
        <v>60</v>
      </c>
      <c r="N1735" s="11">
        <v>40743</v>
      </c>
      <c r="O1735" s="11">
        <v>19014</v>
      </c>
      <c r="P1735" s="12">
        <v>84.9</v>
      </c>
      <c r="Q1735" s="9">
        <v>2</v>
      </c>
      <c r="R1735" s="13">
        <v>1</v>
      </c>
      <c r="S1735" s="13">
        <v>5</v>
      </c>
      <c r="T1735" s="9">
        <v>24</v>
      </c>
      <c r="U1735" s="13">
        <v>70</v>
      </c>
      <c r="V1735" s="8" t="s">
        <v>31</v>
      </c>
      <c r="W1735" s="8"/>
      <c r="X1735" s="22">
        <f>IF(V1735="Yes",1,0)</f>
        <v>0</v>
      </c>
      <c r="Y1735" s="22">
        <f>IF(H1735="Active",0,1)</f>
        <v>0</v>
      </c>
    </row>
    <row r="1736" spans="1:25" ht="18" customHeight="1" x14ac:dyDescent="0.35">
      <c r="A1736" s="14" t="s">
        <v>1414</v>
      </c>
      <c r="B1736" s="14" t="s">
        <v>540</v>
      </c>
      <c r="C1736" s="14" t="s">
        <v>34</v>
      </c>
      <c r="D1736" s="15">
        <v>39</v>
      </c>
      <c r="E1736" s="14" t="s">
        <v>93</v>
      </c>
      <c r="F1736" s="14" t="s">
        <v>72</v>
      </c>
      <c r="G1736" s="16">
        <v>45383</v>
      </c>
      <c r="H1736" s="14" t="s">
        <v>26</v>
      </c>
      <c r="I1736" s="14" t="s">
        <v>27</v>
      </c>
      <c r="J1736" s="14" t="s">
        <v>2270</v>
      </c>
      <c r="K1736" s="14" t="s">
        <v>28</v>
      </c>
      <c r="L1736" s="14" t="s">
        <v>29</v>
      </c>
      <c r="M1736" s="14" t="s">
        <v>45</v>
      </c>
      <c r="N1736" s="17">
        <v>69191</v>
      </c>
      <c r="O1736" s="17">
        <v>24011</v>
      </c>
      <c r="P1736" s="18">
        <v>94.7</v>
      </c>
      <c r="Q1736" s="15">
        <v>8</v>
      </c>
      <c r="R1736" s="19">
        <v>8</v>
      </c>
      <c r="S1736" s="19">
        <v>5</v>
      </c>
      <c r="T1736" s="15">
        <v>38</v>
      </c>
      <c r="U1736" s="19">
        <v>95</v>
      </c>
      <c r="V1736" s="14" t="s">
        <v>69</v>
      </c>
      <c r="W1736" s="14"/>
      <c r="X1736" s="14">
        <f>IF(V1736="Yes",1,0)</f>
        <v>1</v>
      </c>
      <c r="Y1736" s="14">
        <f>IF(H1736="Active",0,1)</f>
        <v>0</v>
      </c>
    </row>
    <row r="1737" spans="1:25" ht="18" customHeight="1" x14ac:dyDescent="0.35">
      <c r="A1737" s="8" t="s">
        <v>1449</v>
      </c>
      <c r="B1737" s="8" t="s">
        <v>815</v>
      </c>
      <c r="C1737" s="8" t="s">
        <v>25</v>
      </c>
      <c r="D1737" s="9">
        <v>29</v>
      </c>
      <c r="E1737" s="8" t="s">
        <v>67</v>
      </c>
      <c r="F1737" s="8" t="s">
        <v>76</v>
      </c>
      <c r="G1737" s="10">
        <v>45383</v>
      </c>
      <c r="H1737" s="8" t="s">
        <v>26</v>
      </c>
      <c r="I1737" s="8" t="s">
        <v>2267</v>
      </c>
      <c r="J1737" s="8" t="s">
        <v>2268</v>
      </c>
      <c r="K1737" s="8" t="s">
        <v>28</v>
      </c>
      <c r="L1737" s="8" t="s">
        <v>68</v>
      </c>
      <c r="M1737" s="8" t="s">
        <v>45</v>
      </c>
      <c r="N1737" s="11">
        <v>76559</v>
      </c>
      <c r="O1737" s="11">
        <v>12529</v>
      </c>
      <c r="P1737" s="12">
        <v>86.6</v>
      </c>
      <c r="Q1737" s="9">
        <v>10</v>
      </c>
      <c r="R1737" s="13">
        <v>27</v>
      </c>
      <c r="S1737" s="13">
        <v>4</v>
      </c>
      <c r="T1737" s="9">
        <v>9</v>
      </c>
      <c r="U1737" s="13">
        <v>77</v>
      </c>
      <c r="V1737" s="8" t="s">
        <v>31</v>
      </c>
      <c r="W1737" s="8"/>
      <c r="X1737" s="22">
        <f>IF(V1737="Yes",1,0)</f>
        <v>0</v>
      </c>
      <c r="Y1737" s="22">
        <f>IF(H1737="Active",0,1)</f>
        <v>0</v>
      </c>
    </row>
    <row r="1738" spans="1:25" ht="18" customHeight="1" x14ac:dyDescent="0.35">
      <c r="A1738" s="14" t="s">
        <v>1662</v>
      </c>
      <c r="B1738" s="14" t="s">
        <v>318</v>
      </c>
      <c r="C1738" s="14" t="s">
        <v>34</v>
      </c>
      <c r="D1738" s="15">
        <v>33</v>
      </c>
      <c r="E1738" s="14" t="s">
        <v>86</v>
      </c>
      <c r="F1738" s="14" t="s">
        <v>43</v>
      </c>
      <c r="G1738" s="16">
        <v>45383</v>
      </c>
      <c r="H1738" s="14" t="s">
        <v>26</v>
      </c>
      <c r="I1738" s="14" t="s">
        <v>27</v>
      </c>
      <c r="J1738" s="14" t="s">
        <v>2269</v>
      </c>
      <c r="K1738" s="14" t="s">
        <v>55</v>
      </c>
      <c r="L1738" s="14" t="s">
        <v>49</v>
      </c>
      <c r="M1738" s="14" t="s">
        <v>30</v>
      </c>
      <c r="N1738" s="17">
        <v>61712</v>
      </c>
      <c r="O1738" s="17">
        <v>32629</v>
      </c>
      <c r="P1738" s="18">
        <v>99.8</v>
      </c>
      <c r="Q1738" s="15">
        <v>10</v>
      </c>
      <c r="R1738" s="19">
        <v>3</v>
      </c>
      <c r="S1738" s="19">
        <v>4</v>
      </c>
      <c r="T1738" s="15">
        <v>5</v>
      </c>
      <c r="U1738" s="19">
        <v>73</v>
      </c>
      <c r="V1738" s="14" t="s">
        <v>31</v>
      </c>
      <c r="W1738" s="14"/>
      <c r="X1738" s="14">
        <f>IF(V1738="Yes",1,0)</f>
        <v>0</v>
      </c>
      <c r="Y1738" s="14">
        <f>IF(H1738="Active",0,1)</f>
        <v>0</v>
      </c>
    </row>
    <row r="1739" spans="1:25" ht="18" customHeight="1" x14ac:dyDescent="0.35">
      <c r="A1739" s="14" t="s">
        <v>1668</v>
      </c>
      <c r="B1739" s="14" t="s">
        <v>443</v>
      </c>
      <c r="C1739" s="14" t="s">
        <v>34</v>
      </c>
      <c r="D1739" s="15">
        <v>41</v>
      </c>
      <c r="E1739" s="14" t="s">
        <v>42</v>
      </c>
      <c r="F1739" s="14" t="s">
        <v>35</v>
      </c>
      <c r="G1739" s="16">
        <v>45383</v>
      </c>
      <c r="H1739" s="14" t="s">
        <v>26</v>
      </c>
      <c r="I1739" s="14" t="s">
        <v>27</v>
      </c>
      <c r="J1739" s="14" t="s">
        <v>2270</v>
      </c>
      <c r="K1739" s="14" t="s">
        <v>73</v>
      </c>
      <c r="L1739" s="14" t="s">
        <v>87</v>
      </c>
      <c r="M1739" s="14" t="s">
        <v>45</v>
      </c>
      <c r="N1739" s="17">
        <v>140179</v>
      </c>
      <c r="O1739" s="17">
        <v>19107</v>
      </c>
      <c r="P1739" s="18">
        <v>99.9</v>
      </c>
      <c r="Q1739" s="15">
        <v>1</v>
      </c>
      <c r="R1739" s="19">
        <v>30</v>
      </c>
      <c r="S1739" s="19">
        <v>4</v>
      </c>
      <c r="T1739" s="15">
        <v>40</v>
      </c>
      <c r="U1739" s="19">
        <v>97</v>
      </c>
      <c r="V1739" s="14" t="s">
        <v>31</v>
      </c>
      <c r="W1739" s="14"/>
      <c r="X1739" s="14">
        <f>IF(V1739="Yes",1,0)</f>
        <v>0</v>
      </c>
      <c r="Y1739" s="14">
        <f>IF(H1739="Active",0,1)</f>
        <v>0</v>
      </c>
    </row>
    <row r="1740" spans="1:25" ht="18" customHeight="1" x14ac:dyDescent="0.35">
      <c r="A1740" s="14" t="s">
        <v>194</v>
      </c>
      <c r="B1740" s="14" t="s">
        <v>195</v>
      </c>
      <c r="C1740" s="14" t="s">
        <v>34</v>
      </c>
      <c r="D1740" s="15">
        <v>51</v>
      </c>
      <c r="E1740" s="14" t="s">
        <v>67</v>
      </c>
      <c r="F1740" s="14" t="s">
        <v>76</v>
      </c>
      <c r="G1740" s="16">
        <v>45382</v>
      </c>
      <c r="H1740" s="14" t="s">
        <v>26</v>
      </c>
      <c r="I1740" s="14" t="s">
        <v>36</v>
      </c>
      <c r="J1740" s="14" t="s">
        <v>2268</v>
      </c>
      <c r="K1740" s="14" t="s">
        <v>37</v>
      </c>
      <c r="L1740" s="14" t="s">
        <v>116</v>
      </c>
      <c r="M1740" s="14" t="s">
        <v>60</v>
      </c>
      <c r="N1740" s="17">
        <v>244483</v>
      </c>
      <c r="O1740" s="17">
        <v>22983</v>
      </c>
      <c r="P1740" s="18">
        <v>87.6</v>
      </c>
      <c r="Q1740" s="15">
        <v>3</v>
      </c>
      <c r="R1740" s="19">
        <v>10</v>
      </c>
      <c r="S1740" s="19">
        <v>3</v>
      </c>
      <c r="T1740" s="15">
        <v>5</v>
      </c>
      <c r="U1740" s="19">
        <v>90</v>
      </c>
      <c r="V1740" s="14" t="s">
        <v>31</v>
      </c>
      <c r="W1740" s="14"/>
      <c r="X1740" s="14">
        <f>IF(V1740="Yes",1,0)</f>
        <v>0</v>
      </c>
      <c r="Y1740" s="14">
        <f>IF(H1740="Active",0,1)</f>
        <v>0</v>
      </c>
    </row>
    <row r="1741" spans="1:25" ht="18" customHeight="1" x14ac:dyDescent="0.35">
      <c r="A1741" s="14" t="s">
        <v>893</v>
      </c>
      <c r="B1741" s="14" t="s">
        <v>230</v>
      </c>
      <c r="C1741" s="14" t="s">
        <v>34</v>
      </c>
      <c r="D1741" s="15">
        <v>29</v>
      </c>
      <c r="E1741" s="14" t="s">
        <v>109</v>
      </c>
      <c r="F1741" s="14" t="s">
        <v>72</v>
      </c>
      <c r="G1741" s="16">
        <v>45382</v>
      </c>
      <c r="H1741" s="14" t="s">
        <v>26</v>
      </c>
      <c r="I1741" s="14" t="s">
        <v>2267</v>
      </c>
      <c r="J1741" s="14" t="s">
        <v>2268</v>
      </c>
      <c r="K1741" s="14" t="s">
        <v>2271</v>
      </c>
      <c r="L1741" s="14" t="s">
        <v>116</v>
      </c>
      <c r="M1741" s="14" t="s">
        <v>30</v>
      </c>
      <c r="N1741" s="17">
        <v>120339</v>
      </c>
      <c r="O1741" s="17">
        <v>40573</v>
      </c>
      <c r="P1741" s="18">
        <v>97.9</v>
      </c>
      <c r="Q1741" s="15">
        <v>10</v>
      </c>
      <c r="R1741" s="19">
        <v>7</v>
      </c>
      <c r="S1741" s="19">
        <v>3</v>
      </c>
      <c r="T1741" s="15">
        <v>14</v>
      </c>
      <c r="U1741" s="19">
        <v>88</v>
      </c>
      <c r="V1741" s="14" t="s">
        <v>31</v>
      </c>
      <c r="W1741" s="14"/>
      <c r="X1741" s="14">
        <f>IF(V1741="Yes",1,0)</f>
        <v>0</v>
      </c>
      <c r="Y1741" s="14">
        <f>IF(H1741="Active",0,1)</f>
        <v>0</v>
      </c>
    </row>
    <row r="1742" spans="1:25" ht="18" customHeight="1" x14ac:dyDescent="0.35">
      <c r="A1742" s="8" t="s">
        <v>2001</v>
      </c>
      <c r="B1742" s="8" t="s">
        <v>140</v>
      </c>
      <c r="C1742" s="8" t="s">
        <v>34</v>
      </c>
      <c r="D1742" s="9">
        <v>44</v>
      </c>
      <c r="E1742" s="8" t="s">
        <v>52</v>
      </c>
      <c r="F1742" s="8" t="s">
        <v>90</v>
      </c>
      <c r="G1742" s="10">
        <v>45382</v>
      </c>
      <c r="H1742" s="8" t="s">
        <v>54</v>
      </c>
      <c r="I1742" s="8" t="s">
        <v>2267</v>
      </c>
      <c r="J1742" s="8" t="s">
        <v>48</v>
      </c>
      <c r="K1742" s="8" t="s">
        <v>2271</v>
      </c>
      <c r="L1742" s="8" t="s">
        <v>38</v>
      </c>
      <c r="M1742" s="8" t="s">
        <v>60</v>
      </c>
      <c r="N1742" s="11">
        <v>192600</v>
      </c>
      <c r="O1742" s="11">
        <v>41507</v>
      </c>
      <c r="P1742" s="12">
        <v>93.1</v>
      </c>
      <c r="Q1742" s="9">
        <v>10</v>
      </c>
      <c r="R1742" s="13">
        <v>14</v>
      </c>
      <c r="S1742" s="13">
        <v>1</v>
      </c>
      <c r="T1742" s="9">
        <v>29</v>
      </c>
      <c r="U1742" s="13">
        <v>90</v>
      </c>
      <c r="V1742" s="8" t="s">
        <v>31</v>
      </c>
      <c r="W1742" s="8" t="s">
        <v>83</v>
      </c>
      <c r="X1742" s="22">
        <f>IF(V1742="Yes",1,0)</f>
        <v>0</v>
      </c>
      <c r="Y1742" s="22">
        <f>IF(H1742="Active",0,1)</f>
        <v>1</v>
      </c>
    </row>
    <row r="1743" spans="1:25" ht="18" customHeight="1" x14ac:dyDescent="0.35">
      <c r="A1743" s="14" t="s">
        <v>811</v>
      </c>
      <c r="B1743" s="14" t="s">
        <v>471</v>
      </c>
      <c r="C1743" s="14" t="s">
        <v>25</v>
      </c>
      <c r="D1743" s="15">
        <v>23</v>
      </c>
      <c r="E1743" s="14" t="s">
        <v>2304</v>
      </c>
      <c r="F1743" s="14" t="s">
        <v>35</v>
      </c>
      <c r="G1743" s="16">
        <v>45381</v>
      </c>
      <c r="H1743" s="14" t="s">
        <v>26</v>
      </c>
      <c r="I1743" s="14" t="s">
        <v>27</v>
      </c>
      <c r="J1743" s="14" t="s">
        <v>2269</v>
      </c>
      <c r="K1743" s="14" t="s">
        <v>55</v>
      </c>
      <c r="L1743" s="14" t="s">
        <v>38</v>
      </c>
      <c r="M1743" s="14" t="s">
        <v>60</v>
      </c>
      <c r="N1743" s="17">
        <v>97785</v>
      </c>
      <c r="O1743" s="17">
        <v>47538</v>
      </c>
      <c r="P1743" s="18">
        <v>98.8</v>
      </c>
      <c r="Q1743" s="15">
        <v>4</v>
      </c>
      <c r="R1743" s="19">
        <v>9</v>
      </c>
      <c r="S1743" s="19">
        <v>4</v>
      </c>
      <c r="T1743" s="15">
        <v>2</v>
      </c>
      <c r="U1743" s="19">
        <v>62</v>
      </c>
      <c r="V1743" s="14" t="s">
        <v>31</v>
      </c>
      <c r="W1743" s="14"/>
      <c r="X1743" s="14">
        <f>IF(V1743="Yes",1,0)</f>
        <v>0</v>
      </c>
      <c r="Y1743" s="14">
        <f>IF(H1743="Active",0,1)</f>
        <v>0</v>
      </c>
    </row>
    <row r="1744" spans="1:25" ht="18" customHeight="1" x14ac:dyDescent="0.35">
      <c r="A1744" s="14" t="s">
        <v>1914</v>
      </c>
      <c r="B1744" s="14" t="s">
        <v>386</v>
      </c>
      <c r="C1744" s="14" t="s">
        <v>34</v>
      </c>
      <c r="D1744" s="15">
        <v>43</v>
      </c>
      <c r="E1744" s="14" t="s">
        <v>2303</v>
      </c>
      <c r="F1744" s="14" t="s">
        <v>12</v>
      </c>
      <c r="G1744" s="16">
        <v>45381</v>
      </c>
      <c r="H1744" s="14" t="s">
        <v>26</v>
      </c>
      <c r="I1744" s="14" t="s">
        <v>27</v>
      </c>
      <c r="J1744" s="14" t="s">
        <v>48</v>
      </c>
      <c r="K1744" s="14" t="s">
        <v>2271</v>
      </c>
      <c r="L1744" s="14" t="s">
        <v>38</v>
      </c>
      <c r="M1744" s="14" t="s">
        <v>39</v>
      </c>
      <c r="N1744" s="17">
        <v>71443</v>
      </c>
      <c r="O1744" s="17">
        <v>47743</v>
      </c>
      <c r="P1744" s="18">
        <v>97.1</v>
      </c>
      <c r="Q1744" s="15">
        <v>3</v>
      </c>
      <c r="R1744" s="19">
        <v>4</v>
      </c>
      <c r="S1744" s="19">
        <v>1</v>
      </c>
      <c r="T1744" s="15">
        <v>7</v>
      </c>
      <c r="U1744" s="19">
        <v>99</v>
      </c>
      <c r="V1744" s="14" t="s">
        <v>31</v>
      </c>
      <c r="W1744" s="14"/>
      <c r="X1744" s="14">
        <f>IF(V1744="Yes",1,0)</f>
        <v>0</v>
      </c>
      <c r="Y1744" s="14">
        <f>IF(H1744="Active",0,1)</f>
        <v>0</v>
      </c>
    </row>
    <row r="1745" spans="1:25" ht="18" customHeight="1" x14ac:dyDescent="0.35">
      <c r="A1745" s="14" t="s">
        <v>2024</v>
      </c>
      <c r="B1745" s="14" t="s">
        <v>806</v>
      </c>
      <c r="C1745" s="14" t="s">
        <v>34</v>
      </c>
      <c r="D1745" s="15">
        <v>43</v>
      </c>
      <c r="E1745" s="14" t="s">
        <v>67</v>
      </c>
      <c r="F1745" s="14" t="s">
        <v>79</v>
      </c>
      <c r="G1745" s="16">
        <v>45381</v>
      </c>
      <c r="H1745" s="14" t="s">
        <v>26</v>
      </c>
      <c r="I1745" s="14" t="s">
        <v>36</v>
      </c>
      <c r="J1745" s="14" t="s">
        <v>2268</v>
      </c>
      <c r="K1745" s="14" t="s">
        <v>73</v>
      </c>
      <c r="L1745" s="14" t="s">
        <v>29</v>
      </c>
      <c r="M1745" s="14" t="s">
        <v>60</v>
      </c>
      <c r="N1745" s="17">
        <v>74516</v>
      </c>
      <c r="O1745" s="17">
        <v>43869</v>
      </c>
      <c r="P1745" s="18">
        <v>91.5</v>
      </c>
      <c r="Q1745" s="15">
        <v>10</v>
      </c>
      <c r="R1745" s="19">
        <v>19</v>
      </c>
      <c r="S1745" s="19">
        <v>5</v>
      </c>
      <c r="T1745" s="15">
        <v>26</v>
      </c>
      <c r="U1745" s="19">
        <v>100</v>
      </c>
      <c r="V1745" s="14" t="s">
        <v>69</v>
      </c>
      <c r="W1745" s="14"/>
      <c r="X1745" s="14">
        <f>IF(V1745="Yes",1,0)</f>
        <v>1</v>
      </c>
      <c r="Y1745" s="14">
        <f>IF(H1745="Active",0,1)</f>
        <v>0</v>
      </c>
    </row>
    <row r="1746" spans="1:25" ht="18" customHeight="1" x14ac:dyDescent="0.35">
      <c r="A1746" s="14" t="s">
        <v>2254</v>
      </c>
      <c r="B1746" s="14" t="s">
        <v>341</v>
      </c>
      <c r="C1746" s="14" t="s">
        <v>25</v>
      </c>
      <c r="D1746" s="15">
        <v>60</v>
      </c>
      <c r="E1746" s="14" t="s">
        <v>63</v>
      </c>
      <c r="F1746" s="14" t="s">
        <v>43</v>
      </c>
      <c r="G1746" s="16">
        <v>45381</v>
      </c>
      <c r="H1746" s="14" t="s">
        <v>26</v>
      </c>
      <c r="I1746" s="14" t="s">
        <v>2267</v>
      </c>
      <c r="J1746" s="14" t="s">
        <v>2270</v>
      </c>
      <c r="K1746" s="14" t="s">
        <v>37</v>
      </c>
      <c r="L1746" s="14" t="s">
        <v>38</v>
      </c>
      <c r="M1746" s="14" t="s">
        <v>60</v>
      </c>
      <c r="N1746" s="17">
        <v>110416</v>
      </c>
      <c r="O1746" s="17">
        <v>10444</v>
      </c>
      <c r="P1746" s="18">
        <v>86.7</v>
      </c>
      <c r="Q1746" s="15">
        <v>2</v>
      </c>
      <c r="R1746" s="19">
        <v>28</v>
      </c>
      <c r="S1746" s="19">
        <v>3</v>
      </c>
      <c r="T1746" s="15">
        <v>10</v>
      </c>
      <c r="U1746" s="19">
        <v>90</v>
      </c>
      <c r="V1746" s="14" t="s">
        <v>31</v>
      </c>
      <c r="W1746" s="14"/>
      <c r="X1746" s="14">
        <f>IF(V1746="Yes",1,0)</f>
        <v>0</v>
      </c>
      <c r="Y1746" s="14">
        <f>IF(H1746="Active",0,1)</f>
        <v>0</v>
      </c>
    </row>
    <row r="1747" spans="1:25" ht="18" customHeight="1" x14ac:dyDescent="0.35">
      <c r="A1747" s="14" t="s">
        <v>264</v>
      </c>
      <c r="B1747" s="14" t="s">
        <v>265</v>
      </c>
      <c r="C1747" s="14" t="s">
        <v>25</v>
      </c>
      <c r="D1747" s="15">
        <v>38</v>
      </c>
      <c r="E1747" s="14" t="s">
        <v>52</v>
      </c>
      <c r="F1747" s="14" t="s">
        <v>12</v>
      </c>
      <c r="G1747" s="16">
        <v>45380</v>
      </c>
      <c r="H1747" s="14" t="s">
        <v>26</v>
      </c>
      <c r="I1747" s="14" t="s">
        <v>2267</v>
      </c>
      <c r="J1747" s="14" t="s">
        <v>2269</v>
      </c>
      <c r="K1747" s="14" t="s">
        <v>37</v>
      </c>
      <c r="L1747" s="14" t="s">
        <v>29</v>
      </c>
      <c r="M1747" s="14" t="s">
        <v>30</v>
      </c>
      <c r="N1747" s="17">
        <v>70337</v>
      </c>
      <c r="O1747" s="17">
        <v>10556</v>
      </c>
      <c r="P1747" s="18">
        <v>98.9</v>
      </c>
      <c r="Q1747" s="15">
        <v>4</v>
      </c>
      <c r="R1747" s="19">
        <v>2</v>
      </c>
      <c r="S1747" s="19">
        <v>4</v>
      </c>
      <c r="T1747" s="15">
        <v>5</v>
      </c>
      <c r="U1747" s="19">
        <v>63</v>
      </c>
      <c r="V1747" s="14" t="s">
        <v>31</v>
      </c>
      <c r="W1747" s="14"/>
      <c r="X1747" s="14">
        <f>IF(V1747="Yes",1,0)</f>
        <v>0</v>
      </c>
      <c r="Y1747" s="14">
        <f>IF(H1747="Active",0,1)</f>
        <v>0</v>
      </c>
    </row>
    <row r="1748" spans="1:25" ht="18" customHeight="1" x14ac:dyDescent="0.35">
      <c r="A1748" s="8" t="s">
        <v>767</v>
      </c>
      <c r="B1748" s="8" t="s">
        <v>78</v>
      </c>
      <c r="C1748" s="8" t="s">
        <v>34</v>
      </c>
      <c r="D1748" s="9">
        <v>28</v>
      </c>
      <c r="E1748" s="8" t="s">
        <v>52</v>
      </c>
      <c r="F1748" s="8" t="s">
        <v>12</v>
      </c>
      <c r="G1748" s="10">
        <v>45379</v>
      </c>
      <c r="H1748" s="8" t="s">
        <v>26</v>
      </c>
      <c r="I1748" s="8" t="s">
        <v>2267</v>
      </c>
      <c r="J1748" s="8" t="s">
        <v>48</v>
      </c>
      <c r="K1748" s="8" t="s">
        <v>37</v>
      </c>
      <c r="L1748" s="8" t="s">
        <v>68</v>
      </c>
      <c r="M1748" s="8" t="s">
        <v>60</v>
      </c>
      <c r="N1748" s="11">
        <v>83169</v>
      </c>
      <c r="O1748" s="11">
        <v>12353</v>
      </c>
      <c r="P1748" s="12">
        <v>92.4</v>
      </c>
      <c r="Q1748" s="9">
        <v>4</v>
      </c>
      <c r="R1748" s="13">
        <v>29</v>
      </c>
      <c r="S1748" s="13">
        <v>5</v>
      </c>
      <c r="T1748" s="9">
        <v>28</v>
      </c>
      <c r="U1748" s="13">
        <v>77</v>
      </c>
      <c r="V1748" s="8" t="s">
        <v>31</v>
      </c>
      <c r="W1748" s="8"/>
      <c r="X1748" s="22">
        <f>IF(V1748="Yes",1,0)</f>
        <v>0</v>
      </c>
      <c r="Y1748" s="22">
        <f>IF(H1748="Active",0,1)</f>
        <v>0</v>
      </c>
    </row>
    <row r="1749" spans="1:25" ht="18" customHeight="1" x14ac:dyDescent="0.35">
      <c r="A1749" s="14" t="s">
        <v>1450</v>
      </c>
      <c r="B1749" s="14" t="s">
        <v>630</v>
      </c>
      <c r="C1749" s="14" t="s">
        <v>34</v>
      </c>
      <c r="D1749" s="15">
        <v>40</v>
      </c>
      <c r="E1749" s="14" t="s">
        <v>109</v>
      </c>
      <c r="F1749" s="14" t="s">
        <v>79</v>
      </c>
      <c r="G1749" s="16">
        <v>45379</v>
      </c>
      <c r="H1749" s="14" t="s">
        <v>54</v>
      </c>
      <c r="I1749" s="14" t="s">
        <v>27</v>
      </c>
      <c r="J1749" s="14" t="s">
        <v>80</v>
      </c>
      <c r="K1749" s="14" t="s">
        <v>73</v>
      </c>
      <c r="L1749" s="14" t="s">
        <v>116</v>
      </c>
      <c r="M1749" s="14" t="s">
        <v>39</v>
      </c>
      <c r="N1749" s="17">
        <v>140582</v>
      </c>
      <c r="O1749" s="17">
        <v>49975</v>
      </c>
      <c r="P1749" s="18">
        <v>88.8</v>
      </c>
      <c r="Q1749" s="15">
        <v>8</v>
      </c>
      <c r="R1749" s="19">
        <v>16</v>
      </c>
      <c r="S1749" s="19">
        <v>4</v>
      </c>
      <c r="T1749" s="15">
        <v>25</v>
      </c>
      <c r="U1749" s="19">
        <v>92</v>
      </c>
      <c r="V1749" s="14" t="s">
        <v>31</v>
      </c>
      <c r="W1749" s="14" t="s">
        <v>57</v>
      </c>
      <c r="X1749" s="14">
        <f>IF(V1749="Yes",1,0)</f>
        <v>0</v>
      </c>
      <c r="Y1749" s="14">
        <f>IF(H1749="Active",0,1)</f>
        <v>1</v>
      </c>
    </row>
    <row r="1750" spans="1:25" ht="18" customHeight="1" x14ac:dyDescent="0.35">
      <c r="A1750" s="14" t="s">
        <v>1470</v>
      </c>
      <c r="B1750" s="14" t="s">
        <v>230</v>
      </c>
      <c r="C1750" s="14" t="s">
        <v>34</v>
      </c>
      <c r="D1750" s="15">
        <v>40</v>
      </c>
      <c r="E1750" s="14" t="s">
        <v>63</v>
      </c>
      <c r="F1750" s="14" t="s">
        <v>79</v>
      </c>
      <c r="G1750" s="16">
        <v>45379</v>
      </c>
      <c r="H1750" s="14" t="s">
        <v>54</v>
      </c>
      <c r="I1750" s="14" t="s">
        <v>36</v>
      </c>
      <c r="J1750" s="14" t="s">
        <v>80</v>
      </c>
      <c r="K1750" s="14" t="s">
        <v>2271</v>
      </c>
      <c r="L1750" s="14" t="s">
        <v>29</v>
      </c>
      <c r="M1750" s="14" t="s">
        <v>64</v>
      </c>
      <c r="N1750" s="17">
        <v>80898</v>
      </c>
      <c r="O1750" s="17">
        <v>46061</v>
      </c>
      <c r="P1750" s="18">
        <v>83.7</v>
      </c>
      <c r="Q1750" s="15">
        <v>5</v>
      </c>
      <c r="R1750" s="19">
        <v>9</v>
      </c>
      <c r="S1750" s="19">
        <v>1</v>
      </c>
      <c r="T1750" s="15">
        <v>10</v>
      </c>
      <c r="U1750" s="19">
        <v>69</v>
      </c>
      <c r="V1750" s="14" t="s">
        <v>31</v>
      </c>
      <c r="W1750" s="14" t="s">
        <v>57</v>
      </c>
      <c r="X1750" s="14">
        <f>IF(V1750="Yes",1,0)</f>
        <v>0</v>
      </c>
      <c r="Y1750" s="14">
        <f>IF(H1750="Active",0,1)</f>
        <v>1</v>
      </c>
    </row>
    <row r="1751" spans="1:25" ht="18" customHeight="1" x14ac:dyDescent="0.35">
      <c r="A1751" s="8" t="s">
        <v>749</v>
      </c>
      <c r="B1751" s="8" t="s">
        <v>153</v>
      </c>
      <c r="C1751" s="8" t="s">
        <v>25</v>
      </c>
      <c r="D1751" s="9">
        <v>49</v>
      </c>
      <c r="E1751" s="8" t="s">
        <v>42</v>
      </c>
      <c r="F1751" s="8" t="s">
        <v>53</v>
      </c>
      <c r="G1751" s="10">
        <v>45378</v>
      </c>
      <c r="H1751" s="8" t="s">
        <v>26</v>
      </c>
      <c r="I1751" s="8" t="s">
        <v>36</v>
      </c>
      <c r="J1751" s="8" t="s">
        <v>2269</v>
      </c>
      <c r="K1751" s="8" t="s">
        <v>73</v>
      </c>
      <c r="L1751" s="8" t="s">
        <v>38</v>
      </c>
      <c r="M1751" s="8" t="s">
        <v>60</v>
      </c>
      <c r="N1751" s="11">
        <v>48844</v>
      </c>
      <c r="O1751" s="11">
        <v>30373</v>
      </c>
      <c r="P1751" s="12">
        <v>95.2</v>
      </c>
      <c r="Q1751" s="9">
        <v>4</v>
      </c>
      <c r="R1751" s="13">
        <v>29</v>
      </c>
      <c r="S1751" s="13">
        <v>4</v>
      </c>
      <c r="T1751" s="9">
        <v>37</v>
      </c>
      <c r="U1751" s="13">
        <v>95</v>
      </c>
      <c r="V1751" s="8" t="s">
        <v>31</v>
      </c>
      <c r="W1751" s="8"/>
      <c r="X1751" s="22">
        <f>IF(V1751="Yes",1,0)</f>
        <v>0</v>
      </c>
      <c r="Y1751" s="22">
        <f>IF(H1751="Active",0,1)</f>
        <v>0</v>
      </c>
    </row>
    <row r="1752" spans="1:25" ht="18" customHeight="1" x14ac:dyDescent="0.35">
      <c r="A1752" s="8" t="s">
        <v>1012</v>
      </c>
      <c r="B1752" s="8" t="s">
        <v>356</v>
      </c>
      <c r="C1752" s="8" t="s">
        <v>25</v>
      </c>
      <c r="D1752" s="9">
        <v>28</v>
      </c>
      <c r="E1752" s="8" t="s">
        <v>86</v>
      </c>
      <c r="F1752" s="8" t="s">
        <v>53</v>
      </c>
      <c r="G1752" s="10">
        <v>45378</v>
      </c>
      <c r="H1752" s="8" t="s">
        <v>26</v>
      </c>
      <c r="I1752" s="8" t="s">
        <v>2267</v>
      </c>
      <c r="J1752" s="8" t="s">
        <v>80</v>
      </c>
      <c r="K1752" s="8" t="s">
        <v>37</v>
      </c>
      <c r="L1752" s="8" t="s">
        <v>56</v>
      </c>
      <c r="M1752" s="8" t="s">
        <v>39</v>
      </c>
      <c r="N1752" s="11">
        <v>126814</v>
      </c>
      <c r="O1752" s="11">
        <v>41629</v>
      </c>
      <c r="P1752" s="12">
        <v>94</v>
      </c>
      <c r="Q1752" s="9">
        <v>4</v>
      </c>
      <c r="R1752" s="13">
        <v>26</v>
      </c>
      <c r="S1752" s="13">
        <v>3</v>
      </c>
      <c r="T1752" s="9">
        <v>13</v>
      </c>
      <c r="U1752" s="13">
        <v>60</v>
      </c>
      <c r="V1752" s="8" t="s">
        <v>31</v>
      </c>
      <c r="W1752" s="8"/>
      <c r="X1752" s="22">
        <f>IF(V1752="Yes",1,0)</f>
        <v>0</v>
      </c>
      <c r="Y1752" s="22">
        <f>IF(H1752="Active",0,1)</f>
        <v>0</v>
      </c>
    </row>
    <row r="1753" spans="1:25" ht="18" customHeight="1" x14ac:dyDescent="0.35">
      <c r="A1753" s="14" t="s">
        <v>827</v>
      </c>
      <c r="B1753" s="14" t="s">
        <v>267</v>
      </c>
      <c r="C1753" s="14" t="s">
        <v>25</v>
      </c>
      <c r="D1753" s="15">
        <v>54</v>
      </c>
      <c r="E1753" s="14" t="s">
        <v>63</v>
      </c>
      <c r="F1753" s="14" t="s">
        <v>90</v>
      </c>
      <c r="G1753" s="16">
        <v>45377</v>
      </c>
      <c r="H1753" s="14" t="s">
        <v>54</v>
      </c>
      <c r="I1753" s="14" t="s">
        <v>27</v>
      </c>
      <c r="J1753" s="14" t="s">
        <v>2268</v>
      </c>
      <c r="K1753" s="14" t="s">
        <v>73</v>
      </c>
      <c r="L1753" s="14" t="s">
        <v>38</v>
      </c>
      <c r="M1753" s="14" t="s">
        <v>39</v>
      </c>
      <c r="N1753" s="17">
        <v>236687</v>
      </c>
      <c r="O1753" s="17">
        <v>43955</v>
      </c>
      <c r="P1753" s="18">
        <v>85.8</v>
      </c>
      <c r="Q1753" s="15">
        <v>1</v>
      </c>
      <c r="R1753" s="19">
        <v>16</v>
      </c>
      <c r="S1753" s="19">
        <v>5</v>
      </c>
      <c r="T1753" s="15">
        <v>24</v>
      </c>
      <c r="U1753" s="19">
        <v>69</v>
      </c>
      <c r="V1753" s="14" t="s">
        <v>31</v>
      </c>
      <c r="W1753" s="14" t="s">
        <v>57</v>
      </c>
      <c r="X1753" s="14">
        <f>IF(V1753="Yes",1,0)</f>
        <v>0</v>
      </c>
      <c r="Y1753" s="14">
        <f>IF(H1753="Active",0,1)</f>
        <v>1</v>
      </c>
    </row>
    <row r="1754" spans="1:25" ht="18" customHeight="1" x14ac:dyDescent="0.35">
      <c r="A1754" s="14" t="s">
        <v>1221</v>
      </c>
      <c r="B1754" s="14" t="s">
        <v>41</v>
      </c>
      <c r="C1754" s="14" t="s">
        <v>34</v>
      </c>
      <c r="D1754" s="15">
        <v>23</v>
      </c>
      <c r="E1754" s="14" t="s">
        <v>42</v>
      </c>
      <c r="F1754" s="14" t="s">
        <v>76</v>
      </c>
      <c r="G1754" s="16">
        <v>45377</v>
      </c>
      <c r="H1754" s="14" t="s">
        <v>26</v>
      </c>
      <c r="I1754" s="14" t="s">
        <v>2267</v>
      </c>
      <c r="J1754" s="14" t="s">
        <v>80</v>
      </c>
      <c r="K1754" s="14" t="s">
        <v>37</v>
      </c>
      <c r="L1754" s="14" t="s">
        <v>29</v>
      </c>
      <c r="M1754" s="14" t="s">
        <v>39</v>
      </c>
      <c r="N1754" s="17">
        <v>194850</v>
      </c>
      <c r="O1754" s="17">
        <v>12991</v>
      </c>
      <c r="P1754" s="18">
        <v>91.1</v>
      </c>
      <c r="Q1754" s="15">
        <v>5</v>
      </c>
      <c r="R1754" s="19">
        <v>26</v>
      </c>
      <c r="S1754" s="19">
        <v>1</v>
      </c>
      <c r="T1754" s="15">
        <v>8</v>
      </c>
      <c r="U1754" s="19">
        <v>100</v>
      </c>
      <c r="V1754" s="14" t="s">
        <v>31</v>
      </c>
      <c r="W1754" s="14"/>
      <c r="X1754" s="14">
        <f>IF(V1754="Yes",1,0)</f>
        <v>0</v>
      </c>
      <c r="Y1754" s="14">
        <f>IF(H1754="Active",0,1)</f>
        <v>0</v>
      </c>
    </row>
    <row r="1755" spans="1:25" ht="18" customHeight="1" x14ac:dyDescent="0.35">
      <c r="A1755" s="14" t="s">
        <v>1316</v>
      </c>
      <c r="B1755" s="14" t="s">
        <v>314</v>
      </c>
      <c r="C1755" s="14" t="s">
        <v>25</v>
      </c>
      <c r="D1755" s="15">
        <v>21</v>
      </c>
      <c r="E1755" s="14" t="s">
        <v>2303</v>
      </c>
      <c r="F1755" s="14" t="s">
        <v>35</v>
      </c>
      <c r="G1755" s="16">
        <v>45377</v>
      </c>
      <c r="H1755" s="14" t="s">
        <v>54</v>
      </c>
      <c r="I1755" s="14" t="s">
        <v>27</v>
      </c>
      <c r="J1755" s="14" t="s">
        <v>48</v>
      </c>
      <c r="K1755" s="14" t="s">
        <v>73</v>
      </c>
      <c r="L1755" s="14" t="s">
        <v>116</v>
      </c>
      <c r="M1755" s="14" t="s">
        <v>30</v>
      </c>
      <c r="N1755" s="17">
        <v>166371</v>
      </c>
      <c r="O1755" s="17">
        <v>36111</v>
      </c>
      <c r="P1755" s="18">
        <v>98.6</v>
      </c>
      <c r="Q1755" s="15">
        <v>7</v>
      </c>
      <c r="R1755" s="19">
        <v>9</v>
      </c>
      <c r="S1755" s="19">
        <v>1</v>
      </c>
      <c r="T1755" s="15">
        <v>11</v>
      </c>
      <c r="U1755" s="19">
        <v>75</v>
      </c>
      <c r="V1755" s="14" t="s">
        <v>69</v>
      </c>
      <c r="W1755" s="14" t="s">
        <v>205</v>
      </c>
      <c r="X1755" s="14">
        <f>IF(V1755="Yes",1,0)</f>
        <v>1</v>
      </c>
      <c r="Y1755" s="14">
        <f>IF(H1755="Active",0,1)</f>
        <v>1</v>
      </c>
    </row>
    <row r="1756" spans="1:25" ht="18" customHeight="1" x14ac:dyDescent="0.35">
      <c r="A1756" s="14" t="s">
        <v>1682</v>
      </c>
      <c r="B1756" s="14" t="s">
        <v>464</v>
      </c>
      <c r="C1756" s="14" t="s">
        <v>25</v>
      </c>
      <c r="D1756" s="15">
        <v>51</v>
      </c>
      <c r="E1756" s="14" t="s">
        <v>67</v>
      </c>
      <c r="F1756" s="14" t="s">
        <v>79</v>
      </c>
      <c r="G1756" s="16">
        <v>45377</v>
      </c>
      <c r="H1756" s="14" t="s">
        <v>26</v>
      </c>
      <c r="I1756" s="14" t="s">
        <v>36</v>
      </c>
      <c r="J1756" s="14" t="s">
        <v>2269</v>
      </c>
      <c r="K1756" s="14" t="s">
        <v>73</v>
      </c>
      <c r="L1756" s="14" t="s">
        <v>29</v>
      </c>
      <c r="M1756" s="14" t="s">
        <v>30</v>
      </c>
      <c r="N1756" s="17">
        <v>141642</v>
      </c>
      <c r="O1756" s="17">
        <v>5267</v>
      </c>
      <c r="P1756" s="18">
        <v>97.7</v>
      </c>
      <c r="Q1756" s="15">
        <v>1</v>
      </c>
      <c r="R1756" s="19">
        <v>3</v>
      </c>
      <c r="S1756" s="19">
        <v>3</v>
      </c>
      <c r="T1756" s="15">
        <v>0</v>
      </c>
      <c r="U1756" s="19">
        <v>61</v>
      </c>
      <c r="V1756" s="14" t="s">
        <v>69</v>
      </c>
      <c r="W1756" s="14"/>
      <c r="X1756" s="14">
        <f>IF(V1756="Yes",1,0)</f>
        <v>1</v>
      </c>
      <c r="Y1756" s="14">
        <f>IF(H1756="Active",0,1)</f>
        <v>0</v>
      </c>
    </row>
    <row r="1757" spans="1:25" ht="18" customHeight="1" x14ac:dyDescent="0.35">
      <c r="A1757" s="8" t="s">
        <v>1851</v>
      </c>
      <c r="B1757" s="8" t="s">
        <v>191</v>
      </c>
      <c r="C1757" s="8" t="s">
        <v>25</v>
      </c>
      <c r="D1757" s="9">
        <v>39</v>
      </c>
      <c r="E1757" s="8" t="s">
        <v>93</v>
      </c>
      <c r="F1757" s="8" t="s">
        <v>90</v>
      </c>
      <c r="G1757" s="10">
        <v>45377</v>
      </c>
      <c r="H1757" s="8" t="s">
        <v>26</v>
      </c>
      <c r="I1757" s="8" t="s">
        <v>2267</v>
      </c>
      <c r="J1757" s="8" t="s">
        <v>80</v>
      </c>
      <c r="K1757" s="8" t="s">
        <v>37</v>
      </c>
      <c r="L1757" s="8" t="s">
        <v>38</v>
      </c>
      <c r="M1757" s="8" t="s">
        <v>45</v>
      </c>
      <c r="N1757" s="11">
        <v>58234</v>
      </c>
      <c r="O1757" s="11">
        <v>26321</v>
      </c>
      <c r="P1757" s="12">
        <v>97.9</v>
      </c>
      <c r="Q1757" s="9">
        <v>5</v>
      </c>
      <c r="R1757" s="13">
        <v>18</v>
      </c>
      <c r="S1757" s="13">
        <v>4</v>
      </c>
      <c r="T1757" s="9">
        <v>33</v>
      </c>
      <c r="U1757" s="13">
        <v>80</v>
      </c>
      <c r="V1757" s="8" t="s">
        <v>31</v>
      </c>
      <c r="W1757" s="8"/>
      <c r="X1757" s="22">
        <f>IF(V1757="Yes",1,0)</f>
        <v>0</v>
      </c>
      <c r="Y1757" s="22">
        <f>IF(H1757="Active",0,1)</f>
        <v>0</v>
      </c>
    </row>
    <row r="1758" spans="1:25" ht="18" customHeight="1" x14ac:dyDescent="0.35">
      <c r="A1758" s="8" t="s">
        <v>2059</v>
      </c>
      <c r="B1758" s="8" t="s">
        <v>146</v>
      </c>
      <c r="C1758" s="8" t="s">
        <v>25</v>
      </c>
      <c r="D1758" s="9">
        <v>56</v>
      </c>
      <c r="E1758" s="8" t="s">
        <v>86</v>
      </c>
      <c r="F1758" s="8" t="s">
        <v>12</v>
      </c>
      <c r="G1758" s="10">
        <v>45377</v>
      </c>
      <c r="H1758" s="8" t="s">
        <v>26</v>
      </c>
      <c r="I1758" s="8" t="s">
        <v>36</v>
      </c>
      <c r="J1758" s="8" t="s">
        <v>48</v>
      </c>
      <c r="K1758" s="8" t="s">
        <v>2271</v>
      </c>
      <c r="L1758" s="8" t="s">
        <v>68</v>
      </c>
      <c r="M1758" s="8" t="s">
        <v>39</v>
      </c>
      <c r="N1758" s="11">
        <v>168753</v>
      </c>
      <c r="O1758" s="11">
        <v>20271</v>
      </c>
      <c r="P1758" s="12">
        <v>87.3</v>
      </c>
      <c r="Q1758" s="9">
        <v>0</v>
      </c>
      <c r="R1758" s="13">
        <v>8</v>
      </c>
      <c r="S1758" s="13">
        <v>2</v>
      </c>
      <c r="T1758" s="9">
        <v>4</v>
      </c>
      <c r="U1758" s="13">
        <v>62</v>
      </c>
      <c r="V1758" s="8" t="s">
        <v>31</v>
      </c>
      <c r="W1758" s="8"/>
      <c r="X1758" s="22">
        <f>IF(V1758="Yes",1,0)</f>
        <v>0</v>
      </c>
      <c r="Y1758" s="22">
        <f>IF(H1758="Active",0,1)</f>
        <v>0</v>
      </c>
    </row>
    <row r="1759" spans="1:25" ht="18" customHeight="1" x14ac:dyDescent="0.35">
      <c r="A1759" s="14" t="s">
        <v>601</v>
      </c>
      <c r="B1759" s="14" t="s">
        <v>62</v>
      </c>
      <c r="C1759" s="14" t="s">
        <v>34</v>
      </c>
      <c r="D1759" s="15">
        <v>41</v>
      </c>
      <c r="E1759" s="14" t="s">
        <v>2303</v>
      </c>
      <c r="F1759" s="14" t="s">
        <v>12</v>
      </c>
      <c r="G1759" s="16">
        <v>45376</v>
      </c>
      <c r="H1759" s="14" t="s">
        <v>26</v>
      </c>
      <c r="I1759" s="14" t="s">
        <v>36</v>
      </c>
      <c r="J1759" s="14" t="s">
        <v>2269</v>
      </c>
      <c r="K1759" s="14" t="s">
        <v>37</v>
      </c>
      <c r="L1759" s="14" t="s">
        <v>87</v>
      </c>
      <c r="M1759" s="14" t="s">
        <v>39</v>
      </c>
      <c r="N1759" s="17">
        <v>66110</v>
      </c>
      <c r="O1759" s="17">
        <v>27030</v>
      </c>
      <c r="P1759" s="18">
        <v>89.2</v>
      </c>
      <c r="Q1759" s="15">
        <v>0</v>
      </c>
      <c r="R1759" s="19">
        <v>20</v>
      </c>
      <c r="S1759" s="19">
        <v>2</v>
      </c>
      <c r="T1759" s="15">
        <v>14</v>
      </c>
      <c r="U1759" s="19">
        <v>66</v>
      </c>
      <c r="V1759" s="14" t="s">
        <v>31</v>
      </c>
      <c r="W1759" s="14"/>
      <c r="X1759" s="14">
        <f>IF(V1759="Yes",1,0)</f>
        <v>0</v>
      </c>
      <c r="Y1759" s="14">
        <f>IF(H1759="Active",0,1)</f>
        <v>0</v>
      </c>
    </row>
    <row r="1760" spans="1:25" ht="18" customHeight="1" x14ac:dyDescent="0.35">
      <c r="A1760" s="14" t="s">
        <v>654</v>
      </c>
      <c r="B1760" s="14" t="s">
        <v>246</v>
      </c>
      <c r="C1760" s="14" t="s">
        <v>34</v>
      </c>
      <c r="D1760" s="15">
        <v>49</v>
      </c>
      <c r="E1760" s="14" t="s">
        <v>93</v>
      </c>
      <c r="F1760" s="14" t="s">
        <v>35</v>
      </c>
      <c r="G1760" s="16">
        <v>45376</v>
      </c>
      <c r="H1760" s="14" t="s">
        <v>26</v>
      </c>
      <c r="I1760" s="14" t="s">
        <v>2267</v>
      </c>
      <c r="J1760" s="14" t="s">
        <v>2270</v>
      </c>
      <c r="K1760" s="14" t="s">
        <v>28</v>
      </c>
      <c r="L1760" s="14" t="s">
        <v>29</v>
      </c>
      <c r="M1760" s="14" t="s">
        <v>64</v>
      </c>
      <c r="N1760" s="17">
        <v>124760</v>
      </c>
      <c r="O1760" s="17">
        <v>17127</v>
      </c>
      <c r="P1760" s="18">
        <v>91.3</v>
      </c>
      <c r="Q1760" s="15">
        <v>9</v>
      </c>
      <c r="R1760" s="19">
        <v>8</v>
      </c>
      <c r="S1760" s="19">
        <v>1</v>
      </c>
      <c r="T1760" s="15">
        <v>30</v>
      </c>
      <c r="U1760" s="19">
        <v>62</v>
      </c>
      <c r="V1760" s="14" t="s">
        <v>31</v>
      </c>
      <c r="W1760" s="14"/>
      <c r="X1760" s="14">
        <f>IF(V1760="Yes",1,0)</f>
        <v>0</v>
      </c>
      <c r="Y1760" s="14">
        <f>IF(H1760="Active",0,1)</f>
        <v>0</v>
      </c>
    </row>
    <row r="1761" spans="1:25" ht="18" customHeight="1" x14ac:dyDescent="0.35">
      <c r="A1761" s="14" t="s">
        <v>699</v>
      </c>
      <c r="B1761" s="14" t="s">
        <v>89</v>
      </c>
      <c r="C1761" s="14" t="s">
        <v>25</v>
      </c>
      <c r="D1761" s="15">
        <v>59</v>
      </c>
      <c r="E1761" s="14" t="s">
        <v>2304</v>
      </c>
      <c r="F1761" s="14" t="s">
        <v>43</v>
      </c>
      <c r="G1761" s="16">
        <v>45376</v>
      </c>
      <c r="H1761" s="14" t="s">
        <v>26</v>
      </c>
      <c r="I1761" s="14" t="s">
        <v>2267</v>
      </c>
      <c r="J1761" s="14" t="s">
        <v>2269</v>
      </c>
      <c r="K1761" s="14" t="s">
        <v>28</v>
      </c>
      <c r="L1761" s="14" t="s">
        <v>116</v>
      </c>
      <c r="M1761" s="14" t="s">
        <v>60</v>
      </c>
      <c r="N1761" s="17">
        <v>130999</v>
      </c>
      <c r="O1761" s="17">
        <v>25806</v>
      </c>
      <c r="P1761" s="18">
        <v>82.4</v>
      </c>
      <c r="Q1761" s="15">
        <v>4</v>
      </c>
      <c r="R1761" s="19">
        <v>16</v>
      </c>
      <c r="S1761" s="19">
        <v>3</v>
      </c>
      <c r="T1761" s="15">
        <v>34</v>
      </c>
      <c r="U1761" s="19">
        <v>72</v>
      </c>
      <c r="V1761" s="14" t="s">
        <v>31</v>
      </c>
      <c r="W1761" s="14"/>
      <c r="X1761" s="14">
        <f>IF(V1761="Yes",1,0)</f>
        <v>0</v>
      </c>
      <c r="Y1761" s="14">
        <f>IF(H1761="Active",0,1)</f>
        <v>0</v>
      </c>
    </row>
    <row r="1762" spans="1:25" ht="18" customHeight="1" x14ac:dyDescent="0.35">
      <c r="A1762" s="14" t="s">
        <v>2064</v>
      </c>
      <c r="B1762" s="14" t="s">
        <v>246</v>
      </c>
      <c r="C1762" s="14" t="s">
        <v>34</v>
      </c>
      <c r="D1762" s="15">
        <v>37</v>
      </c>
      <c r="E1762" s="14" t="s">
        <v>109</v>
      </c>
      <c r="F1762" s="14" t="s">
        <v>35</v>
      </c>
      <c r="G1762" s="16">
        <v>45376</v>
      </c>
      <c r="H1762" s="14" t="s">
        <v>26</v>
      </c>
      <c r="I1762" s="14" t="s">
        <v>2267</v>
      </c>
      <c r="J1762" s="14" t="s">
        <v>2269</v>
      </c>
      <c r="K1762" s="14" t="s">
        <v>2271</v>
      </c>
      <c r="L1762" s="14" t="s">
        <v>56</v>
      </c>
      <c r="M1762" s="14" t="s">
        <v>30</v>
      </c>
      <c r="N1762" s="17">
        <v>48744</v>
      </c>
      <c r="O1762" s="17">
        <v>8327</v>
      </c>
      <c r="P1762" s="18">
        <v>99.8</v>
      </c>
      <c r="Q1762" s="15">
        <v>10</v>
      </c>
      <c r="R1762" s="19">
        <v>10</v>
      </c>
      <c r="S1762" s="19">
        <v>4</v>
      </c>
      <c r="T1762" s="15">
        <v>31</v>
      </c>
      <c r="U1762" s="19">
        <v>74</v>
      </c>
      <c r="V1762" s="14" t="s">
        <v>31</v>
      </c>
      <c r="W1762" s="14"/>
      <c r="X1762" s="14">
        <f>IF(V1762="Yes",1,0)</f>
        <v>0</v>
      </c>
      <c r="Y1762" s="14">
        <f>IF(H1762="Active",0,1)</f>
        <v>0</v>
      </c>
    </row>
    <row r="1763" spans="1:25" ht="18" customHeight="1" x14ac:dyDescent="0.35">
      <c r="A1763" s="14" t="s">
        <v>408</v>
      </c>
      <c r="B1763" s="14" t="s">
        <v>409</v>
      </c>
      <c r="C1763" s="14" t="s">
        <v>25</v>
      </c>
      <c r="D1763" s="15">
        <v>54</v>
      </c>
      <c r="E1763" s="14" t="s">
        <v>63</v>
      </c>
      <c r="F1763" s="14" t="s">
        <v>35</v>
      </c>
      <c r="G1763" s="16">
        <v>45375</v>
      </c>
      <c r="H1763" s="14" t="s">
        <v>26</v>
      </c>
      <c r="I1763" s="14" t="s">
        <v>2267</v>
      </c>
      <c r="J1763" s="14" t="s">
        <v>48</v>
      </c>
      <c r="K1763" s="14" t="s">
        <v>55</v>
      </c>
      <c r="L1763" s="14" t="s">
        <v>38</v>
      </c>
      <c r="M1763" s="14" t="s">
        <v>60</v>
      </c>
      <c r="N1763" s="17">
        <v>79980</v>
      </c>
      <c r="O1763" s="17">
        <v>13988</v>
      </c>
      <c r="P1763" s="18">
        <v>83.3</v>
      </c>
      <c r="Q1763" s="15">
        <v>4</v>
      </c>
      <c r="R1763" s="19">
        <v>30</v>
      </c>
      <c r="S1763" s="19">
        <v>1</v>
      </c>
      <c r="T1763" s="15">
        <v>5</v>
      </c>
      <c r="U1763" s="19">
        <v>98</v>
      </c>
      <c r="V1763" s="14" t="s">
        <v>31</v>
      </c>
      <c r="W1763" s="14"/>
      <c r="X1763" s="14">
        <f>IF(V1763="Yes",1,0)</f>
        <v>0</v>
      </c>
      <c r="Y1763" s="14">
        <f>IF(H1763="Active",0,1)</f>
        <v>0</v>
      </c>
    </row>
    <row r="1764" spans="1:25" ht="18" customHeight="1" x14ac:dyDescent="0.35">
      <c r="A1764" s="14" t="s">
        <v>1066</v>
      </c>
      <c r="B1764" s="14" t="s">
        <v>405</v>
      </c>
      <c r="C1764" s="14" t="s">
        <v>34</v>
      </c>
      <c r="D1764" s="15">
        <v>30</v>
      </c>
      <c r="E1764" s="14" t="s">
        <v>93</v>
      </c>
      <c r="F1764" s="14" t="s">
        <v>72</v>
      </c>
      <c r="G1764" s="16">
        <v>45375</v>
      </c>
      <c r="H1764" s="14" t="s">
        <v>26</v>
      </c>
      <c r="I1764" s="14" t="s">
        <v>36</v>
      </c>
      <c r="J1764" s="14" t="s">
        <v>48</v>
      </c>
      <c r="K1764" s="14" t="s">
        <v>28</v>
      </c>
      <c r="L1764" s="14" t="s">
        <v>38</v>
      </c>
      <c r="M1764" s="14" t="s">
        <v>60</v>
      </c>
      <c r="N1764" s="17">
        <v>98118</v>
      </c>
      <c r="O1764" s="17">
        <v>39790</v>
      </c>
      <c r="P1764" s="18">
        <v>81.2</v>
      </c>
      <c r="Q1764" s="15">
        <v>6</v>
      </c>
      <c r="R1764" s="19">
        <v>20</v>
      </c>
      <c r="S1764" s="19">
        <v>2</v>
      </c>
      <c r="T1764" s="15">
        <v>9</v>
      </c>
      <c r="U1764" s="19">
        <v>89</v>
      </c>
      <c r="V1764" s="14" t="s">
        <v>31</v>
      </c>
      <c r="W1764" s="14"/>
      <c r="X1764" s="14">
        <f>IF(V1764="Yes",1,0)</f>
        <v>0</v>
      </c>
      <c r="Y1764" s="14">
        <f>IF(H1764="Active",0,1)</f>
        <v>0</v>
      </c>
    </row>
    <row r="1765" spans="1:25" ht="18" customHeight="1" x14ac:dyDescent="0.35">
      <c r="A1765" s="14" t="s">
        <v>875</v>
      </c>
      <c r="B1765" s="14" t="s">
        <v>248</v>
      </c>
      <c r="C1765" s="14" t="s">
        <v>34</v>
      </c>
      <c r="D1765" s="15">
        <v>31</v>
      </c>
      <c r="E1765" s="14" t="s">
        <v>2303</v>
      </c>
      <c r="F1765" s="14" t="s">
        <v>72</v>
      </c>
      <c r="G1765" s="16">
        <v>45374</v>
      </c>
      <c r="H1765" s="14" t="s">
        <v>54</v>
      </c>
      <c r="I1765" s="14" t="s">
        <v>2267</v>
      </c>
      <c r="J1765" s="14" t="s">
        <v>48</v>
      </c>
      <c r="K1765" s="14" t="s">
        <v>28</v>
      </c>
      <c r="L1765" s="14" t="s">
        <v>56</v>
      </c>
      <c r="M1765" s="14" t="s">
        <v>39</v>
      </c>
      <c r="N1765" s="17">
        <v>199508</v>
      </c>
      <c r="O1765" s="17">
        <v>9615</v>
      </c>
      <c r="P1765" s="18">
        <v>84.2</v>
      </c>
      <c r="Q1765" s="15">
        <v>2</v>
      </c>
      <c r="R1765" s="19">
        <v>25</v>
      </c>
      <c r="S1765" s="19">
        <v>2</v>
      </c>
      <c r="T1765" s="15">
        <v>27</v>
      </c>
      <c r="U1765" s="19">
        <v>80</v>
      </c>
      <c r="V1765" s="14" t="s">
        <v>31</v>
      </c>
      <c r="W1765" s="14" t="s">
        <v>83</v>
      </c>
      <c r="X1765" s="14">
        <f>IF(V1765="Yes",1,0)</f>
        <v>0</v>
      </c>
      <c r="Y1765" s="14">
        <f>IF(H1765="Active",0,1)</f>
        <v>1</v>
      </c>
    </row>
    <row r="1766" spans="1:25" ht="18" customHeight="1" x14ac:dyDescent="0.35">
      <c r="A1766" s="8" t="s">
        <v>1029</v>
      </c>
      <c r="B1766" s="8" t="s">
        <v>718</v>
      </c>
      <c r="C1766" s="8" t="s">
        <v>34</v>
      </c>
      <c r="D1766" s="9">
        <v>36</v>
      </c>
      <c r="E1766" s="8" t="s">
        <v>2304</v>
      </c>
      <c r="F1766" s="8" t="s">
        <v>12</v>
      </c>
      <c r="G1766" s="10">
        <v>45374</v>
      </c>
      <c r="H1766" s="8" t="s">
        <v>54</v>
      </c>
      <c r="I1766" s="8" t="s">
        <v>27</v>
      </c>
      <c r="J1766" s="8" t="s">
        <v>80</v>
      </c>
      <c r="K1766" s="8" t="s">
        <v>2271</v>
      </c>
      <c r="L1766" s="8" t="s">
        <v>68</v>
      </c>
      <c r="M1766" s="8" t="s">
        <v>64</v>
      </c>
      <c r="N1766" s="11">
        <v>111707</v>
      </c>
      <c r="O1766" s="11">
        <v>25744</v>
      </c>
      <c r="P1766" s="12">
        <v>94.7</v>
      </c>
      <c r="Q1766" s="9">
        <v>5</v>
      </c>
      <c r="R1766" s="13">
        <v>15</v>
      </c>
      <c r="S1766" s="13">
        <v>5</v>
      </c>
      <c r="T1766" s="9">
        <v>1</v>
      </c>
      <c r="U1766" s="13">
        <v>95</v>
      </c>
      <c r="V1766" s="8" t="s">
        <v>31</v>
      </c>
      <c r="W1766" s="8" t="s">
        <v>83</v>
      </c>
      <c r="X1766" s="22">
        <f>IF(V1766="Yes",1,0)</f>
        <v>0</v>
      </c>
      <c r="Y1766" s="22">
        <f>IF(H1766="Active",0,1)</f>
        <v>1</v>
      </c>
    </row>
    <row r="1767" spans="1:25" ht="18" customHeight="1" x14ac:dyDescent="0.35">
      <c r="A1767" s="14" t="s">
        <v>590</v>
      </c>
      <c r="B1767" s="14" t="s">
        <v>591</v>
      </c>
      <c r="C1767" s="14" t="s">
        <v>25</v>
      </c>
      <c r="D1767" s="15">
        <v>21</v>
      </c>
      <c r="E1767" s="14" t="s">
        <v>67</v>
      </c>
      <c r="F1767" s="14" t="s">
        <v>76</v>
      </c>
      <c r="G1767" s="16">
        <v>45373</v>
      </c>
      <c r="H1767" s="14" t="s">
        <v>26</v>
      </c>
      <c r="I1767" s="14" t="s">
        <v>2267</v>
      </c>
      <c r="J1767" s="14" t="s">
        <v>80</v>
      </c>
      <c r="K1767" s="14" t="s">
        <v>73</v>
      </c>
      <c r="L1767" s="14" t="s">
        <v>56</v>
      </c>
      <c r="M1767" s="14" t="s">
        <v>39</v>
      </c>
      <c r="N1767" s="17">
        <v>37011</v>
      </c>
      <c r="O1767" s="17">
        <v>34077</v>
      </c>
      <c r="P1767" s="18">
        <v>90.8</v>
      </c>
      <c r="Q1767" s="15">
        <v>5</v>
      </c>
      <c r="R1767" s="19">
        <v>16</v>
      </c>
      <c r="S1767" s="19">
        <v>5</v>
      </c>
      <c r="T1767" s="15">
        <v>6</v>
      </c>
      <c r="U1767" s="19">
        <v>66</v>
      </c>
      <c r="V1767" s="14" t="s">
        <v>31</v>
      </c>
      <c r="W1767" s="14"/>
      <c r="X1767" s="14">
        <f>IF(V1767="Yes",1,0)</f>
        <v>0</v>
      </c>
      <c r="Y1767" s="14">
        <f>IF(H1767="Active",0,1)</f>
        <v>0</v>
      </c>
    </row>
    <row r="1768" spans="1:25" ht="18" customHeight="1" x14ac:dyDescent="0.35">
      <c r="A1768" s="8" t="s">
        <v>691</v>
      </c>
      <c r="B1768" s="8" t="s">
        <v>454</v>
      </c>
      <c r="C1768" s="8" t="s">
        <v>25</v>
      </c>
      <c r="D1768" s="9">
        <v>34</v>
      </c>
      <c r="E1768" s="8" t="s">
        <v>93</v>
      </c>
      <c r="F1768" s="8" t="s">
        <v>76</v>
      </c>
      <c r="G1768" s="10">
        <v>45373</v>
      </c>
      <c r="H1768" s="8" t="s">
        <v>26</v>
      </c>
      <c r="I1768" s="8" t="s">
        <v>2267</v>
      </c>
      <c r="J1768" s="8" t="s">
        <v>2269</v>
      </c>
      <c r="K1768" s="8" t="s">
        <v>2271</v>
      </c>
      <c r="L1768" s="8" t="s">
        <v>44</v>
      </c>
      <c r="M1768" s="8" t="s">
        <v>60</v>
      </c>
      <c r="N1768" s="11">
        <v>66483</v>
      </c>
      <c r="O1768" s="11">
        <v>22062</v>
      </c>
      <c r="P1768" s="12">
        <v>91.5</v>
      </c>
      <c r="Q1768" s="9">
        <v>0</v>
      </c>
      <c r="R1768" s="13">
        <v>25</v>
      </c>
      <c r="S1768" s="13">
        <v>2</v>
      </c>
      <c r="T1768" s="9">
        <v>17</v>
      </c>
      <c r="U1768" s="13">
        <v>93</v>
      </c>
      <c r="V1768" s="8" t="s">
        <v>31</v>
      </c>
      <c r="W1768" s="8"/>
      <c r="X1768" s="22">
        <f>IF(V1768="Yes",1,0)</f>
        <v>0</v>
      </c>
      <c r="Y1768" s="22">
        <f>IF(H1768="Active",0,1)</f>
        <v>0</v>
      </c>
    </row>
    <row r="1769" spans="1:25" ht="18" customHeight="1" x14ac:dyDescent="0.35">
      <c r="A1769" s="8" t="s">
        <v>1363</v>
      </c>
      <c r="B1769" s="8" t="s">
        <v>556</v>
      </c>
      <c r="C1769" s="8" t="s">
        <v>34</v>
      </c>
      <c r="D1769" s="9">
        <v>50</v>
      </c>
      <c r="E1769" s="8" t="s">
        <v>67</v>
      </c>
      <c r="F1769" s="8" t="s">
        <v>43</v>
      </c>
      <c r="G1769" s="10">
        <v>45373</v>
      </c>
      <c r="H1769" s="8" t="s">
        <v>26</v>
      </c>
      <c r="I1769" s="8" t="s">
        <v>36</v>
      </c>
      <c r="J1769" s="8" t="s">
        <v>2269</v>
      </c>
      <c r="K1769" s="8" t="s">
        <v>2271</v>
      </c>
      <c r="L1769" s="8" t="s">
        <v>49</v>
      </c>
      <c r="M1769" s="8" t="s">
        <v>60</v>
      </c>
      <c r="N1769" s="11">
        <v>164776</v>
      </c>
      <c r="O1769" s="11">
        <v>22625</v>
      </c>
      <c r="P1769" s="12">
        <v>92.9</v>
      </c>
      <c r="Q1769" s="9">
        <v>5</v>
      </c>
      <c r="R1769" s="13">
        <v>8</v>
      </c>
      <c r="S1769" s="13">
        <v>5</v>
      </c>
      <c r="T1769" s="9">
        <v>23</v>
      </c>
      <c r="U1769" s="13">
        <v>93</v>
      </c>
      <c r="V1769" s="8" t="s">
        <v>31</v>
      </c>
      <c r="W1769" s="8"/>
      <c r="X1769" s="22">
        <f>IF(V1769="Yes",1,0)</f>
        <v>0</v>
      </c>
      <c r="Y1769" s="22">
        <f>IF(H1769="Active",0,1)</f>
        <v>0</v>
      </c>
    </row>
    <row r="1770" spans="1:25" ht="18" customHeight="1" x14ac:dyDescent="0.35">
      <c r="A1770" s="8" t="s">
        <v>1971</v>
      </c>
      <c r="B1770" s="8" t="s">
        <v>485</v>
      </c>
      <c r="C1770" s="8" t="s">
        <v>25</v>
      </c>
      <c r="D1770" s="9">
        <v>46</v>
      </c>
      <c r="E1770" s="8" t="s">
        <v>67</v>
      </c>
      <c r="F1770" s="8" t="s">
        <v>43</v>
      </c>
      <c r="G1770" s="10">
        <v>45373</v>
      </c>
      <c r="H1770" s="8" t="s">
        <v>26</v>
      </c>
      <c r="I1770" s="8" t="s">
        <v>27</v>
      </c>
      <c r="J1770" s="8" t="s">
        <v>2270</v>
      </c>
      <c r="K1770" s="8" t="s">
        <v>2271</v>
      </c>
      <c r="L1770" s="8" t="s">
        <v>38</v>
      </c>
      <c r="M1770" s="8" t="s">
        <v>39</v>
      </c>
      <c r="N1770" s="11">
        <v>185301</v>
      </c>
      <c r="O1770" s="11">
        <v>27319</v>
      </c>
      <c r="P1770" s="12">
        <v>81.3</v>
      </c>
      <c r="Q1770" s="9">
        <v>8</v>
      </c>
      <c r="R1770" s="13">
        <v>1</v>
      </c>
      <c r="S1770" s="13">
        <v>3</v>
      </c>
      <c r="T1770" s="9">
        <v>28</v>
      </c>
      <c r="U1770" s="13">
        <v>83</v>
      </c>
      <c r="V1770" s="8" t="s">
        <v>31</v>
      </c>
      <c r="W1770" s="8"/>
      <c r="X1770" s="22">
        <f>IF(V1770="Yes",1,0)</f>
        <v>0</v>
      </c>
      <c r="Y1770" s="22">
        <f>IF(H1770="Active",0,1)</f>
        <v>0</v>
      </c>
    </row>
    <row r="1771" spans="1:25" ht="18" customHeight="1" x14ac:dyDescent="0.35">
      <c r="A1771" s="14" t="s">
        <v>1486</v>
      </c>
      <c r="B1771" s="14" t="s">
        <v>349</v>
      </c>
      <c r="C1771" s="14" t="s">
        <v>25</v>
      </c>
      <c r="D1771" s="15">
        <v>22</v>
      </c>
      <c r="E1771" s="14" t="s">
        <v>86</v>
      </c>
      <c r="F1771" s="14" t="s">
        <v>72</v>
      </c>
      <c r="G1771" s="16">
        <v>45372</v>
      </c>
      <c r="H1771" s="14" t="s">
        <v>26</v>
      </c>
      <c r="I1771" s="14" t="s">
        <v>27</v>
      </c>
      <c r="J1771" s="14" t="s">
        <v>48</v>
      </c>
      <c r="K1771" s="14" t="s">
        <v>37</v>
      </c>
      <c r="L1771" s="14" t="s">
        <v>49</v>
      </c>
      <c r="M1771" s="14" t="s">
        <v>60</v>
      </c>
      <c r="N1771" s="17">
        <v>137222</v>
      </c>
      <c r="O1771" s="17">
        <v>39592</v>
      </c>
      <c r="P1771" s="18">
        <v>96.1</v>
      </c>
      <c r="Q1771" s="15">
        <v>0</v>
      </c>
      <c r="R1771" s="19">
        <v>25</v>
      </c>
      <c r="S1771" s="19">
        <v>1</v>
      </c>
      <c r="T1771" s="15">
        <v>25</v>
      </c>
      <c r="U1771" s="19">
        <v>100</v>
      </c>
      <c r="V1771" s="14" t="s">
        <v>31</v>
      </c>
      <c r="W1771" s="14"/>
      <c r="X1771" s="14">
        <f>IF(V1771="Yes",1,0)</f>
        <v>0</v>
      </c>
      <c r="Y1771" s="14">
        <f>IF(H1771="Active",0,1)</f>
        <v>0</v>
      </c>
    </row>
    <row r="1772" spans="1:25" ht="18" customHeight="1" x14ac:dyDescent="0.35">
      <c r="A1772" s="14" t="s">
        <v>1970</v>
      </c>
      <c r="B1772" s="14" t="s">
        <v>82</v>
      </c>
      <c r="C1772" s="14" t="s">
        <v>34</v>
      </c>
      <c r="D1772" s="15">
        <v>40</v>
      </c>
      <c r="E1772" s="14" t="s">
        <v>52</v>
      </c>
      <c r="F1772" s="14" t="s">
        <v>76</v>
      </c>
      <c r="G1772" s="16">
        <v>45372</v>
      </c>
      <c r="H1772" s="14" t="s">
        <v>26</v>
      </c>
      <c r="I1772" s="14" t="s">
        <v>36</v>
      </c>
      <c r="J1772" s="14" t="s">
        <v>2269</v>
      </c>
      <c r="K1772" s="14" t="s">
        <v>37</v>
      </c>
      <c r="L1772" s="14" t="s">
        <v>116</v>
      </c>
      <c r="M1772" s="14" t="s">
        <v>60</v>
      </c>
      <c r="N1772" s="17">
        <v>213602</v>
      </c>
      <c r="O1772" s="17">
        <v>30754</v>
      </c>
      <c r="P1772" s="18">
        <v>83.9</v>
      </c>
      <c r="Q1772" s="15">
        <v>6</v>
      </c>
      <c r="R1772" s="19">
        <v>25</v>
      </c>
      <c r="S1772" s="19">
        <v>4</v>
      </c>
      <c r="T1772" s="15">
        <v>22</v>
      </c>
      <c r="U1772" s="19">
        <v>76</v>
      </c>
      <c r="V1772" s="14" t="s">
        <v>31</v>
      </c>
      <c r="W1772" s="14"/>
      <c r="X1772" s="14">
        <f>IF(V1772="Yes",1,0)</f>
        <v>0</v>
      </c>
      <c r="Y1772" s="14">
        <f>IF(H1772="Active",0,1)</f>
        <v>0</v>
      </c>
    </row>
    <row r="1773" spans="1:25" ht="18" customHeight="1" x14ac:dyDescent="0.35">
      <c r="A1773" s="14" t="s">
        <v>397</v>
      </c>
      <c r="B1773" s="14" t="s">
        <v>89</v>
      </c>
      <c r="C1773" s="14" t="s">
        <v>34</v>
      </c>
      <c r="D1773" s="15">
        <v>31</v>
      </c>
      <c r="E1773" s="14" t="s">
        <v>2304</v>
      </c>
      <c r="F1773" s="14" t="s">
        <v>35</v>
      </c>
      <c r="G1773" s="16">
        <v>45371</v>
      </c>
      <c r="H1773" s="14" t="s">
        <v>26</v>
      </c>
      <c r="I1773" s="14" t="s">
        <v>2267</v>
      </c>
      <c r="J1773" s="14" t="s">
        <v>80</v>
      </c>
      <c r="K1773" s="14" t="s">
        <v>2271</v>
      </c>
      <c r="L1773" s="14" t="s">
        <v>38</v>
      </c>
      <c r="M1773" s="14" t="s">
        <v>39</v>
      </c>
      <c r="N1773" s="17">
        <v>91692</v>
      </c>
      <c r="O1773" s="17">
        <v>34058</v>
      </c>
      <c r="P1773" s="18">
        <v>91.8</v>
      </c>
      <c r="Q1773" s="15">
        <v>3</v>
      </c>
      <c r="R1773" s="19">
        <v>20</v>
      </c>
      <c r="S1773" s="19">
        <v>3</v>
      </c>
      <c r="T1773" s="15">
        <v>21</v>
      </c>
      <c r="U1773" s="19">
        <v>79</v>
      </c>
      <c r="V1773" s="14" t="s">
        <v>31</v>
      </c>
      <c r="W1773" s="14"/>
      <c r="X1773" s="14">
        <f>IF(V1773="Yes",1,0)</f>
        <v>0</v>
      </c>
      <c r="Y1773" s="14">
        <f>IF(H1773="Active",0,1)</f>
        <v>0</v>
      </c>
    </row>
    <row r="1774" spans="1:25" ht="18" customHeight="1" x14ac:dyDescent="0.35">
      <c r="A1774" s="8" t="s">
        <v>1365</v>
      </c>
      <c r="B1774" s="8" t="s">
        <v>553</v>
      </c>
      <c r="C1774" s="8" t="s">
        <v>25</v>
      </c>
      <c r="D1774" s="9">
        <v>40</v>
      </c>
      <c r="E1774" s="8" t="s">
        <v>93</v>
      </c>
      <c r="F1774" s="8" t="s">
        <v>76</v>
      </c>
      <c r="G1774" s="10">
        <v>45371</v>
      </c>
      <c r="H1774" s="8" t="s">
        <v>26</v>
      </c>
      <c r="I1774" s="8" t="s">
        <v>2267</v>
      </c>
      <c r="J1774" s="8" t="s">
        <v>2270</v>
      </c>
      <c r="K1774" s="8" t="s">
        <v>28</v>
      </c>
      <c r="L1774" s="8" t="s">
        <v>38</v>
      </c>
      <c r="M1774" s="8" t="s">
        <v>60</v>
      </c>
      <c r="N1774" s="11">
        <v>225044</v>
      </c>
      <c r="O1774" s="11">
        <v>29724</v>
      </c>
      <c r="P1774" s="12">
        <v>93.8</v>
      </c>
      <c r="Q1774" s="9">
        <v>4</v>
      </c>
      <c r="R1774" s="13">
        <v>30</v>
      </c>
      <c r="S1774" s="13">
        <v>4</v>
      </c>
      <c r="T1774" s="9">
        <v>32</v>
      </c>
      <c r="U1774" s="13">
        <v>82</v>
      </c>
      <c r="V1774" s="8" t="s">
        <v>31</v>
      </c>
      <c r="W1774" s="8"/>
      <c r="X1774" s="22">
        <f>IF(V1774="Yes",1,0)</f>
        <v>0</v>
      </c>
      <c r="Y1774" s="22">
        <f>IF(H1774="Active",0,1)</f>
        <v>0</v>
      </c>
    </row>
    <row r="1775" spans="1:25" ht="18" customHeight="1" x14ac:dyDescent="0.35">
      <c r="A1775" s="8" t="s">
        <v>1527</v>
      </c>
      <c r="B1775" s="8" t="s">
        <v>261</v>
      </c>
      <c r="C1775" s="8" t="s">
        <v>25</v>
      </c>
      <c r="D1775" s="9">
        <v>43</v>
      </c>
      <c r="E1775" s="8" t="s">
        <v>42</v>
      </c>
      <c r="F1775" s="8" t="s">
        <v>12</v>
      </c>
      <c r="G1775" s="10">
        <v>45371</v>
      </c>
      <c r="H1775" s="8" t="s">
        <v>26</v>
      </c>
      <c r="I1775" s="8" t="s">
        <v>2267</v>
      </c>
      <c r="J1775" s="8" t="s">
        <v>48</v>
      </c>
      <c r="K1775" s="8" t="s">
        <v>55</v>
      </c>
      <c r="L1775" s="8" t="s">
        <v>44</v>
      </c>
      <c r="M1775" s="8" t="s">
        <v>30</v>
      </c>
      <c r="N1775" s="11">
        <v>35356</v>
      </c>
      <c r="O1775" s="11">
        <v>10167</v>
      </c>
      <c r="P1775" s="12">
        <v>94.1</v>
      </c>
      <c r="Q1775" s="9">
        <v>5</v>
      </c>
      <c r="R1775" s="13">
        <v>19</v>
      </c>
      <c r="S1775" s="13">
        <v>1</v>
      </c>
      <c r="T1775" s="9">
        <v>38</v>
      </c>
      <c r="U1775" s="13">
        <v>61</v>
      </c>
      <c r="V1775" s="8" t="s">
        <v>31</v>
      </c>
      <c r="W1775" s="8"/>
      <c r="X1775" s="22">
        <f>IF(V1775="Yes",1,0)</f>
        <v>0</v>
      </c>
      <c r="Y1775" s="22">
        <f>IF(H1775="Active",0,1)</f>
        <v>0</v>
      </c>
    </row>
    <row r="1776" spans="1:25" ht="18" customHeight="1" x14ac:dyDescent="0.35">
      <c r="A1776" s="8" t="s">
        <v>1703</v>
      </c>
      <c r="B1776" s="8" t="s">
        <v>353</v>
      </c>
      <c r="C1776" s="8" t="s">
        <v>25</v>
      </c>
      <c r="D1776" s="9">
        <v>37</v>
      </c>
      <c r="E1776" s="8" t="s">
        <v>93</v>
      </c>
      <c r="F1776" s="8" t="s">
        <v>79</v>
      </c>
      <c r="G1776" s="10">
        <v>45370</v>
      </c>
      <c r="H1776" s="8" t="s">
        <v>26</v>
      </c>
      <c r="I1776" s="8" t="s">
        <v>36</v>
      </c>
      <c r="J1776" s="8" t="s">
        <v>2270</v>
      </c>
      <c r="K1776" s="8" t="s">
        <v>37</v>
      </c>
      <c r="L1776" s="8" t="s">
        <v>87</v>
      </c>
      <c r="M1776" s="8" t="s">
        <v>64</v>
      </c>
      <c r="N1776" s="11">
        <v>36134</v>
      </c>
      <c r="O1776" s="11">
        <v>44562</v>
      </c>
      <c r="P1776" s="12">
        <v>92.5</v>
      </c>
      <c r="Q1776" s="9">
        <v>2</v>
      </c>
      <c r="R1776" s="13">
        <v>22</v>
      </c>
      <c r="S1776" s="13">
        <v>2</v>
      </c>
      <c r="T1776" s="9">
        <v>10</v>
      </c>
      <c r="U1776" s="13">
        <v>96</v>
      </c>
      <c r="V1776" s="8" t="s">
        <v>31</v>
      </c>
      <c r="W1776" s="8"/>
      <c r="X1776" s="22">
        <f>IF(V1776="Yes",1,0)</f>
        <v>0</v>
      </c>
      <c r="Y1776" s="22">
        <f>IF(H1776="Active",0,1)</f>
        <v>0</v>
      </c>
    </row>
    <row r="1777" spans="1:25" ht="18" customHeight="1" x14ac:dyDescent="0.35">
      <c r="A1777" s="8" t="s">
        <v>483</v>
      </c>
      <c r="B1777" s="8" t="s">
        <v>274</v>
      </c>
      <c r="C1777" s="8" t="s">
        <v>25</v>
      </c>
      <c r="D1777" s="9">
        <v>33</v>
      </c>
      <c r="E1777" s="8" t="s">
        <v>93</v>
      </c>
      <c r="F1777" s="8" t="s">
        <v>72</v>
      </c>
      <c r="G1777" s="10">
        <v>45369</v>
      </c>
      <c r="H1777" s="8" t="s">
        <v>26</v>
      </c>
      <c r="I1777" s="8" t="s">
        <v>2267</v>
      </c>
      <c r="J1777" s="8" t="s">
        <v>2269</v>
      </c>
      <c r="K1777" s="8" t="s">
        <v>28</v>
      </c>
      <c r="L1777" s="8" t="s">
        <v>44</v>
      </c>
      <c r="M1777" s="8" t="s">
        <v>39</v>
      </c>
      <c r="N1777" s="11">
        <v>57302</v>
      </c>
      <c r="O1777" s="11">
        <v>36118</v>
      </c>
      <c r="P1777" s="12">
        <v>89.5</v>
      </c>
      <c r="Q1777" s="9">
        <v>8</v>
      </c>
      <c r="R1777" s="13">
        <v>13</v>
      </c>
      <c r="S1777" s="13">
        <v>2</v>
      </c>
      <c r="T1777" s="9">
        <v>28</v>
      </c>
      <c r="U1777" s="13">
        <v>100</v>
      </c>
      <c r="V1777" s="8" t="s">
        <v>31</v>
      </c>
      <c r="W1777" s="8"/>
      <c r="X1777" s="22">
        <f>IF(V1777="Yes",1,0)</f>
        <v>0</v>
      </c>
      <c r="Y1777" s="22">
        <f>IF(H1777="Active",0,1)</f>
        <v>0</v>
      </c>
    </row>
    <row r="1778" spans="1:25" ht="18" customHeight="1" x14ac:dyDescent="0.35">
      <c r="A1778" s="14" t="s">
        <v>1678</v>
      </c>
      <c r="B1778" s="14" t="s">
        <v>439</v>
      </c>
      <c r="C1778" s="14" t="s">
        <v>25</v>
      </c>
      <c r="D1778" s="15">
        <v>34</v>
      </c>
      <c r="E1778" s="14" t="s">
        <v>86</v>
      </c>
      <c r="F1778" s="14" t="s">
        <v>76</v>
      </c>
      <c r="G1778" s="16">
        <v>45369</v>
      </c>
      <c r="H1778" s="14" t="s">
        <v>26</v>
      </c>
      <c r="I1778" s="14" t="s">
        <v>2267</v>
      </c>
      <c r="J1778" s="14" t="s">
        <v>48</v>
      </c>
      <c r="K1778" s="14" t="s">
        <v>28</v>
      </c>
      <c r="L1778" s="14" t="s">
        <v>49</v>
      </c>
      <c r="M1778" s="14" t="s">
        <v>39</v>
      </c>
      <c r="N1778" s="17">
        <v>75842</v>
      </c>
      <c r="O1778" s="17">
        <v>21152</v>
      </c>
      <c r="P1778" s="18">
        <v>85.2</v>
      </c>
      <c r="Q1778" s="15">
        <v>5</v>
      </c>
      <c r="R1778" s="19">
        <v>2</v>
      </c>
      <c r="S1778" s="19">
        <v>1</v>
      </c>
      <c r="T1778" s="15">
        <v>9</v>
      </c>
      <c r="U1778" s="19">
        <v>70</v>
      </c>
      <c r="V1778" s="14" t="s">
        <v>69</v>
      </c>
      <c r="W1778" s="14"/>
      <c r="X1778" s="14">
        <f>IF(V1778="Yes",1,0)</f>
        <v>1</v>
      </c>
      <c r="Y1778" s="14">
        <f>IF(H1778="Active",0,1)</f>
        <v>0</v>
      </c>
    </row>
    <row r="1779" spans="1:25" ht="18" customHeight="1" x14ac:dyDescent="0.35">
      <c r="A1779" s="8" t="s">
        <v>363</v>
      </c>
      <c r="B1779" s="8" t="s">
        <v>240</v>
      </c>
      <c r="C1779" s="8" t="s">
        <v>34</v>
      </c>
      <c r="D1779" s="9">
        <v>58</v>
      </c>
      <c r="E1779" s="8" t="s">
        <v>52</v>
      </c>
      <c r="F1779" s="8" t="s">
        <v>72</v>
      </c>
      <c r="G1779" s="10">
        <v>45368</v>
      </c>
      <c r="H1779" s="8" t="s">
        <v>26</v>
      </c>
      <c r="I1779" s="8" t="s">
        <v>27</v>
      </c>
      <c r="J1779" s="8" t="s">
        <v>80</v>
      </c>
      <c r="K1779" s="8" t="s">
        <v>55</v>
      </c>
      <c r="L1779" s="8" t="s">
        <v>56</v>
      </c>
      <c r="M1779" s="8" t="s">
        <v>64</v>
      </c>
      <c r="N1779" s="11">
        <v>127708</v>
      </c>
      <c r="O1779" s="11">
        <v>36639</v>
      </c>
      <c r="P1779" s="12">
        <v>98.5</v>
      </c>
      <c r="Q1779" s="9">
        <v>5</v>
      </c>
      <c r="R1779" s="13">
        <v>0</v>
      </c>
      <c r="S1779" s="13">
        <v>2</v>
      </c>
      <c r="T1779" s="9">
        <v>15</v>
      </c>
      <c r="U1779" s="13">
        <v>71</v>
      </c>
      <c r="V1779" s="8" t="s">
        <v>69</v>
      </c>
      <c r="W1779" s="8"/>
      <c r="X1779" s="22">
        <f>IF(V1779="Yes",1,0)</f>
        <v>1</v>
      </c>
      <c r="Y1779" s="22">
        <f>IF(H1779="Active",0,1)</f>
        <v>0</v>
      </c>
    </row>
    <row r="1780" spans="1:25" ht="18" customHeight="1" x14ac:dyDescent="0.35">
      <c r="A1780" s="8" t="s">
        <v>398</v>
      </c>
      <c r="B1780" s="8" t="s">
        <v>399</v>
      </c>
      <c r="C1780" s="8" t="s">
        <v>25</v>
      </c>
      <c r="D1780" s="9">
        <v>31</v>
      </c>
      <c r="E1780" s="8" t="s">
        <v>67</v>
      </c>
      <c r="F1780" s="8" t="s">
        <v>53</v>
      </c>
      <c r="G1780" s="10">
        <v>45368</v>
      </c>
      <c r="H1780" s="8" t="s">
        <v>26</v>
      </c>
      <c r="I1780" s="8" t="s">
        <v>27</v>
      </c>
      <c r="J1780" s="8" t="s">
        <v>2269</v>
      </c>
      <c r="K1780" s="8" t="s">
        <v>73</v>
      </c>
      <c r="L1780" s="8" t="s">
        <v>38</v>
      </c>
      <c r="M1780" s="8" t="s">
        <v>45</v>
      </c>
      <c r="N1780" s="11">
        <v>167587</v>
      </c>
      <c r="O1780" s="11">
        <v>27490</v>
      </c>
      <c r="P1780" s="12">
        <v>80.099999999999994</v>
      </c>
      <c r="Q1780" s="9">
        <v>5</v>
      </c>
      <c r="R1780" s="13">
        <v>0</v>
      </c>
      <c r="S1780" s="13">
        <v>1</v>
      </c>
      <c r="T1780" s="9">
        <v>11</v>
      </c>
      <c r="U1780" s="13">
        <v>95</v>
      </c>
      <c r="V1780" s="8" t="s">
        <v>31</v>
      </c>
      <c r="W1780" s="8"/>
      <c r="X1780" s="22">
        <f>IF(V1780="Yes",1,0)</f>
        <v>0</v>
      </c>
      <c r="Y1780" s="22">
        <f>IF(H1780="Active",0,1)</f>
        <v>0</v>
      </c>
    </row>
    <row r="1781" spans="1:25" ht="18" customHeight="1" x14ac:dyDescent="0.35">
      <c r="A1781" s="14" t="s">
        <v>2032</v>
      </c>
      <c r="B1781" s="14" t="s">
        <v>195</v>
      </c>
      <c r="C1781" s="14" t="s">
        <v>34</v>
      </c>
      <c r="D1781" s="15">
        <v>42</v>
      </c>
      <c r="E1781" s="14" t="s">
        <v>42</v>
      </c>
      <c r="F1781" s="14" t="s">
        <v>90</v>
      </c>
      <c r="G1781" s="16">
        <v>45368</v>
      </c>
      <c r="H1781" s="14" t="s">
        <v>26</v>
      </c>
      <c r="I1781" s="14" t="s">
        <v>36</v>
      </c>
      <c r="J1781" s="14" t="s">
        <v>2270</v>
      </c>
      <c r="K1781" s="14" t="s">
        <v>28</v>
      </c>
      <c r="L1781" s="14" t="s">
        <v>44</v>
      </c>
      <c r="M1781" s="14" t="s">
        <v>60</v>
      </c>
      <c r="N1781" s="17">
        <v>134621</v>
      </c>
      <c r="O1781" s="17">
        <v>5260</v>
      </c>
      <c r="P1781" s="18">
        <v>86.6</v>
      </c>
      <c r="Q1781" s="15">
        <v>1</v>
      </c>
      <c r="R1781" s="19">
        <v>9</v>
      </c>
      <c r="S1781" s="19">
        <v>5</v>
      </c>
      <c r="T1781" s="15">
        <v>5</v>
      </c>
      <c r="U1781" s="19">
        <v>99</v>
      </c>
      <c r="V1781" s="14" t="s">
        <v>31</v>
      </c>
      <c r="W1781" s="14"/>
      <c r="X1781" s="14">
        <f>IF(V1781="Yes",1,0)</f>
        <v>0</v>
      </c>
      <c r="Y1781" s="14">
        <f>IF(H1781="Active",0,1)</f>
        <v>0</v>
      </c>
    </row>
    <row r="1782" spans="1:25" ht="18" customHeight="1" x14ac:dyDescent="0.35">
      <c r="A1782" s="14" t="s">
        <v>2216</v>
      </c>
      <c r="B1782" s="14" t="s">
        <v>64</v>
      </c>
      <c r="C1782" s="14" t="s">
        <v>25</v>
      </c>
      <c r="D1782" s="15">
        <v>48</v>
      </c>
      <c r="E1782" s="14" t="s">
        <v>93</v>
      </c>
      <c r="F1782" s="14" t="s">
        <v>43</v>
      </c>
      <c r="G1782" s="16">
        <v>45368</v>
      </c>
      <c r="H1782" s="14" t="s">
        <v>26</v>
      </c>
      <c r="I1782" s="14" t="s">
        <v>36</v>
      </c>
      <c r="J1782" s="14" t="s">
        <v>2268</v>
      </c>
      <c r="K1782" s="14" t="s">
        <v>37</v>
      </c>
      <c r="L1782" s="14" t="s">
        <v>44</v>
      </c>
      <c r="M1782" s="14" t="s">
        <v>30</v>
      </c>
      <c r="N1782" s="17">
        <v>103804</v>
      </c>
      <c r="O1782" s="17">
        <v>28166</v>
      </c>
      <c r="P1782" s="18">
        <v>81.900000000000006</v>
      </c>
      <c r="Q1782" s="15">
        <v>10</v>
      </c>
      <c r="R1782" s="19">
        <v>18</v>
      </c>
      <c r="S1782" s="19">
        <v>3</v>
      </c>
      <c r="T1782" s="15">
        <v>33</v>
      </c>
      <c r="U1782" s="19">
        <v>75</v>
      </c>
      <c r="V1782" s="14" t="s">
        <v>31</v>
      </c>
      <c r="W1782" s="14"/>
      <c r="X1782" s="14">
        <f>IF(V1782="Yes",1,0)</f>
        <v>0</v>
      </c>
      <c r="Y1782" s="14">
        <f>IF(H1782="Active",0,1)</f>
        <v>0</v>
      </c>
    </row>
    <row r="1783" spans="1:25" ht="18" customHeight="1" x14ac:dyDescent="0.35">
      <c r="A1783" s="14" t="s">
        <v>304</v>
      </c>
      <c r="B1783" s="14" t="s">
        <v>305</v>
      </c>
      <c r="C1783" s="14" t="s">
        <v>25</v>
      </c>
      <c r="D1783" s="15">
        <v>57</v>
      </c>
      <c r="E1783" s="14" t="s">
        <v>86</v>
      </c>
      <c r="F1783" s="14" t="s">
        <v>76</v>
      </c>
      <c r="G1783" s="16">
        <v>45367</v>
      </c>
      <c r="H1783" s="14" t="s">
        <v>26</v>
      </c>
      <c r="I1783" s="14" t="s">
        <v>36</v>
      </c>
      <c r="J1783" s="14" t="s">
        <v>48</v>
      </c>
      <c r="K1783" s="14" t="s">
        <v>37</v>
      </c>
      <c r="L1783" s="14" t="s">
        <v>49</v>
      </c>
      <c r="M1783" s="14" t="s">
        <v>39</v>
      </c>
      <c r="N1783" s="17">
        <v>35382</v>
      </c>
      <c r="O1783" s="17">
        <v>47186</v>
      </c>
      <c r="P1783" s="18">
        <v>99.9</v>
      </c>
      <c r="Q1783" s="15">
        <v>5</v>
      </c>
      <c r="R1783" s="19">
        <v>18</v>
      </c>
      <c r="S1783" s="19">
        <v>1</v>
      </c>
      <c r="T1783" s="15">
        <v>39</v>
      </c>
      <c r="U1783" s="19">
        <v>94</v>
      </c>
      <c r="V1783" s="14" t="s">
        <v>31</v>
      </c>
      <c r="W1783" s="14"/>
      <c r="X1783" s="14">
        <f>IF(V1783="Yes",1,0)</f>
        <v>0</v>
      </c>
      <c r="Y1783" s="14">
        <f>IF(H1783="Active",0,1)</f>
        <v>0</v>
      </c>
    </row>
    <row r="1784" spans="1:25" ht="18" customHeight="1" x14ac:dyDescent="0.35">
      <c r="A1784" s="8" t="s">
        <v>618</v>
      </c>
      <c r="B1784" s="8" t="s">
        <v>619</v>
      </c>
      <c r="C1784" s="8" t="s">
        <v>34</v>
      </c>
      <c r="D1784" s="9">
        <v>35</v>
      </c>
      <c r="E1784" s="8" t="s">
        <v>67</v>
      </c>
      <c r="F1784" s="8" t="s">
        <v>35</v>
      </c>
      <c r="G1784" s="10">
        <v>45367</v>
      </c>
      <c r="H1784" s="8" t="s">
        <v>26</v>
      </c>
      <c r="I1784" s="8" t="s">
        <v>27</v>
      </c>
      <c r="J1784" s="8" t="s">
        <v>48</v>
      </c>
      <c r="K1784" s="8" t="s">
        <v>37</v>
      </c>
      <c r="L1784" s="8" t="s">
        <v>87</v>
      </c>
      <c r="M1784" s="8" t="s">
        <v>39</v>
      </c>
      <c r="N1784" s="11">
        <v>178761</v>
      </c>
      <c r="O1784" s="11">
        <v>46462</v>
      </c>
      <c r="P1784" s="12">
        <v>93.2</v>
      </c>
      <c r="Q1784" s="9">
        <v>6</v>
      </c>
      <c r="R1784" s="13">
        <v>27</v>
      </c>
      <c r="S1784" s="13">
        <v>3</v>
      </c>
      <c r="T1784" s="9">
        <v>17</v>
      </c>
      <c r="U1784" s="13">
        <v>70</v>
      </c>
      <c r="V1784" s="8" t="s">
        <v>31</v>
      </c>
      <c r="W1784" s="8"/>
      <c r="X1784" s="22">
        <f>IF(V1784="Yes",1,0)</f>
        <v>0</v>
      </c>
      <c r="Y1784" s="22">
        <f>IF(H1784="Active",0,1)</f>
        <v>0</v>
      </c>
    </row>
    <row r="1785" spans="1:25" ht="18" customHeight="1" x14ac:dyDescent="0.35">
      <c r="A1785" s="14" t="s">
        <v>1276</v>
      </c>
      <c r="B1785" s="14" t="s">
        <v>59</v>
      </c>
      <c r="C1785" s="14" t="s">
        <v>25</v>
      </c>
      <c r="D1785" s="15">
        <v>59</v>
      </c>
      <c r="E1785" s="14" t="s">
        <v>109</v>
      </c>
      <c r="F1785" s="14" t="s">
        <v>76</v>
      </c>
      <c r="G1785" s="16">
        <v>45367</v>
      </c>
      <c r="H1785" s="14" t="s">
        <v>26</v>
      </c>
      <c r="I1785" s="14" t="s">
        <v>2267</v>
      </c>
      <c r="J1785" s="14" t="s">
        <v>2270</v>
      </c>
      <c r="K1785" s="14" t="s">
        <v>28</v>
      </c>
      <c r="L1785" s="14" t="s">
        <v>44</v>
      </c>
      <c r="M1785" s="14" t="s">
        <v>60</v>
      </c>
      <c r="N1785" s="17">
        <v>224267</v>
      </c>
      <c r="O1785" s="17">
        <v>19921</v>
      </c>
      <c r="P1785" s="18">
        <v>87.6</v>
      </c>
      <c r="Q1785" s="15">
        <v>1</v>
      </c>
      <c r="R1785" s="19">
        <v>14</v>
      </c>
      <c r="S1785" s="19">
        <v>3</v>
      </c>
      <c r="T1785" s="15">
        <v>16</v>
      </c>
      <c r="U1785" s="19">
        <v>61</v>
      </c>
      <c r="V1785" s="14" t="s">
        <v>31</v>
      </c>
      <c r="W1785" s="14"/>
      <c r="X1785" s="14">
        <f>IF(V1785="Yes",1,0)</f>
        <v>0</v>
      </c>
      <c r="Y1785" s="14">
        <f>IF(H1785="Active",0,1)</f>
        <v>0</v>
      </c>
    </row>
    <row r="1786" spans="1:25" ht="18" customHeight="1" x14ac:dyDescent="0.35">
      <c r="A1786" s="14" t="s">
        <v>1854</v>
      </c>
      <c r="B1786" s="14" t="s">
        <v>619</v>
      </c>
      <c r="C1786" s="14" t="s">
        <v>34</v>
      </c>
      <c r="D1786" s="15">
        <v>33</v>
      </c>
      <c r="E1786" s="14" t="s">
        <v>2303</v>
      </c>
      <c r="F1786" s="14" t="s">
        <v>35</v>
      </c>
      <c r="G1786" s="16">
        <v>45367</v>
      </c>
      <c r="H1786" s="14" t="s">
        <v>26</v>
      </c>
      <c r="I1786" s="14" t="s">
        <v>36</v>
      </c>
      <c r="J1786" s="14" t="s">
        <v>80</v>
      </c>
      <c r="K1786" s="14" t="s">
        <v>28</v>
      </c>
      <c r="L1786" s="14" t="s">
        <v>38</v>
      </c>
      <c r="M1786" s="14" t="s">
        <v>39</v>
      </c>
      <c r="N1786" s="17">
        <v>202383</v>
      </c>
      <c r="O1786" s="17">
        <v>15007</v>
      </c>
      <c r="P1786" s="18">
        <v>88.3</v>
      </c>
      <c r="Q1786" s="15">
        <v>9</v>
      </c>
      <c r="R1786" s="19">
        <v>20</v>
      </c>
      <c r="S1786" s="19">
        <v>5</v>
      </c>
      <c r="T1786" s="15">
        <v>1</v>
      </c>
      <c r="U1786" s="19">
        <v>84</v>
      </c>
      <c r="V1786" s="14" t="s">
        <v>31</v>
      </c>
      <c r="W1786" s="14"/>
      <c r="X1786" s="14">
        <f>IF(V1786="Yes",1,0)</f>
        <v>0</v>
      </c>
      <c r="Y1786" s="14">
        <f>IF(H1786="Active",0,1)</f>
        <v>0</v>
      </c>
    </row>
    <row r="1787" spans="1:25" ht="18" customHeight="1" x14ac:dyDescent="0.35">
      <c r="A1787" s="14" t="s">
        <v>1710</v>
      </c>
      <c r="B1787" s="14" t="s">
        <v>220</v>
      </c>
      <c r="C1787" s="14" t="s">
        <v>25</v>
      </c>
      <c r="D1787" s="15">
        <v>38</v>
      </c>
      <c r="E1787" s="14" t="s">
        <v>86</v>
      </c>
      <c r="F1787" s="14" t="s">
        <v>12</v>
      </c>
      <c r="G1787" s="16">
        <v>45366</v>
      </c>
      <c r="H1787" s="14" t="s">
        <v>26</v>
      </c>
      <c r="I1787" s="14" t="s">
        <v>36</v>
      </c>
      <c r="J1787" s="14" t="s">
        <v>48</v>
      </c>
      <c r="K1787" s="14" t="s">
        <v>2271</v>
      </c>
      <c r="L1787" s="14" t="s">
        <v>44</v>
      </c>
      <c r="M1787" s="14" t="s">
        <v>30</v>
      </c>
      <c r="N1787" s="17">
        <v>227859</v>
      </c>
      <c r="O1787" s="17">
        <v>44232</v>
      </c>
      <c r="P1787" s="18">
        <v>85.5</v>
      </c>
      <c r="Q1787" s="15">
        <v>1</v>
      </c>
      <c r="R1787" s="19">
        <v>15</v>
      </c>
      <c r="S1787" s="19">
        <v>2</v>
      </c>
      <c r="T1787" s="15">
        <v>1</v>
      </c>
      <c r="U1787" s="19">
        <v>96</v>
      </c>
      <c r="V1787" s="14" t="s">
        <v>31</v>
      </c>
      <c r="W1787" s="14"/>
      <c r="X1787" s="14">
        <f>IF(V1787="Yes",1,0)</f>
        <v>0</v>
      </c>
      <c r="Y1787" s="14">
        <f>IF(H1787="Active",0,1)</f>
        <v>0</v>
      </c>
    </row>
    <row r="1788" spans="1:25" ht="18" customHeight="1" x14ac:dyDescent="0.35">
      <c r="A1788" s="8" t="s">
        <v>1725</v>
      </c>
      <c r="B1788" s="8" t="s">
        <v>323</v>
      </c>
      <c r="C1788" s="8" t="s">
        <v>34</v>
      </c>
      <c r="D1788" s="9">
        <v>53</v>
      </c>
      <c r="E1788" s="8" t="s">
        <v>109</v>
      </c>
      <c r="F1788" s="8" t="s">
        <v>79</v>
      </c>
      <c r="G1788" s="10">
        <v>45366</v>
      </c>
      <c r="H1788" s="8" t="s">
        <v>26</v>
      </c>
      <c r="I1788" s="8" t="s">
        <v>36</v>
      </c>
      <c r="J1788" s="8" t="s">
        <v>48</v>
      </c>
      <c r="K1788" s="8" t="s">
        <v>55</v>
      </c>
      <c r="L1788" s="8" t="s">
        <v>49</v>
      </c>
      <c r="M1788" s="8" t="s">
        <v>64</v>
      </c>
      <c r="N1788" s="11">
        <v>205302</v>
      </c>
      <c r="O1788" s="11">
        <v>40346</v>
      </c>
      <c r="P1788" s="12">
        <v>88.9</v>
      </c>
      <c r="Q1788" s="9">
        <v>7</v>
      </c>
      <c r="R1788" s="13">
        <v>27</v>
      </c>
      <c r="S1788" s="13">
        <v>2</v>
      </c>
      <c r="T1788" s="9">
        <v>30</v>
      </c>
      <c r="U1788" s="13">
        <v>86</v>
      </c>
      <c r="V1788" s="8" t="s">
        <v>69</v>
      </c>
      <c r="W1788" s="8"/>
      <c r="X1788" s="22">
        <f>IF(V1788="Yes",1,0)</f>
        <v>1</v>
      </c>
      <c r="Y1788" s="22">
        <f>IF(H1788="Active",0,1)</f>
        <v>0</v>
      </c>
    </row>
    <row r="1789" spans="1:25" ht="18" customHeight="1" x14ac:dyDescent="0.35">
      <c r="A1789" s="8" t="s">
        <v>1829</v>
      </c>
      <c r="B1789" s="8" t="s">
        <v>559</v>
      </c>
      <c r="C1789" s="8" t="s">
        <v>25</v>
      </c>
      <c r="D1789" s="9">
        <v>45</v>
      </c>
      <c r="E1789" s="8" t="s">
        <v>42</v>
      </c>
      <c r="F1789" s="8" t="s">
        <v>90</v>
      </c>
      <c r="G1789" s="10">
        <v>45366</v>
      </c>
      <c r="H1789" s="8" t="s">
        <v>54</v>
      </c>
      <c r="I1789" s="8" t="s">
        <v>27</v>
      </c>
      <c r="J1789" s="8" t="s">
        <v>2270</v>
      </c>
      <c r="K1789" s="8" t="s">
        <v>28</v>
      </c>
      <c r="L1789" s="8" t="s">
        <v>87</v>
      </c>
      <c r="M1789" s="8" t="s">
        <v>45</v>
      </c>
      <c r="N1789" s="11">
        <v>104603</v>
      </c>
      <c r="O1789" s="11">
        <v>9872</v>
      </c>
      <c r="P1789" s="12">
        <v>86.4</v>
      </c>
      <c r="Q1789" s="9">
        <v>7</v>
      </c>
      <c r="R1789" s="13">
        <v>0</v>
      </c>
      <c r="S1789" s="13">
        <v>2</v>
      </c>
      <c r="T1789" s="9">
        <v>19</v>
      </c>
      <c r="U1789" s="13">
        <v>88</v>
      </c>
      <c r="V1789" s="8" t="s">
        <v>31</v>
      </c>
      <c r="W1789" s="8" t="s">
        <v>205</v>
      </c>
      <c r="X1789" s="22">
        <f>IF(V1789="Yes",1,0)</f>
        <v>0</v>
      </c>
      <c r="Y1789" s="22">
        <f>IF(H1789="Active",0,1)</f>
        <v>1</v>
      </c>
    </row>
    <row r="1790" spans="1:25" ht="18" customHeight="1" x14ac:dyDescent="0.35">
      <c r="A1790" s="8" t="s">
        <v>490</v>
      </c>
      <c r="B1790" s="8" t="s">
        <v>379</v>
      </c>
      <c r="C1790" s="8" t="s">
        <v>34</v>
      </c>
      <c r="D1790" s="9">
        <v>49</v>
      </c>
      <c r="E1790" s="8" t="s">
        <v>52</v>
      </c>
      <c r="F1790" s="8" t="s">
        <v>53</v>
      </c>
      <c r="G1790" s="10">
        <v>45365</v>
      </c>
      <c r="H1790" s="8" t="s">
        <v>26</v>
      </c>
      <c r="I1790" s="8" t="s">
        <v>27</v>
      </c>
      <c r="J1790" s="8" t="s">
        <v>48</v>
      </c>
      <c r="K1790" s="8" t="s">
        <v>73</v>
      </c>
      <c r="L1790" s="8" t="s">
        <v>87</v>
      </c>
      <c r="M1790" s="8" t="s">
        <v>39</v>
      </c>
      <c r="N1790" s="11">
        <v>103147</v>
      </c>
      <c r="O1790" s="11">
        <v>9276</v>
      </c>
      <c r="P1790" s="12">
        <v>90.2</v>
      </c>
      <c r="Q1790" s="9">
        <v>5</v>
      </c>
      <c r="R1790" s="13">
        <v>20</v>
      </c>
      <c r="S1790" s="13">
        <v>5</v>
      </c>
      <c r="T1790" s="9">
        <v>23</v>
      </c>
      <c r="U1790" s="13">
        <v>87</v>
      </c>
      <c r="V1790" s="8" t="s">
        <v>69</v>
      </c>
      <c r="W1790" s="8"/>
      <c r="X1790" s="22">
        <f>IF(V1790="Yes",1,0)</f>
        <v>1</v>
      </c>
      <c r="Y1790" s="22">
        <f>IF(H1790="Active",0,1)</f>
        <v>0</v>
      </c>
    </row>
    <row r="1791" spans="1:25" ht="18" customHeight="1" x14ac:dyDescent="0.35">
      <c r="A1791" s="8" t="s">
        <v>1067</v>
      </c>
      <c r="B1791" s="8" t="s">
        <v>372</v>
      </c>
      <c r="C1791" s="8" t="s">
        <v>34</v>
      </c>
      <c r="D1791" s="9">
        <v>53</v>
      </c>
      <c r="E1791" s="8" t="s">
        <v>2303</v>
      </c>
      <c r="F1791" s="8" t="s">
        <v>12</v>
      </c>
      <c r="G1791" s="10">
        <v>45365</v>
      </c>
      <c r="H1791" s="8" t="s">
        <v>26</v>
      </c>
      <c r="I1791" s="8" t="s">
        <v>2267</v>
      </c>
      <c r="J1791" s="8" t="s">
        <v>48</v>
      </c>
      <c r="K1791" s="8" t="s">
        <v>37</v>
      </c>
      <c r="L1791" s="8" t="s">
        <v>49</v>
      </c>
      <c r="M1791" s="8" t="s">
        <v>39</v>
      </c>
      <c r="N1791" s="11">
        <v>221441</v>
      </c>
      <c r="O1791" s="11">
        <v>29181</v>
      </c>
      <c r="P1791" s="12">
        <v>85.1</v>
      </c>
      <c r="Q1791" s="9">
        <v>6</v>
      </c>
      <c r="R1791" s="13">
        <v>6</v>
      </c>
      <c r="S1791" s="13">
        <v>3</v>
      </c>
      <c r="T1791" s="9">
        <v>6</v>
      </c>
      <c r="U1791" s="13">
        <v>81</v>
      </c>
      <c r="V1791" s="8" t="s">
        <v>31</v>
      </c>
      <c r="W1791" s="8"/>
      <c r="X1791" s="22">
        <f>IF(V1791="Yes",1,0)</f>
        <v>0</v>
      </c>
      <c r="Y1791" s="22">
        <f>IF(H1791="Active",0,1)</f>
        <v>0</v>
      </c>
    </row>
    <row r="1792" spans="1:25" ht="18" customHeight="1" x14ac:dyDescent="0.35">
      <c r="A1792" s="8" t="s">
        <v>1247</v>
      </c>
      <c r="B1792" s="8" t="s">
        <v>506</v>
      </c>
      <c r="C1792" s="8" t="s">
        <v>25</v>
      </c>
      <c r="D1792" s="9">
        <v>40</v>
      </c>
      <c r="E1792" s="8" t="s">
        <v>109</v>
      </c>
      <c r="F1792" s="8" t="s">
        <v>72</v>
      </c>
      <c r="G1792" s="10">
        <v>45365</v>
      </c>
      <c r="H1792" s="8" t="s">
        <v>26</v>
      </c>
      <c r="I1792" s="8" t="s">
        <v>27</v>
      </c>
      <c r="J1792" s="8" t="s">
        <v>2270</v>
      </c>
      <c r="K1792" s="8" t="s">
        <v>2271</v>
      </c>
      <c r="L1792" s="8" t="s">
        <v>56</v>
      </c>
      <c r="M1792" s="8" t="s">
        <v>30</v>
      </c>
      <c r="N1792" s="11">
        <v>112204</v>
      </c>
      <c r="O1792" s="11">
        <v>7839</v>
      </c>
      <c r="P1792" s="12">
        <v>81.5</v>
      </c>
      <c r="Q1792" s="9">
        <v>8</v>
      </c>
      <c r="R1792" s="13">
        <v>12</v>
      </c>
      <c r="S1792" s="13">
        <v>5</v>
      </c>
      <c r="T1792" s="9">
        <v>32</v>
      </c>
      <c r="U1792" s="13">
        <v>89</v>
      </c>
      <c r="V1792" s="8" t="s">
        <v>69</v>
      </c>
      <c r="W1792" s="8"/>
      <c r="X1792" s="22">
        <f>IF(V1792="Yes",1,0)</f>
        <v>1</v>
      </c>
      <c r="Y1792" s="22">
        <f>IF(H1792="Active",0,1)</f>
        <v>0</v>
      </c>
    </row>
    <row r="1793" spans="1:25" ht="18" customHeight="1" x14ac:dyDescent="0.35">
      <c r="A1793" s="8" t="s">
        <v>1447</v>
      </c>
      <c r="B1793" s="8" t="s">
        <v>464</v>
      </c>
      <c r="C1793" s="8" t="s">
        <v>34</v>
      </c>
      <c r="D1793" s="9">
        <v>38</v>
      </c>
      <c r="E1793" s="8" t="s">
        <v>93</v>
      </c>
      <c r="F1793" s="8" t="s">
        <v>12</v>
      </c>
      <c r="G1793" s="10">
        <v>45365</v>
      </c>
      <c r="H1793" s="8" t="s">
        <v>26</v>
      </c>
      <c r="I1793" s="8" t="s">
        <v>27</v>
      </c>
      <c r="J1793" s="8" t="s">
        <v>48</v>
      </c>
      <c r="K1793" s="8" t="s">
        <v>2271</v>
      </c>
      <c r="L1793" s="8" t="s">
        <v>49</v>
      </c>
      <c r="M1793" s="8" t="s">
        <v>30</v>
      </c>
      <c r="N1793" s="11">
        <v>154697</v>
      </c>
      <c r="O1793" s="11">
        <v>48526</v>
      </c>
      <c r="P1793" s="12">
        <v>91.5</v>
      </c>
      <c r="Q1793" s="9">
        <v>2</v>
      </c>
      <c r="R1793" s="13">
        <v>28</v>
      </c>
      <c r="S1793" s="13">
        <v>3</v>
      </c>
      <c r="T1793" s="9">
        <v>3</v>
      </c>
      <c r="U1793" s="13">
        <v>99</v>
      </c>
      <c r="V1793" s="8" t="s">
        <v>31</v>
      </c>
      <c r="W1793" s="8"/>
      <c r="X1793" s="22">
        <f>IF(V1793="Yes",1,0)</f>
        <v>0</v>
      </c>
      <c r="Y1793" s="22">
        <f>IF(H1793="Active",0,1)</f>
        <v>0</v>
      </c>
    </row>
    <row r="1794" spans="1:25" ht="18" customHeight="1" x14ac:dyDescent="0.35">
      <c r="A1794" s="8" t="s">
        <v>1469</v>
      </c>
      <c r="B1794" s="8" t="s">
        <v>384</v>
      </c>
      <c r="C1794" s="8" t="s">
        <v>25</v>
      </c>
      <c r="D1794" s="9">
        <v>42</v>
      </c>
      <c r="E1794" s="8" t="s">
        <v>2303</v>
      </c>
      <c r="F1794" s="8" t="s">
        <v>79</v>
      </c>
      <c r="G1794" s="10">
        <v>45365</v>
      </c>
      <c r="H1794" s="8" t="s">
        <v>26</v>
      </c>
      <c r="I1794" s="8" t="s">
        <v>36</v>
      </c>
      <c r="J1794" s="8" t="s">
        <v>2269</v>
      </c>
      <c r="K1794" s="8" t="s">
        <v>28</v>
      </c>
      <c r="L1794" s="8" t="s">
        <v>116</v>
      </c>
      <c r="M1794" s="8" t="s">
        <v>30</v>
      </c>
      <c r="N1794" s="11">
        <v>136905</v>
      </c>
      <c r="O1794" s="11">
        <v>35282</v>
      </c>
      <c r="P1794" s="12">
        <v>82.2</v>
      </c>
      <c r="Q1794" s="9">
        <v>1</v>
      </c>
      <c r="R1794" s="13">
        <v>11</v>
      </c>
      <c r="S1794" s="13">
        <v>1</v>
      </c>
      <c r="T1794" s="9">
        <v>26</v>
      </c>
      <c r="U1794" s="13">
        <v>78</v>
      </c>
      <c r="V1794" s="8" t="s">
        <v>31</v>
      </c>
      <c r="W1794" s="8"/>
      <c r="X1794" s="22">
        <f>IF(V1794="Yes",1,0)</f>
        <v>0</v>
      </c>
      <c r="Y1794" s="22">
        <f>IF(H1794="Active",0,1)</f>
        <v>0</v>
      </c>
    </row>
    <row r="1795" spans="1:25" ht="18" customHeight="1" x14ac:dyDescent="0.35">
      <c r="A1795" s="8" t="s">
        <v>438</v>
      </c>
      <c r="B1795" s="8" t="s">
        <v>439</v>
      </c>
      <c r="C1795" s="8" t="s">
        <v>34</v>
      </c>
      <c r="D1795" s="9">
        <v>33</v>
      </c>
      <c r="E1795" s="8" t="s">
        <v>67</v>
      </c>
      <c r="F1795" s="8" t="s">
        <v>35</v>
      </c>
      <c r="G1795" s="10">
        <v>45364</v>
      </c>
      <c r="H1795" s="8" t="s">
        <v>26</v>
      </c>
      <c r="I1795" s="8" t="s">
        <v>2267</v>
      </c>
      <c r="J1795" s="8" t="s">
        <v>80</v>
      </c>
      <c r="K1795" s="8" t="s">
        <v>37</v>
      </c>
      <c r="L1795" s="8" t="s">
        <v>56</v>
      </c>
      <c r="M1795" s="8" t="s">
        <v>64</v>
      </c>
      <c r="N1795" s="11">
        <v>130303</v>
      </c>
      <c r="O1795" s="11">
        <v>9798</v>
      </c>
      <c r="P1795" s="12">
        <v>86.7</v>
      </c>
      <c r="Q1795" s="9">
        <v>7</v>
      </c>
      <c r="R1795" s="13">
        <v>0</v>
      </c>
      <c r="S1795" s="13">
        <v>2</v>
      </c>
      <c r="T1795" s="9">
        <v>30</v>
      </c>
      <c r="U1795" s="13">
        <v>76</v>
      </c>
      <c r="V1795" s="8" t="s">
        <v>31</v>
      </c>
      <c r="W1795" s="8"/>
      <c r="X1795" s="22">
        <f>IF(V1795="Yes",1,0)</f>
        <v>0</v>
      </c>
      <c r="Y1795" s="22">
        <f>IF(H1795="Active",0,1)</f>
        <v>0</v>
      </c>
    </row>
    <row r="1796" spans="1:25" ht="18" customHeight="1" x14ac:dyDescent="0.35">
      <c r="A1796" s="8" t="s">
        <v>1765</v>
      </c>
      <c r="B1796" s="8" t="s">
        <v>195</v>
      </c>
      <c r="C1796" s="8" t="s">
        <v>34</v>
      </c>
      <c r="D1796" s="9">
        <v>28</v>
      </c>
      <c r="E1796" s="8" t="s">
        <v>52</v>
      </c>
      <c r="F1796" s="8" t="s">
        <v>53</v>
      </c>
      <c r="G1796" s="10">
        <v>45364</v>
      </c>
      <c r="H1796" s="8" t="s">
        <v>26</v>
      </c>
      <c r="I1796" s="8" t="s">
        <v>27</v>
      </c>
      <c r="J1796" s="8" t="s">
        <v>48</v>
      </c>
      <c r="K1796" s="8" t="s">
        <v>28</v>
      </c>
      <c r="L1796" s="8" t="s">
        <v>68</v>
      </c>
      <c r="M1796" s="8" t="s">
        <v>60</v>
      </c>
      <c r="N1796" s="11">
        <v>36560</v>
      </c>
      <c r="O1796" s="11">
        <v>46834</v>
      </c>
      <c r="P1796" s="12">
        <v>87.3</v>
      </c>
      <c r="Q1796" s="9">
        <v>9</v>
      </c>
      <c r="R1796" s="13">
        <v>9</v>
      </c>
      <c r="S1796" s="13">
        <v>5</v>
      </c>
      <c r="T1796" s="9">
        <v>29</v>
      </c>
      <c r="U1796" s="13">
        <v>86</v>
      </c>
      <c r="V1796" s="8" t="s">
        <v>31</v>
      </c>
      <c r="W1796" s="8"/>
      <c r="X1796" s="22">
        <f>IF(V1796="Yes",1,0)</f>
        <v>0</v>
      </c>
      <c r="Y1796" s="22">
        <f>IF(H1796="Active",0,1)</f>
        <v>0</v>
      </c>
    </row>
    <row r="1797" spans="1:25" ht="18" customHeight="1" x14ac:dyDescent="0.35">
      <c r="A1797" s="8" t="s">
        <v>2183</v>
      </c>
      <c r="B1797" s="8" t="s">
        <v>85</v>
      </c>
      <c r="C1797" s="8" t="s">
        <v>34</v>
      </c>
      <c r="D1797" s="9">
        <v>51</v>
      </c>
      <c r="E1797" s="8" t="s">
        <v>42</v>
      </c>
      <c r="F1797" s="8" t="s">
        <v>79</v>
      </c>
      <c r="G1797" s="10">
        <v>45364</v>
      </c>
      <c r="H1797" s="8" t="s">
        <v>26</v>
      </c>
      <c r="I1797" s="8" t="s">
        <v>27</v>
      </c>
      <c r="J1797" s="8" t="s">
        <v>2268</v>
      </c>
      <c r="K1797" s="8" t="s">
        <v>37</v>
      </c>
      <c r="L1797" s="8" t="s">
        <v>68</v>
      </c>
      <c r="M1797" s="8" t="s">
        <v>30</v>
      </c>
      <c r="N1797" s="11">
        <v>242037</v>
      </c>
      <c r="O1797" s="11">
        <v>43376</v>
      </c>
      <c r="P1797" s="12">
        <v>90.2</v>
      </c>
      <c r="Q1797" s="9">
        <v>10</v>
      </c>
      <c r="R1797" s="13">
        <v>30</v>
      </c>
      <c r="S1797" s="13">
        <v>4</v>
      </c>
      <c r="T1797" s="9">
        <v>16</v>
      </c>
      <c r="U1797" s="13">
        <v>100</v>
      </c>
      <c r="V1797" s="8" t="s">
        <v>31</v>
      </c>
      <c r="W1797" s="8"/>
      <c r="X1797" s="22">
        <f>IF(V1797="Yes",1,0)</f>
        <v>0</v>
      </c>
      <c r="Y1797" s="22">
        <f>IF(H1797="Active",0,1)</f>
        <v>0</v>
      </c>
    </row>
    <row r="1798" spans="1:25" ht="18" customHeight="1" x14ac:dyDescent="0.35">
      <c r="A1798" s="14" t="s">
        <v>617</v>
      </c>
      <c r="B1798" s="14" t="s">
        <v>104</v>
      </c>
      <c r="C1798" s="14" t="s">
        <v>25</v>
      </c>
      <c r="D1798" s="15">
        <v>40</v>
      </c>
      <c r="E1798" s="14" t="s">
        <v>109</v>
      </c>
      <c r="F1798" s="14" t="s">
        <v>72</v>
      </c>
      <c r="G1798" s="16">
        <v>45363</v>
      </c>
      <c r="H1798" s="14" t="s">
        <v>26</v>
      </c>
      <c r="I1798" s="14" t="s">
        <v>27</v>
      </c>
      <c r="J1798" s="14" t="s">
        <v>2268</v>
      </c>
      <c r="K1798" s="14" t="s">
        <v>2271</v>
      </c>
      <c r="L1798" s="14" t="s">
        <v>29</v>
      </c>
      <c r="M1798" s="14" t="s">
        <v>60</v>
      </c>
      <c r="N1798" s="17">
        <v>146387</v>
      </c>
      <c r="O1798" s="17">
        <v>32884</v>
      </c>
      <c r="P1798" s="18">
        <v>94.9</v>
      </c>
      <c r="Q1798" s="15">
        <v>1</v>
      </c>
      <c r="R1798" s="19">
        <v>8</v>
      </c>
      <c r="S1798" s="19">
        <v>1</v>
      </c>
      <c r="T1798" s="15">
        <v>28</v>
      </c>
      <c r="U1798" s="19">
        <v>91</v>
      </c>
      <c r="V1798" s="14" t="s">
        <v>31</v>
      </c>
      <c r="W1798" s="14"/>
      <c r="X1798" s="14">
        <f>IF(V1798="Yes",1,0)</f>
        <v>0</v>
      </c>
      <c r="Y1798" s="14">
        <f>IF(H1798="Active",0,1)</f>
        <v>0</v>
      </c>
    </row>
    <row r="1799" spans="1:25" ht="18" customHeight="1" x14ac:dyDescent="0.35">
      <c r="A1799" s="8" t="s">
        <v>730</v>
      </c>
      <c r="B1799" s="8" t="s">
        <v>314</v>
      </c>
      <c r="C1799" s="8" t="s">
        <v>34</v>
      </c>
      <c r="D1799" s="9">
        <v>39</v>
      </c>
      <c r="E1799" s="8" t="s">
        <v>42</v>
      </c>
      <c r="F1799" s="8" t="s">
        <v>43</v>
      </c>
      <c r="G1799" s="10">
        <v>45363</v>
      </c>
      <c r="H1799" s="8" t="s">
        <v>26</v>
      </c>
      <c r="I1799" s="8" t="s">
        <v>36</v>
      </c>
      <c r="J1799" s="8" t="s">
        <v>2270</v>
      </c>
      <c r="K1799" s="8" t="s">
        <v>55</v>
      </c>
      <c r="L1799" s="8" t="s">
        <v>29</v>
      </c>
      <c r="M1799" s="8" t="s">
        <v>39</v>
      </c>
      <c r="N1799" s="11">
        <v>241149</v>
      </c>
      <c r="O1799" s="11">
        <v>12280</v>
      </c>
      <c r="P1799" s="12">
        <v>81.599999999999994</v>
      </c>
      <c r="Q1799" s="9">
        <v>8</v>
      </c>
      <c r="R1799" s="13">
        <v>9</v>
      </c>
      <c r="S1799" s="13">
        <v>4</v>
      </c>
      <c r="T1799" s="9">
        <v>28</v>
      </c>
      <c r="U1799" s="13">
        <v>80</v>
      </c>
      <c r="V1799" s="8" t="s">
        <v>31</v>
      </c>
      <c r="W1799" s="8"/>
      <c r="X1799" s="22">
        <f>IF(V1799="Yes",1,0)</f>
        <v>0</v>
      </c>
      <c r="Y1799" s="22">
        <f>IF(H1799="Active",0,1)</f>
        <v>0</v>
      </c>
    </row>
    <row r="1800" spans="1:25" ht="18" customHeight="1" x14ac:dyDescent="0.35">
      <c r="A1800" s="8" t="s">
        <v>779</v>
      </c>
      <c r="B1800" s="8" t="s">
        <v>106</v>
      </c>
      <c r="C1800" s="8" t="s">
        <v>25</v>
      </c>
      <c r="D1800" s="9">
        <v>22</v>
      </c>
      <c r="E1800" s="8" t="s">
        <v>2304</v>
      </c>
      <c r="F1800" s="8" t="s">
        <v>35</v>
      </c>
      <c r="G1800" s="10">
        <v>45363</v>
      </c>
      <c r="H1800" s="8" t="s">
        <v>26</v>
      </c>
      <c r="I1800" s="8" t="s">
        <v>36</v>
      </c>
      <c r="J1800" s="8" t="s">
        <v>80</v>
      </c>
      <c r="K1800" s="8" t="s">
        <v>2271</v>
      </c>
      <c r="L1800" s="8" t="s">
        <v>116</v>
      </c>
      <c r="M1800" s="8" t="s">
        <v>64</v>
      </c>
      <c r="N1800" s="11">
        <v>215457</v>
      </c>
      <c r="O1800" s="11">
        <v>46951</v>
      </c>
      <c r="P1800" s="12">
        <v>97.1</v>
      </c>
      <c r="Q1800" s="9">
        <v>3</v>
      </c>
      <c r="R1800" s="13">
        <v>9</v>
      </c>
      <c r="S1800" s="13">
        <v>3</v>
      </c>
      <c r="T1800" s="9">
        <v>0</v>
      </c>
      <c r="U1800" s="13">
        <v>77</v>
      </c>
      <c r="V1800" s="8" t="s">
        <v>31</v>
      </c>
      <c r="W1800" s="8"/>
      <c r="X1800" s="22">
        <f>IF(V1800="Yes",1,0)</f>
        <v>0</v>
      </c>
      <c r="Y1800" s="22">
        <f>IF(H1800="Active",0,1)</f>
        <v>0</v>
      </c>
    </row>
    <row r="1801" spans="1:25" ht="18" customHeight="1" x14ac:dyDescent="0.35">
      <c r="A1801" s="14" t="s">
        <v>971</v>
      </c>
      <c r="B1801" s="14" t="s">
        <v>138</v>
      </c>
      <c r="C1801" s="14" t="s">
        <v>25</v>
      </c>
      <c r="D1801" s="15">
        <v>26</v>
      </c>
      <c r="E1801" s="14" t="s">
        <v>2304</v>
      </c>
      <c r="F1801" s="14" t="s">
        <v>53</v>
      </c>
      <c r="G1801" s="16">
        <v>45363</v>
      </c>
      <c r="H1801" s="14" t="s">
        <v>26</v>
      </c>
      <c r="I1801" s="14" t="s">
        <v>36</v>
      </c>
      <c r="J1801" s="14" t="s">
        <v>2268</v>
      </c>
      <c r="K1801" s="14" t="s">
        <v>28</v>
      </c>
      <c r="L1801" s="14" t="s">
        <v>44</v>
      </c>
      <c r="M1801" s="14" t="s">
        <v>30</v>
      </c>
      <c r="N1801" s="17">
        <v>153868</v>
      </c>
      <c r="O1801" s="17">
        <v>23042</v>
      </c>
      <c r="P1801" s="18">
        <v>97.8</v>
      </c>
      <c r="Q1801" s="15">
        <v>5</v>
      </c>
      <c r="R1801" s="19">
        <v>17</v>
      </c>
      <c r="S1801" s="19">
        <v>2</v>
      </c>
      <c r="T1801" s="15">
        <v>25</v>
      </c>
      <c r="U1801" s="19">
        <v>71</v>
      </c>
      <c r="V1801" s="14" t="s">
        <v>31</v>
      </c>
      <c r="W1801" s="14"/>
      <c r="X1801" s="14">
        <f>IF(V1801="Yes",1,0)</f>
        <v>0</v>
      </c>
      <c r="Y1801" s="14">
        <f>IF(H1801="Active",0,1)</f>
        <v>0</v>
      </c>
    </row>
    <row r="1802" spans="1:25" ht="18" customHeight="1" x14ac:dyDescent="0.35">
      <c r="A1802" s="8" t="s">
        <v>1309</v>
      </c>
      <c r="B1802" s="8" t="s">
        <v>551</v>
      </c>
      <c r="C1802" s="8" t="s">
        <v>25</v>
      </c>
      <c r="D1802" s="9">
        <v>22</v>
      </c>
      <c r="E1802" s="8" t="s">
        <v>109</v>
      </c>
      <c r="F1802" s="8" t="s">
        <v>35</v>
      </c>
      <c r="G1802" s="10">
        <v>45363</v>
      </c>
      <c r="H1802" s="8" t="s">
        <v>26</v>
      </c>
      <c r="I1802" s="8" t="s">
        <v>2267</v>
      </c>
      <c r="J1802" s="8" t="s">
        <v>2268</v>
      </c>
      <c r="K1802" s="8" t="s">
        <v>37</v>
      </c>
      <c r="L1802" s="8" t="s">
        <v>38</v>
      </c>
      <c r="M1802" s="8" t="s">
        <v>45</v>
      </c>
      <c r="N1802" s="11">
        <v>69071</v>
      </c>
      <c r="O1802" s="11">
        <v>14255</v>
      </c>
      <c r="P1802" s="12">
        <v>97.1</v>
      </c>
      <c r="Q1802" s="9">
        <v>6</v>
      </c>
      <c r="R1802" s="13">
        <v>27</v>
      </c>
      <c r="S1802" s="13">
        <v>5</v>
      </c>
      <c r="T1802" s="9">
        <v>25</v>
      </c>
      <c r="U1802" s="13">
        <v>67</v>
      </c>
      <c r="V1802" s="8" t="s">
        <v>69</v>
      </c>
      <c r="W1802" s="8"/>
      <c r="X1802" s="22">
        <f>IF(V1802="Yes",1,0)</f>
        <v>1</v>
      </c>
      <c r="Y1802" s="22">
        <f>IF(H1802="Active",0,1)</f>
        <v>0</v>
      </c>
    </row>
    <row r="1803" spans="1:25" ht="18" customHeight="1" x14ac:dyDescent="0.35">
      <c r="A1803" s="8" t="s">
        <v>1597</v>
      </c>
      <c r="B1803" s="8" t="s">
        <v>278</v>
      </c>
      <c r="C1803" s="8" t="s">
        <v>34</v>
      </c>
      <c r="D1803" s="9">
        <v>53</v>
      </c>
      <c r="E1803" s="8" t="s">
        <v>109</v>
      </c>
      <c r="F1803" s="8" t="s">
        <v>53</v>
      </c>
      <c r="G1803" s="10">
        <v>45363</v>
      </c>
      <c r="H1803" s="8" t="s">
        <v>26</v>
      </c>
      <c r="I1803" s="8" t="s">
        <v>2267</v>
      </c>
      <c r="J1803" s="8" t="s">
        <v>2269</v>
      </c>
      <c r="K1803" s="8" t="s">
        <v>28</v>
      </c>
      <c r="L1803" s="8" t="s">
        <v>44</v>
      </c>
      <c r="M1803" s="8" t="s">
        <v>60</v>
      </c>
      <c r="N1803" s="11">
        <v>40411</v>
      </c>
      <c r="O1803" s="11">
        <v>40969</v>
      </c>
      <c r="P1803" s="12">
        <v>91.3</v>
      </c>
      <c r="Q1803" s="9">
        <v>4</v>
      </c>
      <c r="R1803" s="13">
        <v>6</v>
      </c>
      <c r="S1803" s="13">
        <v>1</v>
      </c>
      <c r="T1803" s="9">
        <v>4</v>
      </c>
      <c r="U1803" s="13">
        <v>77</v>
      </c>
      <c r="V1803" s="8" t="s">
        <v>31</v>
      </c>
      <c r="W1803" s="8"/>
      <c r="X1803" s="22">
        <f>IF(V1803="Yes",1,0)</f>
        <v>0</v>
      </c>
      <c r="Y1803" s="22">
        <f>IF(H1803="Active",0,1)</f>
        <v>0</v>
      </c>
    </row>
    <row r="1804" spans="1:25" ht="18" customHeight="1" x14ac:dyDescent="0.35">
      <c r="A1804" s="8" t="s">
        <v>1921</v>
      </c>
      <c r="B1804" s="8" t="s">
        <v>144</v>
      </c>
      <c r="C1804" s="8" t="s">
        <v>25</v>
      </c>
      <c r="D1804" s="9">
        <v>30</v>
      </c>
      <c r="E1804" s="8" t="s">
        <v>2303</v>
      </c>
      <c r="F1804" s="8" t="s">
        <v>90</v>
      </c>
      <c r="G1804" s="10">
        <v>45363</v>
      </c>
      <c r="H1804" s="8" t="s">
        <v>26</v>
      </c>
      <c r="I1804" s="8" t="s">
        <v>27</v>
      </c>
      <c r="J1804" s="8" t="s">
        <v>2269</v>
      </c>
      <c r="K1804" s="8" t="s">
        <v>2271</v>
      </c>
      <c r="L1804" s="8" t="s">
        <v>116</v>
      </c>
      <c r="M1804" s="8" t="s">
        <v>45</v>
      </c>
      <c r="N1804" s="11">
        <v>178402</v>
      </c>
      <c r="O1804" s="11">
        <v>11500</v>
      </c>
      <c r="P1804" s="12">
        <v>83.9</v>
      </c>
      <c r="Q1804" s="9">
        <v>10</v>
      </c>
      <c r="R1804" s="13">
        <v>2</v>
      </c>
      <c r="S1804" s="13">
        <v>1</v>
      </c>
      <c r="T1804" s="9">
        <v>16</v>
      </c>
      <c r="U1804" s="13">
        <v>89</v>
      </c>
      <c r="V1804" s="8" t="s">
        <v>31</v>
      </c>
      <c r="W1804" s="8"/>
      <c r="X1804" s="22">
        <f>IF(V1804="Yes",1,0)</f>
        <v>0</v>
      </c>
      <c r="Y1804" s="22">
        <f>IF(H1804="Active",0,1)</f>
        <v>0</v>
      </c>
    </row>
    <row r="1805" spans="1:25" ht="18" customHeight="1" x14ac:dyDescent="0.35">
      <c r="A1805" s="14" t="s">
        <v>816</v>
      </c>
      <c r="B1805" s="14" t="s">
        <v>817</v>
      </c>
      <c r="C1805" s="14" t="s">
        <v>25</v>
      </c>
      <c r="D1805" s="15">
        <v>48</v>
      </c>
      <c r="E1805" s="14" t="s">
        <v>42</v>
      </c>
      <c r="F1805" s="14" t="s">
        <v>53</v>
      </c>
      <c r="G1805" s="16">
        <v>45361</v>
      </c>
      <c r="H1805" s="14" t="s">
        <v>26</v>
      </c>
      <c r="I1805" s="14" t="s">
        <v>36</v>
      </c>
      <c r="J1805" s="14" t="s">
        <v>2268</v>
      </c>
      <c r="K1805" s="14" t="s">
        <v>73</v>
      </c>
      <c r="L1805" s="14" t="s">
        <v>49</v>
      </c>
      <c r="M1805" s="14" t="s">
        <v>64</v>
      </c>
      <c r="N1805" s="17">
        <v>203413</v>
      </c>
      <c r="O1805" s="17">
        <v>29031</v>
      </c>
      <c r="P1805" s="18">
        <v>88.6</v>
      </c>
      <c r="Q1805" s="15">
        <v>6</v>
      </c>
      <c r="R1805" s="19">
        <v>28</v>
      </c>
      <c r="S1805" s="19">
        <v>2</v>
      </c>
      <c r="T1805" s="15">
        <v>0</v>
      </c>
      <c r="U1805" s="19">
        <v>77</v>
      </c>
      <c r="V1805" s="14" t="s">
        <v>31</v>
      </c>
      <c r="W1805" s="14"/>
      <c r="X1805" s="14">
        <f>IF(V1805="Yes",1,0)</f>
        <v>0</v>
      </c>
      <c r="Y1805" s="14">
        <f>IF(H1805="Active",0,1)</f>
        <v>0</v>
      </c>
    </row>
    <row r="1806" spans="1:25" ht="18" customHeight="1" x14ac:dyDescent="0.35">
      <c r="A1806" s="14" t="s">
        <v>1730</v>
      </c>
      <c r="B1806" s="14" t="s">
        <v>333</v>
      </c>
      <c r="C1806" s="14" t="s">
        <v>25</v>
      </c>
      <c r="D1806" s="15">
        <v>27</v>
      </c>
      <c r="E1806" s="14" t="s">
        <v>52</v>
      </c>
      <c r="F1806" s="14" t="s">
        <v>43</v>
      </c>
      <c r="G1806" s="16">
        <v>45361</v>
      </c>
      <c r="H1806" s="14" t="s">
        <v>26</v>
      </c>
      <c r="I1806" s="14" t="s">
        <v>2267</v>
      </c>
      <c r="J1806" s="14" t="s">
        <v>2268</v>
      </c>
      <c r="K1806" s="14" t="s">
        <v>28</v>
      </c>
      <c r="L1806" s="14" t="s">
        <v>56</v>
      </c>
      <c r="M1806" s="14" t="s">
        <v>60</v>
      </c>
      <c r="N1806" s="17">
        <v>242242</v>
      </c>
      <c r="O1806" s="17">
        <v>30076</v>
      </c>
      <c r="P1806" s="18">
        <v>82</v>
      </c>
      <c r="Q1806" s="15">
        <v>9</v>
      </c>
      <c r="R1806" s="19">
        <v>7</v>
      </c>
      <c r="S1806" s="19">
        <v>3</v>
      </c>
      <c r="T1806" s="15">
        <v>20</v>
      </c>
      <c r="U1806" s="19">
        <v>97</v>
      </c>
      <c r="V1806" s="14" t="s">
        <v>31</v>
      </c>
      <c r="W1806" s="14"/>
      <c r="X1806" s="14">
        <f>IF(V1806="Yes",1,0)</f>
        <v>0</v>
      </c>
      <c r="Y1806" s="14">
        <f>IF(H1806="Active",0,1)</f>
        <v>0</v>
      </c>
    </row>
    <row r="1807" spans="1:25" ht="18" customHeight="1" x14ac:dyDescent="0.35">
      <c r="A1807" s="8" t="s">
        <v>357</v>
      </c>
      <c r="B1807" s="8" t="s">
        <v>358</v>
      </c>
      <c r="C1807" s="8" t="s">
        <v>34</v>
      </c>
      <c r="D1807" s="9">
        <v>57</v>
      </c>
      <c r="E1807" s="8" t="s">
        <v>67</v>
      </c>
      <c r="F1807" s="8" t="s">
        <v>53</v>
      </c>
      <c r="G1807" s="10">
        <v>45360</v>
      </c>
      <c r="H1807" s="8" t="s">
        <v>26</v>
      </c>
      <c r="I1807" s="8" t="s">
        <v>36</v>
      </c>
      <c r="J1807" s="8" t="s">
        <v>2268</v>
      </c>
      <c r="K1807" s="8" t="s">
        <v>2271</v>
      </c>
      <c r="L1807" s="8" t="s">
        <v>38</v>
      </c>
      <c r="M1807" s="8" t="s">
        <v>39</v>
      </c>
      <c r="N1807" s="11">
        <v>85405</v>
      </c>
      <c r="O1807" s="11">
        <v>44725</v>
      </c>
      <c r="P1807" s="12">
        <v>94.4</v>
      </c>
      <c r="Q1807" s="9">
        <v>0</v>
      </c>
      <c r="R1807" s="13">
        <v>2</v>
      </c>
      <c r="S1807" s="13">
        <v>4</v>
      </c>
      <c r="T1807" s="9">
        <v>26</v>
      </c>
      <c r="U1807" s="13">
        <v>92</v>
      </c>
      <c r="V1807" s="8" t="s">
        <v>31</v>
      </c>
      <c r="W1807" s="8"/>
      <c r="X1807" s="22">
        <f>IF(V1807="Yes",1,0)</f>
        <v>0</v>
      </c>
      <c r="Y1807" s="22">
        <f>IF(H1807="Active",0,1)</f>
        <v>0</v>
      </c>
    </row>
    <row r="1808" spans="1:25" ht="18" customHeight="1" x14ac:dyDescent="0.35">
      <c r="A1808" s="14" t="s">
        <v>716</v>
      </c>
      <c r="B1808" s="14" t="s">
        <v>300</v>
      </c>
      <c r="C1808" s="14" t="s">
        <v>25</v>
      </c>
      <c r="D1808" s="15">
        <v>56</v>
      </c>
      <c r="E1808" s="14" t="s">
        <v>109</v>
      </c>
      <c r="F1808" s="14" t="s">
        <v>79</v>
      </c>
      <c r="G1808" s="16">
        <v>45360</v>
      </c>
      <c r="H1808" s="14" t="s">
        <v>26</v>
      </c>
      <c r="I1808" s="14" t="s">
        <v>2267</v>
      </c>
      <c r="J1808" s="14" t="s">
        <v>2270</v>
      </c>
      <c r="K1808" s="14" t="s">
        <v>73</v>
      </c>
      <c r="L1808" s="14" t="s">
        <v>68</v>
      </c>
      <c r="M1808" s="14" t="s">
        <v>60</v>
      </c>
      <c r="N1808" s="17">
        <v>37662</v>
      </c>
      <c r="O1808" s="17">
        <v>15872</v>
      </c>
      <c r="P1808" s="18">
        <v>91.9</v>
      </c>
      <c r="Q1808" s="15">
        <v>3</v>
      </c>
      <c r="R1808" s="19">
        <v>23</v>
      </c>
      <c r="S1808" s="19">
        <v>5</v>
      </c>
      <c r="T1808" s="15">
        <v>30</v>
      </c>
      <c r="U1808" s="19">
        <v>67</v>
      </c>
      <c r="V1808" s="14" t="s">
        <v>31</v>
      </c>
      <c r="W1808" s="14"/>
      <c r="X1808" s="14">
        <f>IF(V1808="Yes",1,0)</f>
        <v>0</v>
      </c>
      <c r="Y1808" s="14">
        <f>IF(H1808="Active",0,1)</f>
        <v>0</v>
      </c>
    </row>
    <row r="1809" spans="1:25" ht="18" customHeight="1" x14ac:dyDescent="0.35">
      <c r="A1809" s="8" t="s">
        <v>1463</v>
      </c>
      <c r="B1809" s="8" t="s">
        <v>144</v>
      </c>
      <c r="C1809" s="8" t="s">
        <v>25</v>
      </c>
      <c r="D1809" s="9">
        <v>47</v>
      </c>
      <c r="E1809" s="8" t="s">
        <v>93</v>
      </c>
      <c r="F1809" s="8" t="s">
        <v>76</v>
      </c>
      <c r="G1809" s="10">
        <v>45360</v>
      </c>
      <c r="H1809" s="8" t="s">
        <v>26</v>
      </c>
      <c r="I1809" s="8" t="s">
        <v>36</v>
      </c>
      <c r="J1809" s="8" t="s">
        <v>80</v>
      </c>
      <c r="K1809" s="8" t="s">
        <v>2271</v>
      </c>
      <c r="L1809" s="8" t="s">
        <v>49</v>
      </c>
      <c r="M1809" s="8" t="s">
        <v>45</v>
      </c>
      <c r="N1809" s="11">
        <v>161893</v>
      </c>
      <c r="O1809" s="11">
        <v>33409</v>
      </c>
      <c r="P1809" s="12">
        <v>94.4</v>
      </c>
      <c r="Q1809" s="9">
        <v>4</v>
      </c>
      <c r="R1809" s="13">
        <v>8</v>
      </c>
      <c r="S1809" s="13">
        <v>1</v>
      </c>
      <c r="T1809" s="9">
        <v>36</v>
      </c>
      <c r="U1809" s="13">
        <v>73</v>
      </c>
      <c r="V1809" s="8" t="s">
        <v>31</v>
      </c>
      <c r="W1809" s="8"/>
      <c r="X1809" s="22">
        <f>IF(V1809="Yes",1,0)</f>
        <v>0</v>
      </c>
      <c r="Y1809" s="22">
        <f>IF(H1809="Active",0,1)</f>
        <v>0</v>
      </c>
    </row>
    <row r="1810" spans="1:25" ht="18" customHeight="1" x14ac:dyDescent="0.35">
      <c r="A1810" s="14" t="s">
        <v>446</v>
      </c>
      <c r="B1810" s="14" t="s">
        <v>447</v>
      </c>
      <c r="C1810" s="14" t="s">
        <v>25</v>
      </c>
      <c r="D1810" s="15">
        <v>59</v>
      </c>
      <c r="E1810" s="14" t="s">
        <v>42</v>
      </c>
      <c r="F1810" s="14" t="s">
        <v>72</v>
      </c>
      <c r="G1810" s="16">
        <v>45359</v>
      </c>
      <c r="H1810" s="14" t="s">
        <v>26</v>
      </c>
      <c r="I1810" s="14" t="s">
        <v>27</v>
      </c>
      <c r="J1810" s="14" t="s">
        <v>48</v>
      </c>
      <c r="K1810" s="14" t="s">
        <v>28</v>
      </c>
      <c r="L1810" s="14" t="s">
        <v>44</v>
      </c>
      <c r="M1810" s="14" t="s">
        <v>39</v>
      </c>
      <c r="N1810" s="17">
        <v>220570</v>
      </c>
      <c r="O1810" s="17">
        <v>23822</v>
      </c>
      <c r="P1810" s="18">
        <v>80.5</v>
      </c>
      <c r="Q1810" s="15">
        <v>10</v>
      </c>
      <c r="R1810" s="19">
        <v>18</v>
      </c>
      <c r="S1810" s="19">
        <v>1</v>
      </c>
      <c r="T1810" s="15">
        <v>33</v>
      </c>
      <c r="U1810" s="19">
        <v>98</v>
      </c>
      <c r="V1810" s="14" t="s">
        <v>31</v>
      </c>
      <c r="W1810" s="14"/>
      <c r="X1810" s="14">
        <f>IF(V1810="Yes",1,0)</f>
        <v>0</v>
      </c>
      <c r="Y1810" s="14">
        <f>IF(H1810="Active",0,1)</f>
        <v>0</v>
      </c>
    </row>
    <row r="1811" spans="1:25" ht="18" customHeight="1" x14ac:dyDescent="0.35">
      <c r="A1811" s="8" t="s">
        <v>738</v>
      </c>
      <c r="B1811" s="8" t="s">
        <v>429</v>
      </c>
      <c r="C1811" s="8" t="s">
        <v>34</v>
      </c>
      <c r="D1811" s="9">
        <v>28</v>
      </c>
      <c r="E1811" s="8" t="s">
        <v>52</v>
      </c>
      <c r="F1811" s="8" t="s">
        <v>79</v>
      </c>
      <c r="G1811" s="10">
        <v>45358</v>
      </c>
      <c r="H1811" s="8" t="s">
        <v>26</v>
      </c>
      <c r="I1811" s="8" t="s">
        <v>27</v>
      </c>
      <c r="J1811" s="8" t="s">
        <v>80</v>
      </c>
      <c r="K1811" s="8" t="s">
        <v>28</v>
      </c>
      <c r="L1811" s="8" t="s">
        <v>116</v>
      </c>
      <c r="M1811" s="8" t="s">
        <v>60</v>
      </c>
      <c r="N1811" s="11">
        <v>90724</v>
      </c>
      <c r="O1811" s="11">
        <v>16297</v>
      </c>
      <c r="P1811" s="12">
        <v>82.9</v>
      </c>
      <c r="Q1811" s="9">
        <v>6</v>
      </c>
      <c r="R1811" s="13">
        <v>11</v>
      </c>
      <c r="S1811" s="13">
        <v>3</v>
      </c>
      <c r="T1811" s="9">
        <v>12</v>
      </c>
      <c r="U1811" s="13">
        <v>72</v>
      </c>
      <c r="V1811" s="8" t="s">
        <v>31</v>
      </c>
      <c r="W1811" s="8"/>
      <c r="X1811" s="22">
        <f>IF(V1811="Yes",1,0)</f>
        <v>0</v>
      </c>
      <c r="Y1811" s="22">
        <f>IF(H1811="Active",0,1)</f>
        <v>0</v>
      </c>
    </row>
    <row r="1812" spans="1:25" ht="18" customHeight="1" x14ac:dyDescent="0.35">
      <c r="A1812" s="8" t="s">
        <v>912</v>
      </c>
      <c r="B1812" s="8" t="s">
        <v>311</v>
      </c>
      <c r="C1812" s="8" t="s">
        <v>25</v>
      </c>
      <c r="D1812" s="9">
        <v>33</v>
      </c>
      <c r="E1812" s="8" t="s">
        <v>86</v>
      </c>
      <c r="F1812" s="8" t="s">
        <v>76</v>
      </c>
      <c r="G1812" s="10">
        <v>45358</v>
      </c>
      <c r="H1812" s="8" t="s">
        <v>26</v>
      </c>
      <c r="I1812" s="8" t="s">
        <v>36</v>
      </c>
      <c r="J1812" s="8" t="s">
        <v>2268</v>
      </c>
      <c r="K1812" s="8" t="s">
        <v>55</v>
      </c>
      <c r="L1812" s="8" t="s">
        <v>44</v>
      </c>
      <c r="M1812" s="8" t="s">
        <v>45</v>
      </c>
      <c r="N1812" s="11">
        <v>186913</v>
      </c>
      <c r="O1812" s="11">
        <v>30848</v>
      </c>
      <c r="P1812" s="12">
        <v>99.3</v>
      </c>
      <c r="Q1812" s="9">
        <v>3</v>
      </c>
      <c r="R1812" s="13">
        <v>7</v>
      </c>
      <c r="S1812" s="13">
        <v>5</v>
      </c>
      <c r="T1812" s="9">
        <v>26</v>
      </c>
      <c r="U1812" s="13">
        <v>86</v>
      </c>
      <c r="V1812" s="8" t="s">
        <v>31</v>
      </c>
      <c r="W1812" s="8"/>
      <c r="X1812" s="22">
        <f>IF(V1812="Yes",1,0)</f>
        <v>0</v>
      </c>
      <c r="Y1812" s="22">
        <f>IF(H1812="Active",0,1)</f>
        <v>0</v>
      </c>
    </row>
    <row r="1813" spans="1:25" ht="18" customHeight="1" x14ac:dyDescent="0.35">
      <c r="A1813" s="8" t="s">
        <v>1407</v>
      </c>
      <c r="B1813" s="8" t="s">
        <v>102</v>
      </c>
      <c r="C1813" s="8" t="s">
        <v>34</v>
      </c>
      <c r="D1813" s="9">
        <v>48</v>
      </c>
      <c r="E1813" s="8" t="s">
        <v>42</v>
      </c>
      <c r="F1813" s="8" t="s">
        <v>90</v>
      </c>
      <c r="G1813" s="10">
        <v>45358</v>
      </c>
      <c r="H1813" s="8" t="s">
        <v>54</v>
      </c>
      <c r="I1813" s="8" t="s">
        <v>2267</v>
      </c>
      <c r="J1813" s="8" t="s">
        <v>2269</v>
      </c>
      <c r="K1813" s="8" t="s">
        <v>55</v>
      </c>
      <c r="L1813" s="8" t="s">
        <v>49</v>
      </c>
      <c r="M1813" s="8" t="s">
        <v>39</v>
      </c>
      <c r="N1813" s="11">
        <v>97379</v>
      </c>
      <c r="O1813" s="11">
        <v>29590</v>
      </c>
      <c r="P1813" s="12">
        <v>81.8</v>
      </c>
      <c r="Q1813" s="9">
        <v>0</v>
      </c>
      <c r="R1813" s="13">
        <v>16</v>
      </c>
      <c r="S1813" s="13">
        <v>1</v>
      </c>
      <c r="T1813" s="9">
        <v>28</v>
      </c>
      <c r="U1813" s="13">
        <v>76</v>
      </c>
      <c r="V1813" s="8" t="s">
        <v>31</v>
      </c>
      <c r="W1813" s="8" t="s">
        <v>57</v>
      </c>
      <c r="X1813" s="22">
        <f>IF(V1813="Yes",1,0)</f>
        <v>0</v>
      </c>
      <c r="Y1813" s="22">
        <f>IF(H1813="Active",0,1)</f>
        <v>1</v>
      </c>
    </row>
    <row r="1814" spans="1:25" ht="18" customHeight="1" x14ac:dyDescent="0.35">
      <c r="A1814" s="8" t="s">
        <v>717</v>
      </c>
      <c r="B1814" s="8" t="s">
        <v>718</v>
      </c>
      <c r="C1814" s="8" t="s">
        <v>34</v>
      </c>
      <c r="D1814" s="9">
        <v>52</v>
      </c>
      <c r="E1814" s="8" t="s">
        <v>86</v>
      </c>
      <c r="F1814" s="8" t="s">
        <v>53</v>
      </c>
      <c r="G1814" s="10">
        <v>45357</v>
      </c>
      <c r="H1814" s="8" t="s">
        <v>26</v>
      </c>
      <c r="I1814" s="8" t="s">
        <v>36</v>
      </c>
      <c r="J1814" s="8" t="s">
        <v>2268</v>
      </c>
      <c r="K1814" s="8" t="s">
        <v>73</v>
      </c>
      <c r="L1814" s="8" t="s">
        <v>29</v>
      </c>
      <c r="M1814" s="8" t="s">
        <v>45</v>
      </c>
      <c r="N1814" s="11">
        <v>144507</v>
      </c>
      <c r="O1814" s="11">
        <v>30265</v>
      </c>
      <c r="P1814" s="12">
        <v>87.9</v>
      </c>
      <c r="Q1814" s="9">
        <v>2</v>
      </c>
      <c r="R1814" s="13">
        <v>16</v>
      </c>
      <c r="S1814" s="13">
        <v>4</v>
      </c>
      <c r="T1814" s="9">
        <v>7</v>
      </c>
      <c r="U1814" s="13">
        <v>65</v>
      </c>
      <c r="V1814" s="8" t="s">
        <v>31</v>
      </c>
      <c r="W1814" s="8"/>
      <c r="X1814" s="22">
        <f>IF(V1814="Yes",1,0)</f>
        <v>0</v>
      </c>
      <c r="Y1814" s="22">
        <f>IF(H1814="Active",0,1)</f>
        <v>0</v>
      </c>
    </row>
    <row r="1815" spans="1:25" ht="18" customHeight="1" x14ac:dyDescent="0.35">
      <c r="A1815" s="8" t="s">
        <v>1865</v>
      </c>
      <c r="B1815" s="8" t="s">
        <v>379</v>
      </c>
      <c r="C1815" s="8" t="s">
        <v>25</v>
      </c>
      <c r="D1815" s="9">
        <v>21</v>
      </c>
      <c r="E1815" s="8" t="s">
        <v>86</v>
      </c>
      <c r="F1815" s="8" t="s">
        <v>72</v>
      </c>
      <c r="G1815" s="10">
        <v>45357</v>
      </c>
      <c r="H1815" s="8" t="s">
        <v>26</v>
      </c>
      <c r="I1815" s="8" t="s">
        <v>2267</v>
      </c>
      <c r="J1815" s="8" t="s">
        <v>2269</v>
      </c>
      <c r="K1815" s="8" t="s">
        <v>37</v>
      </c>
      <c r="L1815" s="8" t="s">
        <v>87</v>
      </c>
      <c r="M1815" s="8" t="s">
        <v>39</v>
      </c>
      <c r="N1815" s="11">
        <v>139279</v>
      </c>
      <c r="O1815" s="11">
        <v>12386</v>
      </c>
      <c r="P1815" s="12">
        <v>82</v>
      </c>
      <c r="Q1815" s="9">
        <v>8</v>
      </c>
      <c r="R1815" s="13">
        <v>11</v>
      </c>
      <c r="S1815" s="13">
        <v>4</v>
      </c>
      <c r="T1815" s="9">
        <v>35</v>
      </c>
      <c r="U1815" s="13">
        <v>65</v>
      </c>
      <c r="V1815" s="8" t="s">
        <v>31</v>
      </c>
      <c r="W1815" s="8"/>
      <c r="X1815" s="22">
        <f>IF(V1815="Yes",1,0)</f>
        <v>0</v>
      </c>
      <c r="Y1815" s="22">
        <f>IF(H1815="Active",0,1)</f>
        <v>0</v>
      </c>
    </row>
    <row r="1816" spans="1:25" ht="18" customHeight="1" x14ac:dyDescent="0.35">
      <c r="A1816" s="8" t="s">
        <v>2041</v>
      </c>
      <c r="B1816" s="8" t="s">
        <v>179</v>
      </c>
      <c r="C1816" s="8" t="s">
        <v>25</v>
      </c>
      <c r="D1816" s="9">
        <v>35</v>
      </c>
      <c r="E1816" s="8" t="s">
        <v>109</v>
      </c>
      <c r="F1816" s="8" t="s">
        <v>53</v>
      </c>
      <c r="G1816" s="10">
        <v>45357</v>
      </c>
      <c r="H1816" s="8" t="s">
        <v>26</v>
      </c>
      <c r="I1816" s="8" t="s">
        <v>36</v>
      </c>
      <c r="J1816" s="8" t="s">
        <v>2269</v>
      </c>
      <c r="K1816" s="8" t="s">
        <v>37</v>
      </c>
      <c r="L1816" s="8" t="s">
        <v>116</v>
      </c>
      <c r="M1816" s="8" t="s">
        <v>64</v>
      </c>
      <c r="N1816" s="11">
        <v>95644</v>
      </c>
      <c r="O1816" s="11">
        <v>10916</v>
      </c>
      <c r="P1816" s="12">
        <v>99.4</v>
      </c>
      <c r="Q1816" s="9">
        <v>0</v>
      </c>
      <c r="R1816" s="13">
        <v>16</v>
      </c>
      <c r="S1816" s="13">
        <v>3</v>
      </c>
      <c r="T1816" s="9">
        <v>11</v>
      </c>
      <c r="U1816" s="13">
        <v>100</v>
      </c>
      <c r="V1816" s="8" t="s">
        <v>31</v>
      </c>
      <c r="W1816" s="8"/>
      <c r="X1816" s="22">
        <f>IF(V1816="Yes",1,0)</f>
        <v>0</v>
      </c>
      <c r="Y1816" s="22">
        <f>IF(H1816="Active",0,1)</f>
        <v>0</v>
      </c>
    </row>
    <row r="1817" spans="1:25" ht="18" customHeight="1" x14ac:dyDescent="0.35">
      <c r="A1817" s="14" t="s">
        <v>2172</v>
      </c>
      <c r="B1817" s="14" t="s">
        <v>672</v>
      </c>
      <c r="C1817" s="14" t="s">
        <v>25</v>
      </c>
      <c r="D1817" s="15">
        <v>43</v>
      </c>
      <c r="E1817" s="14" t="s">
        <v>42</v>
      </c>
      <c r="F1817" s="14" t="s">
        <v>72</v>
      </c>
      <c r="G1817" s="16">
        <v>45357</v>
      </c>
      <c r="H1817" s="14" t="s">
        <v>26</v>
      </c>
      <c r="I1817" s="14" t="s">
        <v>36</v>
      </c>
      <c r="J1817" s="14" t="s">
        <v>48</v>
      </c>
      <c r="K1817" s="14" t="s">
        <v>28</v>
      </c>
      <c r="L1817" s="14" t="s">
        <v>87</v>
      </c>
      <c r="M1817" s="14" t="s">
        <v>64</v>
      </c>
      <c r="N1817" s="17">
        <v>145028</v>
      </c>
      <c r="O1817" s="17">
        <v>27924</v>
      </c>
      <c r="P1817" s="18">
        <v>96.4</v>
      </c>
      <c r="Q1817" s="15">
        <v>10</v>
      </c>
      <c r="R1817" s="19">
        <v>3</v>
      </c>
      <c r="S1817" s="19">
        <v>2</v>
      </c>
      <c r="T1817" s="15">
        <v>33</v>
      </c>
      <c r="U1817" s="19">
        <v>100</v>
      </c>
      <c r="V1817" s="14" t="s">
        <v>31</v>
      </c>
      <c r="W1817" s="14"/>
      <c r="X1817" s="14">
        <f>IF(V1817="Yes",1,0)</f>
        <v>0</v>
      </c>
      <c r="Y1817" s="14">
        <f>IF(H1817="Active",0,1)</f>
        <v>0</v>
      </c>
    </row>
    <row r="1818" spans="1:25" ht="18" customHeight="1" x14ac:dyDescent="0.35">
      <c r="A1818" s="8" t="s">
        <v>904</v>
      </c>
      <c r="B1818" s="8" t="s">
        <v>548</v>
      </c>
      <c r="C1818" s="8" t="s">
        <v>34</v>
      </c>
      <c r="D1818" s="9">
        <v>42</v>
      </c>
      <c r="E1818" s="8" t="s">
        <v>86</v>
      </c>
      <c r="F1818" s="8" t="s">
        <v>90</v>
      </c>
      <c r="G1818" s="10">
        <v>45356</v>
      </c>
      <c r="H1818" s="8" t="s">
        <v>26</v>
      </c>
      <c r="I1818" s="8" t="s">
        <v>2267</v>
      </c>
      <c r="J1818" s="8" t="s">
        <v>48</v>
      </c>
      <c r="K1818" s="8" t="s">
        <v>2271</v>
      </c>
      <c r="L1818" s="8" t="s">
        <v>56</v>
      </c>
      <c r="M1818" s="8" t="s">
        <v>30</v>
      </c>
      <c r="N1818" s="11">
        <v>133704</v>
      </c>
      <c r="O1818" s="11">
        <v>23469</v>
      </c>
      <c r="P1818" s="12">
        <v>92.3</v>
      </c>
      <c r="Q1818" s="9">
        <v>1</v>
      </c>
      <c r="R1818" s="13">
        <v>26</v>
      </c>
      <c r="S1818" s="13">
        <v>3</v>
      </c>
      <c r="T1818" s="9">
        <v>40</v>
      </c>
      <c r="U1818" s="13">
        <v>98</v>
      </c>
      <c r="V1818" s="8" t="s">
        <v>31</v>
      </c>
      <c r="W1818" s="8"/>
      <c r="X1818" s="22">
        <f>IF(V1818="Yes",1,0)</f>
        <v>0</v>
      </c>
      <c r="Y1818" s="22">
        <f>IF(H1818="Active",0,1)</f>
        <v>0</v>
      </c>
    </row>
    <row r="1819" spans="1:25" ht="18" customHeight="1" x14ac:dyDescent="0.35">
      <c r="A1819" s="14" t="s">
        <v>1796</v>
      </c>
      <c r="B1819" s="14" t="s">
        <v>323</v>
      </c>
      <c r="C1819" s="14" t="s">
        <v>34</v>
      </c>
      <c r="D1819" s="15">
        <v>22</v>
      </c>
      <c r="E1819" s="14" t="s">
        <v>67</v>
      </c>
      <c r="F1819" s="14" t="s">
        <v>53</v>
      </c>
      <c r="G1819" s="16">
        <v>45356</v>
      </c>
      <c r="H1819" s="14" t="s">
        <v>54</v>
      </c>
      <c r="I1819" s="14" t="s">
        <v>2267</v>
      </c>
      <c r="J1819" s="14" t="s">
        <v>80</v>
      </c>
      <c r="K1819" s="14" t="s">
        <v>28</v>
      </c>
      <c r="L1819" s="14" t="s">
        <v>56</v>
      </c>
      <c r="M1819" s="14" t="s">
        <v>39</v>
      </c>
      <c r="N1819" s="17">
        <v>238467</v>
      </c>
      <c r="O1819" s="17">
        <v>21050</v>
      </c>
      <c r="P1819" s="18">
        <v>87.1</v>
      </c>
      <c r="Q1819" s="15">
        <v>0</v>
      </c>
      <c r="R1819" s="19">
        <v>19</v>
      </c>
      <c r="S1819" s="19">
        <v>1</v>
      </c>
      <c r="T1819" s="15">
        <v>34</v>
      </c>
      <c r="U1819" s="19">
        <v>84</v>
      </c>
      <c r="V1819" s="14" t="s">
        <v>31</v>
      </c>
      <c r="W1819" s="14" t="s">
        <v>205</v>
      </c>
      <c r="X1819" s="14">
        <f>IF(V1819="Yes",1,0)</f>
        <v>0</v>
      </c>
      <c r="Y1819" s="14">
        <f>IF(H1819="Active",0,1)</f>
        <v>1</v>
      </c>
    </row>
    <row r="1820" spans="1:25" ht="18" customHeight="1" x14ac:dyDescent="0.35">
      <c r="A1820" s="8" t="s">
        <v>1493</v>
      </c>
      <c r="B1820" s="8" t="s">
        <v>409</v>
      </c>
      <c r="C1820" s="8" t="s">
        <v>25</v>
      </c>
      <c r="D1820" s="9">
        <v>58</v>
      </c>
      <c r="E1820" s="8" t="s">
        <v>63</v>
      </c>
      <c r="F1820" s="8" t="s">
        <v>12</v>
      </c>
      <c r="G1820" s="10">
        <v>45355</v>
      </c>
      <c r="H1820" s="8" t="s">
        <v>26</v>
      </c>
      <c r="I1820" s="8" t="s">
        <v>2267</v>
      </c>
      <c r="J1820" s="8" t="s">
        <v>2270</v>
      </c>
      <c r="K1820" s="8" t="s">
        <v>28</v>
      </c>
      <c r="L1820" s="8" t="s">
        <v>44</v>
      </c>
      <c r="M1820" s="8" t="s">
        <v>30</v>
      </c>
      <c r="N1820" s="11">
        <v>176562</v>
      </c>
      <c r="O1820" s="11">
        <v>12902</v>
      </c>
      <c r="P1820" s="12">
        <v>97.2</v>
      </c>
      <c r="Q1820" s="9">
        <v>2</v>
      </c>
      <c r="R1820" s="13">
        <v>6</v>
      </c>
      <c r="S1820" s="13">
        <v>3</v>
      </c>
      <c r="T1820" s="9">
        <v>21</v>
      </c>
      <c r="U1820" s="13">
        <v>64</v>
      </c>
      <c r="V1820" s="8" t="s">
        <v>31</v>
      </c>
      <c r="W1820" s="8"/>
      <c r="X1820" s="22">
        <f>IF(V1820="Yes",1,0)</f>
        <v>0</v>
      </c>
      <c r="Y1820" s="22">
        <f>IF(H1820="Active",0,1)</f>
        <v>0</v>
      </c>
    </row>
    <row r="1821" spans="1:25" ht="18" customHeight="1" x14ac:dyDescent="0.35">
      <c r="A1821" s="14" t="s">
        <v>2078</v>
      </c>
      <c r="B1821" s="14" t="s">
        <v>567</v>
      </c>
      <c r="C1821" s="14" t="s">
        <v>25</v>
      </c>
      <c r="D1821" s="15">
        <v>40</v>
      </c>
      <c r="E1821" s="14" t="s">
        <v>2304</v>
      </c>
      <c r="F1821" s="14" t="s">
        <v>53</v>
      </c>
      <c r="G1821" s="16">
        <v>45355</v>
      </c>
      <c r="H1821" s="14" t="s">
        <v>26</v>
      </c>
      <c r="I1821" s="14" t="s">
        <v>27</v>
      </c>
      <c r="J1821" s="14" t="s">
        <v>2268</v>
      </c>
      <c r="K1821" s="14" t="s">
        <v>37</v>
      </c>
      <c r="L1821" s="14" t="s">
        <v>38</v>
      </c>
      <c r="M1821" s="14" t="s">
        <v>64</v>
      </c>
      <c r="N1821" s="17">
        <v>241078</v>
      </c>
      <c r="O1821" s="17">
        <v>39041</v>
      </c>
      <c r="P1821" s="18">
        <v>85.7</v>
      </c>
      <c r="Q1821" s="15">
        <v>2</v>
      </c>
      <c r="R1821" s="19">
        <v>29</v>
      </c>
      <c r="S1821" s="19">
        <v>5</v>
      </c>
      <c r="T1821" s="15">
        <v>17</v>
      </c>
      <c r="U1821" s="19">
        <v>99</v>
      </c>
      <c r="V1821" s="14" t="s">
        <v>31</v>
      </c>
      <c r="W1821" s="14"/>
      <c r="X1821" s="14">
        <f>IF(V1821="Yes",1,0)</f>
        <v>0</v>
      </c>
      <c r="Y1821" s="14">
        <f>IF(H1821="Active",0,1)</f>
        <v>0</v>
      </c>
    </row>
    <row r="1822" spans="1:25" ht="18" customHeight="1" x14ac:dyDescent="0.35">
      <c r="A1822" s="8" t="s">
        <v>148</v>
      </c>
      <c r="B1822" s="8" t="s">
        <v>149</v>
      </c>
      <c r="C1822" s="8" t="s">
        <v>25</v>
      </c>
      <c r="D1822" s="9">
        <v>40</v>
      </c>
      <c r="E1822" s="8" t="s">
        <v>86</v>
      </c>
      <c r="F1822" s="8" t="s">
        <v>76</v>
      </c>
      <c r="G1822" s="10">
        <v>45354</v>
      </c>
      <c r="H1822" s="8" t="s">
        <v>54</v>
      </c>
      <c r="I1822" s="8" t="s">
        <v>36</v>
      </c>
      <c r="J1822" s="8" t="s">
        <v>2270</v>
      </c>
      <c r="K1822" s="8" t="s">
        <v>73</v>
      </c>
      <c r="L1822" s="8" t="s">
        <v>49</v>
      </c>
      <c r="M1822" s="8" t="s">
        <v>39</v>
      </c>
      <c r="N1822" s="11">
        <v>235934</v>
      </c>
      <c r="O1822" s="11">
        <v>5734</v>
      </c>
      <c r="P1822" s="12">
        <v>92.8</v>
      </c>
      <c r="Q1822" s="9">
        <v>4</v>
      </c>
      <c r="R1822" s="13">
        <v>5</v>
      </c>
      <c r="S1822" s="13">
        <v>1</v>
      </c>
      <c r="T1822" s="9">
        <v>38</v>
      </c>
      <c r="U1822" s="13">
        <v>94</v>
      </c>
      <c r="V1822" s="8" t="s">
        <v>31</v>
      </c>
      <c r="W1822" s="8" t="s">
        <v>123</v>
      </c>
      <c r="X1822" s="22">
        <f>IF(V1822="Yes",1,0)</f>
        <v>0</v>
      </c>
      <c r="Y1822" s="22">
        <f>IF(H1822="Active",0,1)</f>
        <v>1</v>
      </c>
    </row>
    <row r="1823" spans="1:25" ht="18" customHeight="1" x14ac:dyDescent="0.35">
      <c r="A1823" s="14" t="s">
        <v>557</v>
      </c>
      <c r="B1823" s="14" t="s">
        <v>240</v>
      </c>
      <c r="C1823" s="14" t="s">
        <v>25</v>
      </c>
      <c r="D1823" s="15">
        <v>34</v>
      </c>
      <c r="E1823" s="14" t="s">
        <v>52</v>
      </c>
      <c r="F1823" s="14" t="s">
        <v>12</v>
      </c>
      <c r="G1823" s="16">
        <v>45354</v>
      </c>
      <c r="H1823" s="14" t="s">
        <v>26</v>
      </c>
      <c r="I1823" s="14" t="s">
        <v>2267</v>
      </c>
      <c r="J1823" s="14" t="s">
        <v>2268</v>
      </c>
      <c r="K1823" s="14" t="s">
        <v>73</v>
      </c>
      <c r="L1823" s="14" t="s">
        <v>29</v>
      </c>
      <c r="M1823" s="14" t="s">
        <v>64</v>
      </c>
      <c r="N1823" s="17">
        <v>181143</v>
      </c>
      <c r="O1823" s="17">
        <v>32779</v>
      </c>
      <c r="P1823" s="18">
        <v>89.3</v>
      </c>
      <c r="Q1823" s="15">
        <v>5</v>
      </c>
      <c r="R1823" s="19">
        <v>20</v>
      </c>
      <c r="S1823" s="19">
        <v>3</v>
      </c>
      <c r="T1823" s="15">
        <v>17</v>
      </c>
      <c r="U1823" s="19">
        <v>66</v>
      </c>
      <c r="V1823" s="14" t="s">
        <v>31</v>
      </c>
      <c r="W1823" s="14"/>
      <c r="X1823" s="14">
        <f>IF(V1823="Yes",1,0)</f>
        <v>0</v>
      </c>
      <c r="Y1823" s="14">
        <f>IF(H1823="Active",0,1)</f>
        <v>0</v>
      </c>
    </row>
    <row r="1824" spans="1:25" ht="18" customHeight="1" x14ac:dyDescent="0.35">
      <c r="A1824" s="8" t="s">
        <v>1017</v>
      </c>
      <c r="B1824" s="8" t="s">
        <v>339</v>
      </c>
      <c r="C1824" s="8" t="s">
        <v>34</v>
      </c>
      <c r="D1824" s="9">
        <v>30</v>
      </c>
      <c r="E1824" s="8" t="s">
        <v>109</v>
      </c>
      <c r="F1824" s="8" t="s">
        <v>76</v>
      </c>
      <c r="G1824" s="10">
        <v>45354</v>
      </c>
      <c r="H1824" s="8" t="s">
        <v>26</v>
      </c>
      <c r="I1824" s="8" t="s">
        <v>36</v>
      </c>
      <c r="J1824" s="8" t="s">
        <v>80</v>
      </c>
      <c r="K1824" s="8" t="s">
        <v>28</v>
      </c>
      <c r="L1824" s="8" t="s">
        <v>116</v>
      </c>
      <c r="M1824" s="8" t="s">
        <v>30</v>
      </c>
      <c r="N1824" s="11">
        <v>91867</v>
      </c>
      <c r="O1824" s="11">
        <v>21194</v>
      </c>
      <c r="P1824" s="12">
        <v>97.7</v>
      </c>
      <c r="Q1824" s="9">
        <v>7</v>
      </c>
      <c r="R1824" s="13">
        <v>7</v>
      </c>
      <c r="S1824" s="13">
        <v>5</v>
      </c>
      <c r="T1824" s="9">
        <v>22</v>
      </c>
      <c r="U1824" s="13">
        <v>62</v>
      </c>
      <c r="V1824" s="8" t="s">
        <v>31</v>
      </c>
      <c r="W1824" s="8"/>
      <c r="X1824" s="22">
        <f>IF(V1824="Yes",1,0)</f>
        <v>0</v>
      </c>
      <c r="Y1824" s="22">
        <f>IF(H1824="Active",0,1)</f>
        <v>0</v>
      </c>
    </row>
    <row r="1825" spans="1:25" ht="18" customHeight="1" x14ac:dyDescent="0.35">
      <c r="A1825" s="14" t="s">
        <v>1590</v>
      </c>
      <c r="B1825" s="14" t="s">
        <v>210</v>
      </c>
      <c r="C1825" s="14" t="s">
        <v>34</v>
      </c>
      <c r="D1825" s="15">
        <v>36</v>
      </c>
      <c r="E1825" s="14" t="s">
        <v>52</v>
      </c>
      <c r="F1825" s="14" t="s">
        <v>72</v>
      </c>
      <c r="G1825" s="16">
        <v>45354</v>
      </c>
      <c r="H1825" s="14" t="s">
        <v>26</v>
      </c>
      <c r="I1825" s="14" t="s">
        <v>27</v>
      </c>
      <c r="J1825" s="14" t="s">
        <v>2270</v>
      </c>
      <c r="K1825" s="14" t="s">
        <v>73</v>
      </c>
      <c r="L1825" s="14" t="s">
        <v>29</v>
      </c>
      <c r="M1825" s="14" t="s">
        <v>64</v>
      </c>
      <c r="N1825" s="17">
        <v>239036</v>
      </c>
      <c r="O1825" s="17">
        <v>8076</v>
      </c>
      <c r="P1825" s="18">
        <v>90.8</v>
      </c>
      <c r="Q1825" s="15">
        <v>5</v>
      </c>
      <c r="R1825" s="19">
        <v>28</v>
      </c>
      <c r="S1825" s="19">
        <v>4</v>
      </c>
      <c r="T1825" s="15">
        <v>6</v>
      </c>
      <c r="U1825" s="19">
        <v>100</v>
      </c>
      <c r="V1825" s="14" t="s">
        <v>31</v>
      </c>
      <c r="W1825" s="14"/>
      <c r="X1825" s="14">
        <f>IF(V1825="Yes",1,0)</f>
        <v>0</v>
      </c>
      <c r="Y1825" s="14">
        <f>IF(H1825="Active",0,1)</f>
        <v>0</v>
      </c>
    </row>
    <row r="1826" spans="1:25" ht="18" customHeight="1" x14ac:dyDescent="0.35">
      <c r="A1826" s="8" t="s">
        <v>2137</v>
      </c>
      <c r="B1826" s="8" t="s">
        <v>265</v>
      </c>
      <c r="C1826" s="8" t="s">
        <v>34</v>
      </c>
      <c r="D1826" s="9">
        <v>40</v>
      </c>
      <c r="E1826" s="8" t="s">
        <v>2303</v>
      </c>
      <c r="F1826" s="8" t="s">
        <v>43</v>
      </c>
      <c r="G1826" s="10">
        <v>45353</v>
      </c>
      <c r="H1826" s="8" t="s">
        <v>54</v>
      </c>
      <c r="I1826" s="8" t="s">
        <v>27</v>
      </c>
      <c r="J1826" s="8" t="s">
        <v>80</v>
      </c>
      <c r="K1826" s="8" t="s">
        <v>55</v>
      </c>
      <c r="L1826" s="8" t="s">
        <v>44</v>
      </c>
      <c r="M1826" s="8" t="s">
        <v>30</v>
      </c>
      <c r="N1826" s="11">
        <v>112271</v>
      </c>
      <c r="O1826" s="11">
        <v>33216</v>
      </c>
      <c r="P1826" s="12">
        <v>98.8</v>
      </c>
      <c r="Q1826" s="9">
        <v>8</v>
      </c>
      <c r="R1826" s="13">
        <v>19</v>
      </c>
      <c r="S1826" s="13">
        <v>4</v>
      </c>
      <c r="T1826" s="9">
        <v>16</v>
      </c>
      <c r="U1826" s="13">
        <v>83</v>
      </c>
      <c r="V1826" s="8" t="s">
        <v>69</v>
      </c>
      <c r="W1826" s="8" t="s">
        <v>96</v>
      </c>
      <c r="X1826" s="22">
        <f>IF(V1826="Yes",1,0)</f>
        <v>1</v>
      </c>
      <c r="Y1826" s="22">
        <f>IF(H1826="Active",0,1)</f>
        <v>1</v>
      </c>
    </row>
    <row r="1827" spans="1:25" ht="18" customHeight="1" x14ac:dyDescent="0.35">
      <c r="A1827" s="8" t="s">
        <v>793</v>
      </c>
      <c r="B1827" s="8" t="s">
        <v>553</v>
      </c>
      <c r="C1827" s="8" t="s">
        <v>25</v>
      </c>
      <c r="D1827" s="9">
        <v>60</v>
      </c>
      <c r="E1827" s="8" t="s">
        <v>93</v>
      </c>
      <c r="F1827" s="8" t="s">
        <v>90</v>
      </c>
      <c r="G1827" s="10">
        <v>45352</v>
      </c>
      <c r="H1827" s="8" t="s">
        <v>26</v>
      </c>
      <c r="I1827" s="8" t="s">
        <v>2267</v>
      </c>
      <c r="J1827" s="8" t="s">
        <v>2270</v>
      </c>
      <c r="K1827" s="8" t="s">
        <v>55</v>
      </c>
      <c r="L1827" s="8" t="s">
        <v>49</v>
      </c>
      <c r="M1827" s="8" t="s">
        <v>39</v>
      </c>
      <c r="N1827" s="11">
        <v>44313</v>
      </c>
      <c r="O1827" s="11">
        <v>16668</v>
      </c>
      <c r="P1827" s="12">
        <v>95.5</v>
      </c>
      <c r="Q1827" s="9">
        <v>1</v>
      </c>
      <c r="R1827" s="13">
        <v>9</v>
      </c>
      <c r="S1827" s="13">
        <v>3</v>
      </c>
      <c r="T1827" s="9">
        <v>31</v>
      </c>
      <c r="U1827" s="13">
        <v>87</v>
      </c>
      <c r="V1827" s="8" t="s">
        <v>69</v>
      </c>
      <c r="W1827" s="8"/>
      <c r="X1827" s="22">
        <f>IF(V1827="Yes",1,0)</f>
        <v>1</v>
      </c>
      <c r="Y1827" s="22">
        <f>IF(H1827="Active",0,1)</f>
        <v>0</v>
      </c>
    </row>
    <row r="1828" spans="1:25" ht="18" customHeight="1" x14ac:dyDescent="0.35">
      <c r="A1828" s="8" t="s">
        <v>1653</v>
      </c>
      <c r="B1828" s="8" t="s">
        <v>370</v>
      </c>
      <c r="C1828" s="8" t="s">
        <v>34</v>
      </c>
      <c r="D1828" s="9">
        <v>25</v>
      </c>
      <c r="E1828" s="8" t="s">
        <v>86</v>
      </c>
      <c r="F1828" s="8" t="s">
        <v>79</v>
      </c>
      <c r="G1828" s="10">
        <v>45352</v>
      </c>
      <c r="H1828" s="8" t="s">
        <v>26</v>
      </c>
      <c r="I1828" s="8" t="s">
        <v>2267</v>
      </c>
      <c r="J1828" s="8" t="s">
        <v>2268</v>
      </c>
      <c r="K1828" s="8" t="s">
        <v>37</v>
      </c>
      <c r="L1828" s="8" t="s">
        <v>87</v>
      </c>
      <c r="M1828" s="8" t="s">
        <v>39</v>
      </c>
      <c r="N1828" s="11">
        <v>78403</v>
      </c>
      <c r="O1828" s="11">
        <v>49663</v>
      </c>
      <c r="P1828" s="12">
        <v>93.9</v>
      </c>
      <c r="Q1828" s="9">
        <v>1</v>
      </c>
      <c r="R1828" s="13">
        <v>23</v>
      </c>
      <c r="S1828" s="13">
        <v>2</v>
      </c>
      <c r="T1828" s="9">
        <v>38</v>
      </c>
      <c r="U1828" s="13">
        <v>95</v>
      </c>
      <c r="V1828" s="8" t="s">
        <v>69</v>
      </c>
      <c r="W1828" s="8"/>
      <c r="X1828" s="22">
        <f>IF(V1828="Yes",1,0)</f>
        <v>1</v>
      </c>
      <c r="Y1828" s="22">
        <f>IF(H1828="Active",0,1)</f>
        <v>0</v>
      </c>
    </row>
    <row r="1829" spans="1:25" ht="18" customHeight="1" x14ac:dyDescent="0.35">
      <c r="A1829" s="14" t="s">
        <v>1732</v>
      </c>
      <c r="B1829" s="14" t="s">
        <v>51</v>
      </c>
      <c r="C1829" s="14" t="s">
        <v>34</v>
      </c>
      <c r="D1829" s="15">
        <v>60</v>
      </c>
      <c r="E1829" s="14" t="s">
        <v>42</v>
      </c>
      <c r="F1829" s="14" t="s">
        <v>79</v>
      </c>
      <c r="G1829" s="16">
        <v>45352</v>
      </c>
      <c r="H1829" s="14" t="s">
        <v>26</v>
      </c>
      <c r="I1829" s="14" t="s">
        <v>36</v>
      </c>
      <c r="J1829" s="14" t="s">
        <v>2269</v>
      </c>
      <c r="K1829" s="14" t="s">
        <v>28</v>
      </c>
      <c r="L1829" s="14" t="s">
        <v>68</v>
      </c>
      <c r="M1829" s="14" t="s">
        <v>45</v>
      </c>
      <c r="N1829" s="17">
        <v>92823</v>
      </c>
      <c r="O1829" s="17">
        <v>11591</v>
      </c>
      <c r="P1829" s="18">
        <v>97.6</v>
      </c>
      <c r="Q1829" s="15">
        <v>10</v>
      </c>
      <c r="R1829" s="19">
        <v>30</v>
      </c>
      <c r="S1829" s="19">
        <v>1</v>
      </c>
      <c r="T1829" s="15">
        <v>8</v>
      </c>
      <c r="U1829" s="19">
        <v>98</v>
      </c>
      <c r="V1829" s="14" t="s">
        <v>31</v>
      </c>
      <c r="W1829" s="14"/>
      <c r="X1829" s="14">
        <f>IF(V1829="Yes",1,0)</f>
        <v>0</v>
      </c>
      <c r="Y1829" s="14">
        <f>IF(H1829="Active",0,1)</f>
        <v>0</v>
      </c>
    </row>
    <row r="1830" spans="1:25" ht="18" customHeight="1" x14ac:dyDescent="0.35">
      <c r="A1830" s="8" t="s">
        <v>2061</v>
      </c>
      <c r="B1830" s="8" t="s">
        <v>341</v>
      </c>
      <c r="C1830" s="8" t="s">
        <v>25</v>
      </c>
      <c r="D1830" s="9">
        <v>52</v>
      </c>
      <c r="E1830" s="8" t="s">
        <v>93</v>
      </c>
      <c r="F1830" s="8" t="s">
        <v>72</v>
      </c>
      <c r="G1830" s="10">
        <v>45352</v>
      </c>
      <c r="H1830" s="8" t="s">
        <v>26</v>
      </c>
      <c r="I1830" s="8" t="s">
        <v>36</v>
      </c>
      <c r="J1830" s="8" t="s">
        <v>2269</v>
      </c>
      <c r="K1830" s="8" t="s">
        <v>55</v>
      </c>
      <c r="L1830" s="8" t="s">
        <v>116</v>
      </c>
      <c r="M1830" s="8" t="s">
        <v>39</v>
      </c>
      <c r="N1830" s="11">
        <v>144947</v>
      </c>
      <c r="O1830" s="11">
        <v>44253</v>
      </c>
      <c r="P1830" s="12">
        <v>85.4</v>
      </c>
      <c r="Q1830" s="9">
        <v>10</v>
      </c>
      <c r="R1830" s="13">
        <v>30</v>
      </c>
      <c r="S1830" s="13">
        <v>5</v>
      </c>
      <c r="T1830" s="9">
        <v>33</v>
      </c>
      <c r="U1830" s="13">
        <v>94</v>
      </c>
      <c r="V1830" s="8" t="s">
        <v>31</v>
      </c>
      <c r="W1830" s="8"/>
      <c r="X1830" s="22">
        <f>IF(V1830="Yes",1,0)</f>
        <v>0</v>
      </c>
      <c r="Y1830" s="22">
        <f>IF(H1830="Active",0,1)</f>
        <v>0</v>
      </c>
    </row>
    <row r="1831" spans="1:25" ht="18" customHeight="1" x14ac:dyDescent="0.35">
      <c r="A1831" s="14" t="s">
        <v>1163</v>
      </c>
      <c r="B1831" s="14" t="s">
        <v>246</v>
      </c>
      <c r="C1831" s="14" t="s">
        <v>25</v>
      </c>
      <c r="D1831" s="15">
        <v>54</v>
      </c>
      <c r="E1831" s="14" t="s">
        <v>2304</v>
      </c>
      <c r="F1831" s="14" t="s">
        <v>43</v>
      </c>
      <c r="G1831" s="16">
        <v>45351</v>
      </c>
      <c r="H1831" s="14" t="s">
        <v>26</v>
      </c>
      <c r="I1831" s="14" t="s">
        <v>27</v>
      </c>
      <c r="J1831" s="14" t="s">
        <v>2270</v>
      </c>
      <c r="K1831" s="14" t="s">
        <v>28</v>
      </c>
      <c r="L1831" s="14" t="s">
        <v>68</v>
      </c>
      <c r="M1831" s="14" t="s">
        <v>60</v>
      </c>
      <c r="N1831" s="17">
        <v>244116</v>
      </c>
      <c r="O1831" s="17">
        <v>27907</v>
      </c>
      <c r="P1831" s="18">
        <v>94</v>
      </c>
      <c r="Q1831" s="15">
        <v>5</v>
      </c>
      <c r="R1831" s="19">
        <v>29</v>
      </c>
      <c r="S1831" s="19">
        <v>2</v>
      </c>
      <c r="T1831" s="15">
        <v>38</v>
      </c>
      <c r="U1831" s="19">
        <v>83</v>
      </c>
      <c r="V1831" s="14" t="s">
        <v>31</v>
      </c>
      <c r="W1831" s="14"/>
      <c r="X1831" s="14">
        <f>IF(V1831="Yes",1,0)</f>
        <v>0</v>
      </c>
      <c r="Y1831" s="14">
        <f>IF(H1831="Active",0,1)</f>
        <v>0</v>
      </c>
    </row>
    <row r="1832" spans="1:25" ht="18" customHeight="1" x14ac:dyDescent="0.35">
      <c r="A1832" s="8" t="s">
        <v>1793</v>
      </c>
      <c r="B1832" s="8" t="s">
        <v>646</v>
      </c>
      <c r="C1832" s="8" t="s">
        <v>34</v>
      </c>
      <c r="D1832" s="9">
        <v>40</v>
      </c>
      <c r="E1832" s="8" t="s">
        <v>109</v>
      </c>
      <c r="F1832" s="8" t="s">
        <v>90</v>
      </c>
      <c r="G1832" s="10">
        <v>45351</v>
      </c>
      <c r="H1832" s="8" t="s">
        <v>26</v>
      </c>
      <c r="I1832" s="8" t="s">
        <v>36</v>
      </c>
      <c r="J1832" s="8" t="s">
        <v>2268</v>
      </c>
      <c r="K1832" s="8" t="s">
        <v>37</v>
      </c>
      <c r="L1832" s="8" t="s">
        <v>49</v>
      </c>
      <c r="M1832" s="8" t="s">
        <v>60</v>
      </c>
      <c r="N1832" s="11">
        <v>53752</v>
      </c>
      <c r="O1832" s="11">
        <v>39742</v>
      </c>
      <c r="P1832" s="12">
        <v>91.2</v>
      </c>
      <c r="Q1832" s="9">
        <v>5</v>
      </c>
      <c r="R1832" s="13">
        <v>5</v>
      </c>
      <c r="S1832" s="13">
        <v>5</v>
      </c>
      <c r="T1832" s="9">
        <v>7</v>
      </c>
      <c r="U1832" s="13">
        <v>89</v>
      </c>
      <c r="V1832" s="8" t="s">
        <v>69</v>
      </c>
      <c r="W1832" s="8"/>
      <c r="X1832" s="22">
        <f>IF(V1832="Yes",1,0)</f>
        <v>1</v>
      </c>
      <c r="Y1832" s="22">
        <f>IF(H1832="Active",0,1)</f>
        <v>0</v>
      </c>
    </row>
    <row r="1833" spans="1:25" ht="18" customHeight="1" x14ac:dyDescent="0.35">
      <c r="A1833" s="8" t="s">
        <v>299</v>
      </c>
      <c r="B1833" s="8" t="s">
        <v>300</v>
      </c>
      <c r="C1833" s="8" t="s">
        <v>34</v>
      </c>
      <c r="D1833" s="9">
        <v>46</v>
      </c>
      <c r="E1833" s="8" t="s">
        <v>86</v>
      </c>
      <c r="F1833" s="8" t="s">
        <v>79</v>
      </c>
      <c r="G1833" s="10">
        <v>45350</v>
      </c>
      <c r="H1833" s="8" t="s">
        <v>26</v>
      </c>
      <c r="I1833" s="8" t="s">
        <v>2267</v>
      </c>
      <c r="J1833" s="8" t="s">
        <v>80</v>
      </c>
      <c r="K1833" s="8" t="s">
        <v>37</v>
      </c>
      <c r="L1833" s="8" t="s">
        <v>56</v>
      </c>
      <c r="M1833" s="8" t="s">
        <v>60</v>
      </c>
      <c r="N1833" s="11">
        <v>125835</v>
      </c>
      <c r="O1833" s="11">
        <v>25192</v>
      </c>
      <c r="P1833" s="12">
        <v>80.599999999999994</v>
      </c>
      <c r="Q1833" s="9">
        <v>3</v>
      </c>
      <c r="R1833" s="13">
        <v>15</v>
      </c>
      <c r="S1833" s="13">
        <v>4</v>
      </c>
      <c r="T1833" s="9">
        <v>7</v>
      </c>
      <c r="U1833" s="13">
        <v>72</v>
      </c>
      <c r="V1833" s="8" t="s">
        <v>69</v>
      </c>
      <c r="W1833" s="8"/>
      <c r="X1833" s="22">
        <f>IF(V1833="Yes",1,0)</f>
        <v>1</v>
      </c>
      <c r="Y1833" s="22">
        <f>IF(H1833="Active",0,1)</f>
        <v>0</v>
      </c>
    </row>
    <row r="1834" spans="1:25" ht="18" customHeight="1" x14ac:dyDescent="0.35">
      <c r="A1834" s="8" t="s">
        <v>1021</v>
      </c>
      <c r="B1834" s="8" t="s">
        <v>288</v>
      </c>
      <c r="C1834" s="8" t="s">
        <v>25</v>
      </c>
      <c r="D1834" s="9">
        <v>45</v>
      </c>
      <c r="E1834" s="8" t="s">
        <v>86</v>
      </c>
      <c r="F1834" s="8" t="s">
        <v>79</v>
      </c>
      <c r="G1834" s="10">
        <v>45350</v>
      </c>
      <c r="H1834" s="8" t="s">
        <v>26</v>
      </c>
      <c r="I1834" s="8" t="s">
        <v>2267</v>
      </c>
      <c r="J1834" s="8" t="s">
        <v>48</v>
      </c>
      <c r="K1834" s="8" t="s">
        <v>37</v>
      </c>
      <c r="L1834" s="8" t="s">
        <v>29</v>
      </c>
      <c r="M1834" s="8" t="s">
        <v>60</v>
      </c>
      <c r="N1834" s="11">
        <v>43518</v>
      </c>
      <c r="O1834" s="11">
        <v>37519</v>
      </c>
      <c r="P1834" s="12">
        <v>90.3</v>
      </c>
      <c r="Q1834" s="9">
        <v>6</v>
      </c>
      <c r="R1834" s="13">
        <v>6</v>
      </c>
      <c r="S1834" s="13">
        <v>2</v>
      </c>
      <c r="T1834" s="9">
        <v>26</v>
      </c>
      <c r="U1834" s="13">
        <v>75</v>
      </c>
      <c r="V1834" s="8" t="s">
        <v>31</v>
      </c>
      <c r="W1834" s="8"/>
      <c r="X1834" s="22">
        <f>IF(V1834="Yes",1,0)</f>
        <v>0</v>
      </c>
      <c r="Y1834" s="22">
        <f>IF(H1834="Active",0,1)</f>
        <v>0</v>
      </c>
    </row>
    <row r="1835" spans="1:25" ht="18" customHeight="1" x14ac:dyDescent="0.35">
      <c r="A1835" s="14" t="s">
        <v>1852</v>
      </c>
      <c r="B1835" s="14" t="s">
        <v>118</v>
      </c>
      <c r="C1835" s="14" t="s">
        <v>34</v>
      </c>
      <c r="D1835" s="15">
        <v>41</v>
      </c>
      <c r="E1835" s="14" t="s">
        <v>63</v>
      </c>
      <c r="F1835" s="14" t="s">
        <v>79</v>
      </c>
      <c r="G1835" s="16">
        <v>45350</v>
      </c>
      <c r="H1835" s="14" t="s">
        <v>26</v>
      </c>
      <c r="I1835" s="14" t="s">
        <v>27</v>
      </c>
      <c r="J1835" s="14" t="s">
        <v>2270</v>
      </c>
      <c r="K1835" s="14" t="s">
        <v>73</v>
      </c>
      <c r="L1835" s="14" t="s">
        <v>38</v>
      </c>
      <c r="M1835" s="14" t="s">
        <v>45</v>
      </c>
      <c r="N1835" s="17">
        <v>62564</v>
      </c>
      <c r="O1835" s="17">
        <v>27123</v>
      </c>
      <c r="P1835" s="18">
        <v>91.4</v>
      </c>
      <c r="Q1835" s="15">
        <v>9</v>
      </c>
      <c r="R1835" s="19">
        <v>0</v>
      </c>
      <c r="S1835" s="19">
        <v>5</v>
      </c>
      <c r="T1835" s="15">
        <v>19</v>
      </c>
      <c r="U1835" s="19">
        <v>85</v>
      </c>
      <c r="V1835" s="14" t="s">
        <v>31</v>
      </c>
      <c r="W1835" s="14"/>
      <c r="X1835" s="14">
        <f>IF(V1835="Yes",1,0)</f>
        <v>0</v>
      </c>
      <c r="Y1835" s="14">
        <f>IF(H1835="Active",0,1)</f>
        <v>0</v>
      </c>
    </row>
    <row r="1836" spans="1:25" ht="18" customHeight="1" x14ac:dyDescent="0.35">
      <c r="A1836" s="8" t="s">
        <v>1975</v>
      </c>
      <c r="B1836" s="8" t="s">
        <v>171</v>
      </c>
      <c r="C1836" s="8" t="s">
        <v>34</v>
      </c>
      <c r="D1836" s="9">
        <v>49</v>
      </c>
      <c r="E1836" s="8" t="s">
        <v>52</v>
      </c>
      <c r="F1836" s="8" t="s">
        <v>53</v>
      </c>
      <c r="G1836" s="10">
        <v>45350</v>
      </c>
      <c r="H1836" s="8" t="s">
        <v>26</v>
      </c>
      <c r="I1836" s="8" t="s">
        <v>27</v>
      </c>
      <c r="J1836" s="8" t="s">
        <v>2268</v>
      </c>
      <c r="K1836" s="8" t="s">
        <v>73</v>
      </c>
      <c r="L1836" s="8" t="s">
        <v>29</v>
      </c>
      <c r="M1836" s="8" t="s">
        <v>45</v>
      </c>
      <c r="N1836" s="11">
        <v>49340</v>
      </c>
      <c r="O1836" s="11">
        <v>30413</v>
      </c>
      <c r="P1836" s="12">
        <v>99.5</v>
      </c>
      <c r="Q1836" s="9">
        <v>10</v>
      </c>
      <c r="R1836" s="13">
        <v>8</v>
      </c>
      <c r="S1836" s="13">
        <v>3</v>
      </c>
      <c r="T1836" s="9">
        <v>29</v>
      </c>
      <c r="U1836" s="13">
        <v>97</v>
      </c>
      <c r="V1836" s="8" t="s">
        <v>31</v>
      </c>
      <c r="W1836" s="8"/>
      <c r="X1836" s="22">
        <f>IF(V1836="Yes",1,0)</f>
        <v>0</v>
      </c>
      <c r="Y1836" s="22">
        <f>IF(H1836="Active",0,1)</f>
        <v>0</v>
      </c>
    </row>
    <row r="1837" spans="1:25" ht="18" customHeight="1" x14ac:dyDescent="0.35">
      <c r="A1837" s="8" t="s">
        <v>580</v>
      </c>
      <c r="B1837" s="8" t="s">
        <v>581</v>
      </c>
      <c r="C1837" s="8" t="s">
        <v>34</v>
      </c>
      <c r="D1837" s="9">
        <v>50</v>
      </c>
      <c r="E1837" s="8" t="s">
        <v>2303</v>
      </c>
      <c r="F1837" s="8" t="s">
        <v>53</v>
      </c>
      <c r="G1837" s="10">
        <v>45349</v>
      </c>
      <c r="H1837" s="8" t="s">
        <v>26</v>
      </c>
      <c r="I1837" s="8" t="s">
        <v>2267</v>
      </c>
      <c r="J1837" s="8" t="s">
        <v>80</v>
      </c>
      <c r="K1837" s="8" t="s">
        <v>28</v>
      </c>
      <c r="L1837" s="8" t="s">
        <v>38</v>
      </c>
      <c r="M1837" s="8" t="s">
        <v>30</v>
      </c>
      <c r="N1837" s="11">
        <v>38010</v>
      </c>
      <c r="O1837" s="11">
        <v>21694</v>
      </c>
      <c r="P1837" s="12">
        <v>96</v>
      </c>
      <c r="Q1837" s="9">
        <v>10</v>
      </c>
      <c r="R1837" s="13">
        <v>14</v>
      </c>
      <c r="S1837" s="13">
        <v>5</v>
      </c>
      <c r="T1837" s="9">
        <v>25</v>
      </c>
      <c r="U1837" s="13">
        <v>77</v>
      </c>
      <c r="V1837" s="8" t="s">
        <v>31</v>
      </c>
      <c r="W1837" s="8"/>
      <c r="X1837" s="22">
        <f>IF(V1837="Yes",1,0)</f>
        <v>0</v>
      </c>
      <c r="Y1837" s="22">
        <f>IF(H1837="Active",0,1)</f>
        <v>0</v>
      </c>
    </row>
    <row r="1838" spans="1:25" ht="18" customHeight="1" x14ac:dyDescent="0.35">
      <c r="A1838" s="14" t="s">
        <v>1506</v>
      </c>
      <c r="B1838" s="14" t="s">
        <v>265</v>
      </c>
      <c r="C1838" s="14" t="s">
        <v>34</v>
      </c>
      <c r="D1838" s="15">
        <v>48</v>
      </c>
      <c r="E1838" s="14" t="s">
        <v>86</v>
      </c>
      <c r="F1838" s="14" t="s">
        <v>76</v>
      </c>
      <c r="G1838" s="16">
        <v>45349</v>
      </c>
      <c r="H1838" s="14" t="s">
        <v>26</v>
      </c>
      <c r="I1838" s="14" t="s">
        <v>2267</v>
      </c>
      <c r="J1838" s="14" t="s">
        <v>2269</v>
      </c>
      <c r="K1838" s="14" t="s">
        <v>55</v>
      </c>
      <c r="L1838" s="14" t="s">
        <v>116</v>
      </c>
      <c r="M1838" s="14" t="s">
        <v>60</v>
      </c>
      <c r="N1838" s="17">
        <v>118431</v>
      </c>
      <c r="O1838" s="17">
        <v>39577</v>
      </c>
      <c r="P1838" s="18">
        <v>93.9</v>
      </c>
      <c r="Q1838" s="15">
        <v>1</v>
      </c>
      <c r="R1838" s="19">
        <v>0</v>
      </c>
      <c r="S1838" s="19">
        <v>4</v>
      </c>
      <c r="T1838" s="15">
        <v>29</v>
      </c>
      <c r="U1838" s="19">
        <v>82</v>
      </c>
      <c r="V1838" s="14" t="s">
        <v>31</v>
      </c>
      <c r="W1838" s="14"/>
      <c r="X1838" s="14">
        <f>IF(V1838="Yes",1,0)</f>
        <v>0</v>
      </c>
      <c r="Y1838" s="14">
        <f>IF(H1838="Active",0,1)</f>
        <v>0</v>
      </c>
    </row>
    <row r="1839" spans="1:25" ht="18" customHeight="1" x14ac:dyDescent="0.35">
      <c r="A1839" s="14" t="s">
        <v>2018</v>
      </c>
      <c r="B1839" s="14" t="s">
        <v>270</v>
      </c>
      <c r="C1839" s="14" t="s">
        <v>25</v>
      </c>
      <c r="D1839" s="15">
        <v>55</v>
      </c>
      <c r="E1839" s="14" t="s">
        <v>63</v>
      </c>
      <c r="F1839" s="14" t="s">
        <v>53</v>
      </c>
      <c r="G1839" s="16">
        <v>45349</v>
      </c>
      <c r="H1839" s="14" t="s">
        <v>54</v>
      </c>
      <c r="I1839" s="14" t="s">
        <v>27</v>
      </c>
      <c r="J1839" s="14" t="s">
        <v>2269</v>
      </c>
      <c r="K1839" s="14" t="s">
        <v>2271</v>
      </c>
      <c r="L1839" s="14" t="s">
        <v>116</v>
      </c>
      <c r="M1839" s="14" t="s">
        <v>30</v>
      </c>
      <c r="N1839" s="17">
        <v>75526</v>
      </c>
      <c r="O1839" s="17">
        <v>33557</v>
      </c>
      <c r="P1839" s="18">
        <v>85.6</v>
      </c>
      <c r="Q1839" s="15">
        <v>3</v>
      </c>
      <c r="R1839" s="19">
        <v>9</v>
      </c>
      <c r="S1839" s="19">
        <v>1</v>
      </c>
      <c r="T1839" s="15">
        <v>18</v>
      </c>
      <c r="U1839" s="19">
        <v>93</v>
      </c>
      <c r="V1839" s="14" t="s">
        <v>69</v>
      </c>
      <c r="W1839" s="14" t="s">
        <v>205</v>
      </c>
      <c r="X1839" s="14">
        <f>IF(V1839="Yes",1,0)</f>
        <v>1</v>
      </c>
      <c r="Y1839" s="14">
        <f>IF(H1839="Active",0,1)</f>
        <v>1</v>
      </c>
    </row>
    <row r="1840" spans="1:25" ht="18" customHeight="1" x14ac:dyDescent="0.35">
      <c r="A1840" s="8" t="s">
        <v>2089</v>
      </c>
      <c r="B1840" s="8" t="s">
        <v>234</v>
      </c>
      <c r="C1840" s="8" t="s">
        <v>34</v>
      </c>
      <c r="D1840" s="9">
        <v>48</v>
      </c>
      <c r="E1840" s="8" t="s">
        <v>52</v>
      </c>
      <c r="F1840" s="8" t="s">
        <v>79</v>
      </c>
      <c r="G1840" s="10">
        <v>45349</v>
      </c>
      <c r="H1840" s="8" t="s">
        <v>26</v>
      </c>
      <c r="I1840" s="8" t="s">
        <v>27</v>
      </c>
      <c r="J1840" s="8" t="s">
        <v>48</v>
      </c>
      <c r="K1840" s="8" t="s">
        <v>2271</v>
      </c>
      <c r="L1840" s="8" t="s">
        <v>68</v>
      </c>
      <c r="M1840" s="8" t="s">
        <v>64</v>
      </c>
      <c r="N1840" s="11">
        <v>81096</v>
      </c>
      <c r="O1840" s="11">
        <v>24072</v>
      </c>
      <c r="P1840" s="12">
        <v>83.8</v>
      </c>
      <c r="Q1840" s="9">
        <v>5</v>
      </c>
      <c r="R1840" s="13">
        <v>8</v>
      </c>
      <c r="S1840" s="13">
        <v>4</v>
      </c>
      <c r="T1840" s="9">
        <v>17</v>
      </c>
      <c r="U1840" s="13">
        <v>74</v>
      </c>
      <c r="V1840" s="8" t="s">
        <v>31</v>
      </c>
      <c r="W1840" s="8"/>
      <c r="X1840" s="22">
        <f>IF(V1840="Yes",1,0)</f>
        <v>0</v>
      </c>
      <c r="Y1840" s="22">
        <f>IF(H1840="Active",0,1)</f>
        <v>0</v>
      </c>
    </row>
    <row r="1841" spans="1:25" ht="18" customHeight="1" x14ac:dyDescent="0.35">
      <c r="A1841" s="14" t="s">
        <v>2228</v>
      </c>
      <c r="B1841" s="14" t="s">
        <v>567</v>
      </c>
      <c r="C1841" s="14" t="s">
        <v>25</v>
      </c>
      <c r="D1841" s="15">
        <v>45</v>
      </c>
      <c r="E1841" s="14" t="s">
        <v>67</v>
      </c>
      <c r="F1841" s="14" t="s">
        <v>72</v>
      </c>
      <c r="G1841" s="16">
        <v>45349</v>
      </c>
      <c r="H1841" s="14" t="s">
        <v>26</v>
      </c>
      <c r="I1841" s="14" t="s">
        <v>27</v>
      </c>
      <c r="J1841" s="14" t="s">
        <v>2269</v>
      </c>
      <c r="K1841" s="14" t="s">
        <v>37</v>
      </c>
      <c r="L1841" s="14" t="s">
        <v>87</v>
      </c>
      <c r="M1841" s="14" t="s">
        <v>30</v>
      </c>
      <c r="N1841" s="17">
        <v>66520</v>
      </c>
      <c r="O1841" s="17">
        <v>42769</v>
      </c>
      <c r="P1841" s="18">
        <v>97.7</v>
      </c>
      <c r="Q1841" s="15">
        <v>9</v>
      </c>
      <c r="R1841" s="19">
        <v>14</v>
      </c>
      <c r="S1841" s="19">
        <v>1</v>
      </c>
      <c r="T1841" s="15">
        <v>13</v>
      </c>
      <c r="U1841" s="19">
        <v>99</v>
      </c>
      <c r="V1841" s="14" t="s">
        <v>31</v>
      </c>
      <c r="W1841" s="14"/>
      <c r="X1841" s="14">
        <f>IF(V1841="Yes",1,0)</f>
        <v>0</v>
      </c>
      <c r="Y1841" s="14">
        <f>IF(H1841="Active",0,1)</f>
        <v>0</v>
      </c>
    </row>
    <row r="1842" spans="1:25" ht="18" customHeight="1" x14ac:dyDescent="0.35">
      <c r="A1842" s="14" t="s">
        <v>961</v>
      </c>
      <c r="B1842" s="14" t="s">
        <v>379</v>
      </c>
      <c r="C1842" s="14" t="s">
        <v>25</v>
      </c>
      <c r="D1842" s="15">
        <v>23</v>
      </c>
      <c r="E1842" s="14" t="s">
        <v>2304</v>
      </c>
      <c r="F1842" s="14" t="s">
        <v>90</v>
      </c>
      <c r="G1842" s="16">
        <v>45348</v>
      </c>
      <c r="H1842" s="14" t="s">
        <v>26</v>
      </c>
      <c r="I1842" s="14" t="s">
        <v>27</v>
      </c>
      <c r="J1842" s="14" t="s">
        <v>2268</v>
      </c>
      <c r="K1842" s="14" t="s">
        <v>28</v>
      </c>
      <c r="L1842" s="14" t="s">
        <v>68</v>
      </c>
      <c r="M1842" s="14" t="s">
        <v>30</v>
      </c>
      <c r="N1842" s="17">
        <v>226174</v>
      </c>
      <c r="O1842" s="17">
        <v>44233</v>
      </c>
      <c r="P1842" s="18">
        <v>84.6</v>
      </c>
      <c r="Q1842" s="15">
        <v>7</v>
      </c>
      <c r="R1842" s="19">
        <v>2</v>
      </c>
      <c r="S1842" s="19">
        <v>5</v>
      </c>
      <c r="T1842" s="15">
        <v>14</v>
      </c>
      <c r="U1842" s="19">
        <v>70</v>
      </c>
      <c r="V1842" s="14" t="s">
        <v>31</v>
      </c>
      <c r="W1842" s="14"/>
      <c r="X1842" s="14">
        <f>IF(V1842="Yes",1,0)</f>
        <v>0</v>
      </c>
      <c r="Y1842" s="14">
        <f>IF(H1842="Active",0,1)</f>
        <v>0</v>
      </c>
    </row>
    <row r="1843" spans="1:25" ht="18" customHeight="1" x14ac:dyDescent="0.35">
      <c r="A1843" s="14" t="s">
        <v>1752</v>
      </c>
      <c r="B1843" s="14" t="s">
        <v>75</v>
      </c>
      <c r="C1843" s="14" t="s">
        <v>34</v>
      </c>
      <c r="D1843" s="15">
        <v>25</v>
      </c>
      <c r="E1843" s="14" t="s">
        <v>52</v>
      </c>
      <c r="F1843" s="14" t="s">
        <v>12</v>
      </c>
      <c r="G1843" s="16">
        <v>45348</v>
      </c>
      <c r="H1843" s="14" t="s">
        <v>26</v>
      </c>
      <c r="I1843" s="14" t="s">
        <v>36</v>
      </c>
      <c r="J1843" s="14" t="s">
        <v>48</v>
      </c>
      <c r="K1843" s="14" t="s">
        <v>73</v>
      </c>
      <c r="L1843" s="14" t="s">
        <v>38</v>
      </c>
      <c r="M1843" s="14" t="s">
        <v>60</v>
      </c>
      <c r="N1843" s="17">
        <v>112758</v>
      </c>
      <c r="O1843" s="17">
        <v>44133</v>
      </c>
      <c r="P1843" s="18">
        <v>96.9</v>
      </c>
      <c r="Q1843" s="15">
        <v>5</v>
      </c>
      <c r="R1843" s="19">
        <v>12</v>
      </c>
      <c r="S1843" s="19">
        <v>2</v>
      </c>
      <c r="T1843" s="15">
        <v>31</v>
      </c>
      <c r="U1843" s="19">
        <v>94</v>
      </c>
      <c r="V1843" s="14" t="s">
        <v>31</v>
      </c>
      <c r="W1843" s="14"/>
      <c r="X1843" s="14">
        <f>IF(V1843="Yes",1,0)</f>
        <v>0</v>
      </c>
      <c r="Y1843" s="14">
        <f>IF(H1843="Active",0,1)</f>
        <v>0</v>
      </c>
    </row>
    <row r="1844" spans="1:25" ht="18" customHeight="1" x14ac:dyDescent="0.35">
      <c r="A1844" s="14" t="s">
        <v>2190</v>
      </c>
      <c r="B1844" s="14" t="s">
        <v>173</v>
      </c>
      <c r="C1844" s="14" t="s">
        <v>34</v>
      </c>
      <c r="D1844" s="15">
        <v>43</v>
      </c>
      <c r="E1844" s="14" t="s">
        <v>42</v>
      </c>
      <c r="F1844" s="14" t="s">
        <v>53</v>
      </c>
      <c r="G1844" s="16">
        <v>45348</v>
      </c>
      <c r="H1844" s="14" t="s">
        <v>26</v>
      </c>
      <c r="I1844" s="14" t="s">
        <v>36</v>
      </c>
      <c r="J1844" s="14" t="s">
        <v>2269</v>
      </c>
      <c r="K1844" s="14" t="s">
        <v>55</v>
      </c>
      <c r="L1844" s="14" t="s">
        <v>116</v>
      </c>
      <c r="M1844" s="14" t="s">
        <v>30</v>
      </c>
      <c r="N1844" s="17">
        <v>120438</v>
      </c>
      <c r="O1844" s="17">
        <v>6540</v>
      </c>
      <c r="P1844" s="18">
        <v>82.4</v>
      </c>
      <c r="Q1844" s="15">
        <v>4</v>
      </c>
      <c r="R1844" s="19">
        <v>22</v>
      </c>
      <c r="S1844" s="19">
        <v>3</v>
      </c>
      <c r="T1844" s="15">
        <v>21</v>
      </c>
      <c r="U1844" s="19">
        <v>76</v>
      </c>
      <c r="V1844" s="14" t="s">
        <v>31</v>
      </c>
      <c r="W1844" s="14"/>
      <c r="X1844" s="14">
        <f>IF(V1844="Yes",1,0)</f>
        <v>0</v>
      </c>
      <c r="Y1844" s="14">
        <f>IF(H1844="Active",0,1)</f>
        <v>0</v>
      </c>
    </row>
    <row r="1845" spans="1:25" ht="18" customHeight="1" x14ac:dyDescent="0.35">
      <c r="A1845" s="8" t="s">
        <v>544</v>
      </c>
      <c r="B1845" s="8" t="s">
        <v>125</v>
      </c>
      <c r="C1845" s="8" t="s">
        <v>34</v>
      </c>
      <c r="D1845" s="9">
        <v>47</v>
      </c>
      <c r="E1845" s="8" t="s">
        <v>52</v>
      </c>
      <c r="F1845" s="8" t="s">
        <v>35</v>
      </c>
      <c r="G1845" s="10">
        <v>45347</v>
      </c>
      <c r="H1845" s="8" t="s">
        <v>26</v>
      </c>
      <c r="I1845" s="8" t="s">
        <v>27</v>
      </c>
      <c r="J1845" s="8" t="s">
        <v>2269</v>
      </c>
      <c r="K1845" s="8" t="s">
        <v>55</v>
      </c>
      <c r="L1845" s="8" t="s">
        <v>49</v>
      </c>
      <c r="M1845" s="8" t="s">
        <v>64</v>
      </c>
      <c r="N1845" s="11">
        <v>79159</v>
      </c>
      <c r="O1845" s="11">
        <v>41207</v>
      </c>
      <c r="P1845" s="12">
        <v>84.5</v>
      </c>
      <c r="Q1845" s="9">
        <v>7</v>
      </c>
      <c r="R1845" s="13">
        <v>25</v>
      </c>
      <c r="S1845" s="13">
        <v>1</v>
      </c>
      <c r="T1845" s="9">
        <v>15</v>
      </c>
      <c r="U1845" s="13">
        <v>75</v>
      </c>
      <c r="V1845" s="8" t="s">
        <v>31</v>
      </c>
      <c r="W1845" s="8"/>
      <c r="X1845" s="22">
        <f>IF(V1845="Yes",1,0)</f>
        <v>0</v>
      </c>
      <c r="Y1845" s="22">
        <f>IF(H1845="Active",0,1)</f>
        <v>0</v>
      </c>
    </row>
    <row r="1846" spans="1:25" ht="18" customHeight="1" x14ac:dyDescent="0.35">
      <c r="A1846" s="8" t="s">
        <v>1379</v>
      </c>
      <c r="B1846" s="8" t="s">
        <v>333</v>
      </c>
      <c r="C1846" s="8" t="s">
        <v>34</v>
      </c>
      <c r="D1846" s="9">
        <v>26</v>
      </c>
      <c r="E1846" s="8" t="s">
        <v>2303</v>
      </c>
      <c r="F1846" s="8" t="s">
        <v>79</v>
      </c>
      <c r="G1846" s="10">
        <v>45347</v>
      </c>
      <c r="H1846" s="8" t="s">
        <v>26</v>
      </c>
      <c r="I1846" s="8" t="s">
        <v>27</v>
      </c>
      <c r="J1846" s="8" t="s">
        <v>2268</v>
      </c>
      <c r="K1846" s="8" t="s">
        <v>73</v>
      </c>
      <c r="L1846" s="8" t="s">
        <v>56</v>
      </c>
      <c r="M1846" s="8" t="s">
        <v>60</v>
      </c>
      <c r="N1846" s="11">
        <v>121292</v>
      </c>
      <c r="O1846" s="11">
        <v>9359</v>
      </c>
      <c r="P1846" s="12">
        <v>80.7</v>
      </c>
      <c r="Q1846" s="9">
        <v>10</v>
      </c>
      <c r="R1846" s="13">
        <v>20</v>
      </c>
      <c r="S1846" s="13">
        <v>5</v>
      </c>
      <c r="T1846" s="9">
        <v>20</v>
      </c>
      <c r="U1846" s="13">
        <v>85</v>
      </c>
      <c r="V1846" s="8" t="s">
        <v>31</v>
      </c>
      <c r="W1846" s="8"/>
      <c r="X1846" s="22">
        <f>IF(V1846="Yes",1,0)</f>
        <v>0</v>
      </c>
      <c r="Y1846" s="22">
        <f>IF(H1846="Active",0,1)</f>
        <v>0</v>
      </c>
    </row>
    <row r="1847" spans="1:25" ht="18" customHeight="1" x14ac:dyDescent="0.35">
      <c r="A1847" s="8" t="s">
        <v>2045</v>
      </c>
      <c r="B1847" s="8" t="s">
        <v>461</v>
      </c>
      <c r="C1847" s="8" t="s">
        <v>25</v>
      </c>
      <c r="D1847" s="9">
        <v>39</v>
      </c>
      <c r="E1847" s="8" t="s">
        <v>2304</v>
      </c>
      <c r="F1847" s="8" t="s">
        <v>12</v>
      </c>
      <c r="G1847" s="10">
        <v>45347</v>
      </c>
      <c r="H1847" s="8" t="s">
        <v>54</v>
      </c>
      <c r="I1847" s="8" t="s">
        <v>36</v>
      </c>
      <c r="J1847" s="8" t="s">
        <v>80</v>
      </c>
      <c r="K1847" s="8" t="s">
        <v>28</v>
      </c>
      <c r="L1847" s="8" t="s">
        <v>68</v>
      </c>
      <c r="M1847" s="8" t="s">
        <v>30</v>
      </c>
      <c r="N1847" s="11">
        <v>213276</v>
      </c>
      <c r="O1847" s="11">
        <v>45570</v>
      </c>
      <c r="P1847" s="12">
        <v>82.7</v>
      </c>
      <c r="Q1847" s="9">
        <v>2</v>
      </c>
      <c r="R1847" s="13">
        <v>17</v>
      </c>
      <c r="S1847" s="13">
        <v>4</v>
      </c>
      <c r="T1847" s="9">
        <v>10</v>
      </c>
      <c r="U1847" s="13">
        <v>79</v>
      </c>
      <c r="V1847" s="8" t="s">
        <v>69</v>
      </c>
      <c r="W1847" s="8" t="s">
        <v>205</v>
      </c>
      <c r="X1847" s="22">
        <f>IF(V1847="Yes",1,0)</f>
        <v>1</v>
      </c>
      <c r="Y1847" s="22">
        <f>IF(H1847="Active",0,1)</f>
        <v>1</v>
      </c>
    </row>
    <row r="1848" spans="1:25" ht="18" customHeight="1" x14ac:dyDescent="0.35">
      <c r="A1848" s="14" t="s">
        <v>959</v>
      </c>
      <c r="B1848" s="14" t="s">
        <v>497</v>
      </c>
      <c r="C1848" s="14" t="s">
        <v>34</v>
      </c>
      <c r="D1848" s="15">
        <v>44</v>
      </c>
      <c r="E1848" s="14" t="s">
        <v>109</v>
      </c>
      <c r="F1848" s="14" t="s">
        <v>79</v>
      </c>
      <c r="G1848" s="16">
        <v>45346</v>
      </c>
      <c r="H1848" s="14" t="s">
        <v>26</v>
      </c>
      <c r="I1848" s="14" t="s">
        <v>36</v>
      </c>
      <c r="J1848" s="14" t="s">
        <v>2270</v>
      </c>
      <c r="K1848" s="14" t="s">
        <v>2271</v>
      </c>
      <c r="L1848" s="14" t="s">
        <v>38</v>
      </c>
      <c r="M1848" s="14" t="s">
        <v>30</v>
      </c>
      <c r="N1848" s="17">
        <v>63962</v>
      </c>
      <c r="O1848" s="17">
        <v>13913</v>
      </c>
      <c r="P1848" s="18">
        <v>85</v>
      </c>
      <c r="Q1848" s="15">
        <v>8</v>
      </c>
      <c r="R1848" s="19">
        <v>19</v>
      </c>
      <c r="S1848" s="19">
        <v>3</v>
      </c>
      <c r="T1848" s="15">
        <v>31</v>
      </c>
      <c r="U1848" s="19">
        <v>69</v>
      </c>
      <c r="V1848" s="14" t="s">
        <v>31</v>
      </c>
      <c r="W1848" s="14"/>
      <c r="X1848" s="14">
        <f>IF(V1848="Yes",1,0)</f>
        <v>0</v>
      </c>
      <c r="Y1848" s="14">
        <f>IF(H1848="Active",0,1)</f>
        <v>0</v>
      </c>
    </row>
    <row r="1849" spans="1:25" ht="18" customHeight="1" x14ac:dyDescent="0.35">
      <c r="A1849" s="8" t="s">
        <v>1153</v>
      </c>
      <c r="B1849" s="8" t="s">
        <v>265</v>
      </c>
      <c r="C1849" s="8" t="s">
        <v>25</v>
      </c>
      <c r="D1849" s="9">
        <v>43</v>
      </c>
      <c r="E1849" s="8" t="s">
        <v>2304</v>
      </c>
      <c r="F1849" s="8" t="s">
        <v>35</v>
      </c>
      <c r="G1849" s="10">
        <v>45346</v>
      </c>
      <c r="H1849" s="8" t="s">
        <v>26</v>
      </c>
      <c r="I1849" s="8" t="s">
        <v>2267</v>
      </c>
      <c r="J1849" s="8" t="s">
        <v>80</v>
      </c>
      <c r="K1849" s="8" t="s">
        <v>28</v>
      </c>
      <c r="L1849" s="8" t="s">
        <v>87</v>
      </c>
      <c r="M1849" s="8" t="s">
        <v>64</v>
      </c>
      <c r="N1849" s="11">
        <v>144790</v>
      </c>
      <c r="O1849" s="11">
        <v>12895</v>
      </c>
      <c r="P1849" s="12">
        <v>98.4</v>
      </c>
      <c r="Q1849" s="9">
        <v>10</v>
      </c>
      <c r="R1849" s="13">
        <v>9</v>
      </c>
      <c r="S1849" s="13">
        <v>2</v>
      </c>
      <c r="T1849" s="9">
        <v>27</v>
      </c>
      <c r="U1849" s="13">
        <v>85</v>
      </c>
      <c r="V1849" s="8" t="s">
        <v>69</v>
      </c>
      <c r="W1849" s="8"/>
      <c r="X1849" s="22">
        <f>IF(V1849="Yes",1,0)</f>
        <v>1</v>
      </c>
      <c r="Y1849" s="22">
        <f>IF(H1849="Active",0,1)</f>
        <v>0</v>
      </c>
    </row>
    <row r="1850" spans="1:25" ht="18" customHeight="1" x14ac:dyDescent="0.35">
      <c r="A1850" s="14" t="s">
        <v>389</v>
      </c>
      <c r="B1850" s="14" t="s">
        <v>390</v>
      </c>
      <c r="C1850" s="14" t="s">
        <v>34</v>
      </c>
      <c r="D1850" s="15">
        <v>53</v>
      </c>
      <c r="E1850" s="14" t="s">
        <v>93</v>
      </c>
      <c r="F1850" s="14" t="s">
        <v>79</v>
      </c>
      <c r="G1850" s="16">
        <v>45345</v>
      </c>
      <c r="H1850" s="14" t="s">
        <v>26</v>
      </c>
      <c r="I1850" s="14" t="s">
        <v>36</v>
      </c>
      <c r="J1850" s="14" t="s">
        <v>48</v>
      </c>
      <c r="K1850" s="14" t="s">
        <v>2271</v>
      </c>
      <c r="L1850" s="14" t="s">
        <v>49</v>
      </c>
      <c r="M1850" s="14" t="s">
        <v>39</v>
      </c>
      <c r="N1850" s="17">
        <v>128169</v>
      </c>
      <c r="O1850" s="17">
        <v>14843</v>
      </c>
      <c r="P1850" s="18">
        <v>81</v>
      </c>
      <c r="Q1850" s="15">
        <v>2</v>
      </c>
      <c r="R1850" s="19">
        <v>25</v>
      </c>
      <c r="S1850" s="19">
        <v>4</v>
      </c>
      <c r="T1850" s="15">
        <v>22</v>
      </c>
      <c r="U1850" s="19">
        <v>72</v>
      </c>
      <c r="V1850" s="14" t="s">
        <v>31</v>
      </c>
      <c r="W1850" s="14"/>
      <c r="X1850" s="14">
        <f>IF(V1850="Yes",1,0)</f>
        <v>0</v>
      </c>
      <c r="Y1850" s="14">
        <f>IF(H1850="Active",0,1)</f>
        <v>0</v>
      </c>
    </row>
    <row r="1851" spans="1:25" ht="18" customHeight="1" x14ac:dyDescent="0.35">
      <c r="A1851" s="14" t="s">
        <v>901</v>
      </c>
      <c r="B1851" s="14" t="s">
        <v>461</v>
      </c>
      <c r="C1851" s="14" t="s">
        <v>25</v>
      </c>
      <c r="D1851" s="15">
        <v>48</v>
      </c>
      <c r="E1851" s="14" t="s">
        <v>67</v>
      </c>
      <c r="F1851" s="14" t="s">
        <v>90</v>
      </c>
      <c r="G1851" s="16">
        <v>45345</v>
      </c>
      <c r="H1851" s="14" t="s">
        <v>26</v>
      </c>
      <c r="I1851" s="14" t="s">
        <v>27</v>
      </c>
      <c r="J1851" s="14" t="s">
        <v>48</v>
      </c>
      <c r="K1851" s="14" t="s">
        <v>37</v>
      </c>
      <c r="L1851" s="14" t="s">
        <v>29</v>
      </c>
      <c r="M1851" s="14" t="s">
        <v>30</v>
      </c>
      <c r="N1851" s="17">
        <v>72698</v>
      </c>
      <c r="O1851" s="17">
        <v>30717</v>
      </c>
      <c r="P1851" s="18">
        <v>87.5</v>
      </c>
      <c r="Q1851" s="15">
        <v>3</v>
      </c>
      <c r="R1851" s="19">
        <v>13</v>
      </c>
      <c r="S1851" s="19">
        <v>2</v>
      </c>
      <c r="T1851" s="15">
        <v>39</v>
      </c>
      <c r="U1851" s="19">
        <v>65</v>
      </c>
      <c r="V1851" s="14" t="s">
        <v>31</v>
      </c>
      <c r="W1851" s="14"/>
      <c r="X1851" s="14">
        <f>IF(V1851="Yes",1,0)</f>
        <v>0</v>
      </c>
      <c r="Y1851" s="14">
        <f>IF(H1851="Active",0,1)</f>
        <v>0</v>
      </c>
    </row>
    <row r="1852" spans="1:25" ht="18" customHeight="1" x14ac:dyDescent="0.35">
      <c r="A1852" s="8" t="s">
        <v>1631</v>
      </c>
      <c r="B1852" s="8" t="s">
        <v>95</v>
      </c>
      <c r="C1852" s="8" t="s">
        <v>25</v>
      </c>
      <c r="D1852" s="9">
        <v>42</v>
      </c>
      <c r="E1852" s="8" t="s">
        <v>42</v>
      </c>
      <c r="F1852" s="8" t="s">
        <v>35</v>
      </c>
      <c r="G1852" s="10">
        <v>45345</v>
      </c>
      <c r="H1852" s="8" t="s">
        <v>26</v>
      </c>
      <c r="I1852" s="8" t="s">
        <v>36</v>
      </c>
      <c r="J1852" s="8" t="s">
        <v>2268</v>
      </c>
      <c r="K1852" s="8" t="s">
        <v>2271</v>
      </c>
      <c r="L1852" s="8" t="s">
        <v>116</v>
      </c>
      <c r="M1852" s="8" t="s">
        <v>39</v>
      </c>
      <c r="N1852" s="11">
        <v>109283</v>
      </c>
      <c r="O1852" s="11">
        <v>17824</v>
      </c>
      <c r="P1852" s="12">
        <v>96.2</v>
      </c>
      <c r="Q1852" s="9">
        <v>5</v>
      </c>
      <c r="R1852" s="13">
        <v>21</v>
      </c>
      <c r="S1852" s="13">
        <v>4</v>
      </c>
      <c r="T1852" s="9">
        <v>3</v>
      </c>
      <c r="U1852" s="13">
        <v>60</v>
      </c>
      <c r="V1852" s="8" t="s">
        <v>69</v>
      </c>
      <c r="W1852" s="8"/>
      <c r="X1852" s="22">
        <f>IF(V1852="Yes",1,0)</f>
        <v>1</v>
      </c>
      <c r="Y1852" s="22">
        <f>IF(H1852="Active",0,1)</f>
        <v>0</v>
      </c>
    </row>
    <row r="1853" spans="1:25" ht="18" customHeight="1" x14ac:dyDescent="0.35">
      <c r="A1853" s="8" t="s">
        <v>1645</v>
      </c>
      <c r="B1853" s="8" t="s">
        <v>41</v>
      </c>
      <c r="C1853" s="8" t="s">
        <v>25</v>
      </c>
      <c r="D1853" s="9">
        <v>26</v>
      </c>
      <c r="E1853" s="8" t="s">
        <v>86</v>
      </c>
      <c r="F1853" s="8" t="s">
        <v>72</v>
      </c>
      <c r="G1853" s="10">
        <v>45345</v>
      </c>
      <c r="H1853" s="8" t="s">
        <v>26</v>
      </c>
      <c r="I1853" s="8" t="s">
        <v>2267</v>
      </c>
      <c r="J1853" s="8" t="s">
        <v>2269</v>
      </c>
      <c r="K1853" s="8" t="s">
        <v>28</v>
      </c>
      <c r="L1853" s="8" t="s">
        <v>56</v>
      </c>
      <c r="M1853" s="8" t="s">
        <v>45</v>
      </c>
      <c r="N1853" s="11">
        <v>113557</v>
      </c>
      <c r="O1853" s="11">
        <v>30778</v>
      </c>
      <c r="P1853" s="12">
        <v>81.5</v>
      </c>
      <c r="Q1853" s="9">
        <v>1</v>
      </c>
      <c r="R1853" s="13">
        <v>10</v>
      </c>
      <c r="S1853" s="13">
        <v>5</v>
      </c>
      <c r="T1853" s="9">
        <v>14</v>
      </c>
      <c r="U1853" s="13">
        <v>92</v>
      </c>
      <c r="V1853" s="8" t="s">
        <v>31</v>
      </c>
      <c r="W1853" s="8"/>
      <c r="X1853" s="22">
        <f>IF(V1853="Yes",1,0)</f>
        <v>0</v>
      </c>
      <c r="Y1853" s="22">
        <f>IF(H1853="Active",0,1)</f>
        <v>0</v>
      </c>
    </row>
    <row r="1854" spans="1:25" ht="18" customHeight="1" x14ac:dyDescent="0.35">
      <c r="A1854" s="8" t="s">
        <v>444</v>
      </c>
      <c r="B1854" s="8" t="s">
        <v>445</v>
      </c>
      <c r="C1854" s="8" t="s">
        <v>34</v>
      </c>
      <c r="D1854" s="9">
        <v>26</v>
      </c>
      <c r="E1854" s="8" t="s">
        <v>2304</v>
      </c>
      <c r="F1854" s="8" t="s">
        <v>35</v>
      </c>
      <c r="G1854" s="10">
        <v>45344</v>
      </c>
      <c r="H1854" s="8" t="s">
        <v>26</v>
      </c>
      <c r="I1854" s="8" t="s">
        <v>2267</v>
      </c>
      <c r="J1854" s="8" t="s">
        <v>2268</v>
      </c>
      <c r="K1854" s="8" t="s">
        <v>73</v>
      </c>
      <c r="L1854" s="8" t="s">
        <v>49</v>
      </c>
      <c r="M1854" s="8" t="s">
        <v>60</v>
      </c>
      <c r="N1854" s="11">
        <v>50310</v>
      </c>
      <c r="O1854" s="11">
        <v>44557</v>
      </c>
      <c r="P1854" s="12">
        <v>96.2</v>
      </c>
      <c r="Q1854" s="9">
        <v>1</v>
      </c>
      <c r="R1854" s="13">
        <v>20</v>
      </c>
      <c r="S1854" s="13">
        <v>2</v>
      </c>
      <c r="T1854" s="9">
        <v>27</v>
      </c>
      <c r="U1854" s="13">
        <v>97</v>
      </c>
      <c r="V1854" s="8" t="s">
        <v>69</v>
      </c>
      <c r="W1854" s="8"/>
      <c r="X1854" s="22">
        <f>IF(V1854="Yes",1,0)</f>
        <v>1</v>
      </c>
      <c r="Y1854" s="22">
        <f>IF(H1854="Active",0,1)</f>
        <v>0</v>
      </c>
    </row>
    <row r="1855" spans="1:25" ht="18" customHeight="1" x14ac:dyDescent="0.35">
      <c r="A1855" s="8" t="s">
        <v>1093</v>
      </c>
      <c r="B1855" s="8" t="s">
        <v>270</v>
      </c>
      <c r="C1855" s="8" t="s">
        <v>25</v>
      </c>
      <c r="D1855" s="9">
        <v>41</v>
      </c>
      <c r="E1855" s="8" t="s">
        <v>63</v>
      </c>
      <c r="F1855" s="8" t="s">
        <v>79</v>
      </c>
      <c r="G1855" s="10">
        <v>45344</v>
      </c>
      <c r="H1855" s="8" t="s">
        <v>26</v>
      </c>
      <c r="I1855" s="8" t="s">
        <v>2267</v>
      </c>
      <c r="J1855" s="8" t="s">
        <v>48</v>
      </c>
      <c r="K1855" s="8" t="s">
        <v>2271</v>
      </c>
      <c r="L1855" s="8" t="s">
        <v>56</v>
      </c>
      <c r="M1855" s="8" t="s">
        <v>30</v>
      </c>
      <c r="N1855" s="11">
        <v>47240</v>
      </c>
      <c r="O1855" s="11">
        <v>45926</v>
      </c>
      <c r="P1855" s="12">
        <v>98.3</v>
      </c>
      <c r="Q1855" s="9">
        <v>9</v>
      </c>
      <c r="R1855" s="13">
        <v>17</v>
      </c>
      <c r="S1855" s="13">
        <v>2</v>
      </c>
      <c r="T1855" s="9">
        <v>32</v>
      </c>
      <c r="U1855" s="13">
        <v>85</v>
      </c>
      <c r="V1855" s="8" t="s">
        <v>31</v>
      </c>
      <c r="W1855" s="8"/>
      <c r="X1855" s="22">
        <f>IF(V1855="Yes",1,0)</f>
        <v>0</v>
      </c>
      <c r="Y1855" s="22">
        <f>IF(H1855="Active",0,1)</f>
        <v>0</v>
      </c>
    </row>
    <row r="1856" spans="1:25" ht="18" customHeight="1" x14ac:dyDescent="0.35">
      <c r="A1856" s="14" t="s">
        <v>1181</v>
      </c>
      <c r="B1856" s="14" t="s">
        <v>134</v>
      </c>
      <c r="C1856" s="14" t="s">
        <v>34</v>
      </c>
      <c r="D1856" s="15">
        <v>41</v>
      </c>
      <c r="E1856" s="14" t="s">
        <v>86</v>
      </c>
      <c r="F1856" s="14" t="s">
        <v>90</v>
      </c>
      <c r="G1856" s="16">
        <v>45344</v>
      </c>
      <c r="H1856" s="14" t="s">
        <v>54</v>
      </c>
      <c r="I1856" s="14" t="s">
        <v>2267</v>
      </c>
      <c r="J1856" s="14" t="s">
        <v>80</v>
      </c>
      <c r="K1856" s="14" t="s">
        <v>37</v>
      </c>
      <c r="L1856" s="14" t="s">
        <v>56</v>
      </c>
      <c r="M1856" s="14" t="s">
        <v>39</v>
      </c>
      <c r="N1856" s="17">
        <v>183088</v>
      </c>
      <c r="O1856" s="17">
        <v>48230</v>
      </c>
      <c r="P1856" s="18">
        <v>91.5</v>
      </c>
      <c r="Q1856" s="15">
        <v>9</v>
      </c>
      <c r="R1856" s="19">
        <v>10</v>
      </c>
      <c r="S1856" s="19">
        <v>2</v>
      </c>
      <c r="T1856" s="15">
        <v>14</v>
      </c>
      <c r="U1856" s="19">
        <v>94</v>
      </c>
      <c r="V1856" s="14" t="s">
        <v>69</v>
      </c>
      <c r="W1856" s="14" t="s">
        <v>96</v>
      </c>
      <c r="X1856" s="14">
        <f>IF(V1856="Yes",1,0)</f>
        <v>1</v>
      </c>
      <c r="Y1856" s="14">
        <f>IF(H1856="Active",0,1)</f>
        <v>1</v>
      </c>
    </row>
    <row r="1857" spans="1:25" ht="18" customHeight="1" x14ac:dyDescent="0.35">
      <c r="A1857" s="14" t="s">
        <v>1956</v>
      </c>
      <c r="B1857" s="14" t="s">
        <v>548</v>
      </c>
      <c r="C1857" s="14" t="s">
        <v>25</v>
      </c>
      <c r="D1857" s="15">
        <v>31</v>
      </c>
      <c r="E1857" s="14" t="s">
        <v>2303</v>
      </c>
      <c r="F1857" s="14" t="s">
        <v>90</v>
      </c>
      <c r="G1857" s="16">
        <v>45344</v>
      </c>
      <c r="H1857" s="14" t="s">
        <v>26</v>
      </c>
      <c r="I1857" s="14" t="s">
        <v>27</v>
      </c>
      <c r="J1857" s="14" t="s">
        <v>2268</v>
      </c>
      <c r="K1857" s="14" t="s">
        <v>73</v>
      </c>
      <c r="L1857" s="14" t="s">
        <v>87</v>
      </c>
      <c r="M1857" s="14" t="s">
        <v>39</v>
      </c>
      <c r="N1857" s="17">
        <v>242893</v>
      </c>
      <c r="O1857" s="17">
        <v>6418</v>
      </c>
      <c r="P1857" s="18">
        <v>96.3</v>
      </c>
      <c r="Q1857" s="15">
        <v>8</v>
      </c>
      <c r="R1857" s="19">
        <v>17</v>
      </c>
      <c r="S1857" s="19">
        <v>1</v>
      </c>
      <c r="T1857" s="15">
        <v>19</v>
      </c>
      <c r="U1857" s="19">
        <v>84</v>
      </c>
      <c r="V1857" s="14" t="s">
        <v>31</v>
      </c>
      <c r="W1857" s="14"/>
      <c r="X1857" s="14">
        <f>IF(V1857="Yes",1,0)</f>
        <v>0</v>
      </c>
      <c r="Y1857" s="14">
        <f>IF(H1857="Active",0,1)</f>
        <v>0</v>
      </c>
    </row>
    <row r="1858" spans="1:25" ht="18" customHeight="1" x14ac:dyDescent="0.35">
      <c r="A1858" s="14" t="s">
        <v>573</v>
      </c>
      <c r="B1858" s="14" t="s">
        <v>127</v>
      </c>
      <c r="C1858" s="14" t="s">
        <v>25</v>
      </c>
      <c r="D1858" s="15">
        <v>42</v>
      </c>
      <c r="E1858" s="14" t="s">
        <v>52</v>
      </c>
      <c r="F1858" s="14" t="s">
        <v>90</v>
      </c>
      <c r="G1858" s="16">
        <v>45343</v>
      </c>
      <c r="H1858" s="14" t="s">
        <v>26</v>
      </c>
      <c r="I1858" s="14" t="s">
        <v>2267</v>
      </c>
      <c r="J1858" s="14" t="s">
        <v>2268</v>
      </c>
      <c r="K1858" s="14" t="s">
        <v>55</v>
      </c>
      <c r="L1858" s="14" t="s">
        <v>56</v>
      </c>
      <c r="M1858" s="14" t="s">
        <v>45</v>
      </c>
      <c r="N1858" s="17">
        <v>249532</v>
      </c>
      <c r="O1858" s="17">
        <v>30953</v>
      </c>
      <c r="P1858" s="18">
        <v>81.099999999999994</v>
      </c>
      <c r="Q1858" s="15">
        <v>1</v>
      </c>
      <c r="R1858" s="19">
        <v>11</v>
      </c>
      <c r="S1858" s="19">
        <v>4</v>
      </c>
      <c r="T1858" s="15">
        <v>36</v>
      </c>
      <c r="U1858" s="19">
        <v>83</v>
      </c>
      <c r="V1858" s="14" t="s">
        <v>31</v>
      </c>
      <c r="W1858" s="14"/>
      <c r="X1858" s="14">
        <f>IF(V1858="Yes",1,0)</f>
        <v>0</v>
      </c>
      <c r="Y1858" s="14">
        <f>IF(H1858="Active",0,1)</f>
        <v>0</v>
      </c>
    </row>
    <row r="1859" spans="1:25" ht="18" customHeight="1" x14ac:dyDescent="0.35">
      <c r="A1859" s="8" t="s">
        <v>604</v>
      </c>
      <c r="B1859" s="8" t="s">
        <v>591</v>
      </c>
      <c r="C1859" s="8" t="s">
        <v>34</v>
      </c>
      <c r="D1859" s="9">
        <v>24</v>
      </c>
      <c r="E1859" s="8" t="s">
        <v>2303</v>
      </c>
      <c r="F1859" s="8" t="s">
        <v>43</v>
      </c>
      <c r="G1859" s="10">
        <v>45343</v>
      </c>
      <c r="H1859" s="8" t="s">
        <v>26</v>
      </c>
      <c r="I1859" s="8" t="s">
        <v>27</v>
      </c>
      <c r="J1859" s="8" t="s">
        <v>2270</v>
      </c>
      <c r="K1859" s="8" t="s">
        <v>73</v>
      </c>
      <c r="L1859" s="8" t="s">
        <v>44</v>
      </c>
      <c r="M1859" s="8" t="s">
        <v>64</v>
      </c>
      <c r="N1859" s="11">
        <v>58608</v>
      </c>
      <c r="O1859" s="11">
        <v>24107</v>
      </c>
      <c r="P1859" s="12">
        <v>93.1</v>
      </c>
      <c r="Q1859" s="9">
        <v>4</v>
      </c>
      <c r="R1859" s="13">
        <v>19</v>
      </c>
      <c r="S1859" s="13">
        <v>5</v>
      </c>
      <c r="T1859" s="9">
        <v>31</v>
      </c>
      <c r="U1859" s="13">
        <v>76</v>
      </c>
      <c r="V1859" s="8" t="s">
        <v>31</v>
      </c>
      <c r="W1859" s="8"/>
      <c r="X1859" s="22">
        <f>IF(V1859="Yes",1,0)</f>
        <v>0</v>
      </c>
      <c r="Y1859" s="22">
        <f>IF(H1859="Active",0,1)</f>
        <v>0</v>
      </c>
    </row>
    <row r="1860" spans="1:25" ht="18" customHeight="1" x14ac:dyDescent="0.35">
      <c r="A1860" s="8" t="s">
        <v>1283</v>
      </c>
      <c r="B1860" s="8" t="s">
        <v>203</v>
      </c>
      <c r="C1860" s="8" t="s">
        <v>34</v>
      </c>
      <c r="D1860" s="9">
        <v>48</v>
      </c>
      <c r="E1860" s="8" t="s">
        <v>67</v>
      </c>
      <c r="F1860" s="8" t="s">
        <v>53</v>
      </c>
      <c r="G1860" s="10">
        <v>45343</v>
      </c>
      <c r="H1860" s="8" t="s">
        <v>26</v>
      </c>
      <c r="I1860" s="8" t="s">
        <v>27</v>
      </c>
      <c r="J1860" s="8" t="s">
        <v>48</v>
      </c>
      <c r="K1860" s="8" t="s">
        <v>37</v>
      </c>
      <c r="L1860" s="8" t="s">
        <v>116</v>
      </c>
      <c r="M1860" s="8" t="s">
        <v>45</v>
      </c>
      <c r="N1860" s="11">
        <v>231652</v>
      </c>
      <c r="O1860" s="11">
        <v>16625</v>
      </c>
      <c r="P1860" s="12">
        <v>94.5</v>
      </c>
      <c r="Q1860" s="9">
        <v>10</v>
      </c>
      <c r="R1860" s="13">
        <v>18</v>
      </c>
      <c r="S1860" s="13">
        <v>5</v>
      </c>
      <c r="T1860" s="9">
        <v>38</v>
      </c>
      <c r="U1860" s="13">
        <v>82</v>
      </c>
      <c r="V1860" s="8" t="s">
        <v>69</v>
      </c>
      <c r="W1860" s="8"/>
      <c r="X1860" s="22">
        <f>IF(V1860="Yes",1,0)</f>
        <v>1</v>
      </c>
      <c r="Y1860" s="22">
        <f>IF(H1860="Active",0,1)</f>
        <v>0</v>
      </c>
    </row>
    <row r="1861" spans="1:25" ht="18" customHeight="1" x14ac:dyDescent="0.35">
      <c r="A1861" s="8" t="s">
        <v>659</v>
      </c>
      <c r="B1861" s="8" t="s">
        <v>184</v>
      </c>
      <c r="C1861" s="8" t="s">
        <v>25</v>
      </c>
      <c r="D1861" s="9">
        <v>33</v>
      </c>
      <c r="E1861" s="8" t="s">
        <v>86</v>
      </c>
      <c r="F1861" s="8" t="s">
        <v>35</v>
      </c>
      <c r="G1861" s="10">
        <v>45341</v>
      </c>
      <c r="H1861" s="8" t="s">
        <v>26</v>
      </c>
      <c r="I1861" s="8" t="s">
        <v>2267</v>
      </c>
      <c r="J1861" s="8" t="s">
        <v>2268</v>
      </c>
      <c r="K1861" s="8" t="s">
        <v>55</v>
      </c>
      <c r="L1861" s="8" t="s">
        <v>29</v>
      </c>
      <c r="M1861" s="8" t="s">
        <v>45</v>
      </c>
      <c r="N1861" s="11">
        <v>117888</v>
      </c>
      <c r="O1861" s="11">
        <v>31089</v>
      </c>
      <c r="P1861" s="12">
        <v>97.2</v>
      </c>
      <c r="Q1861" s="9">
        <v>0</v>
      </c>
      <c r="R1861" s="13">
        <v>0</v>
      </c>
      <c r="S1861" s="13">
        <v>5</v>
      </c>
      <c r="T1861" s="9">
        <v>21</v>
      </c>
      <c r="U1861" s="13">
        <v>69</v>
      </c>
      <c r="V1861" s="8" t="s">
        <v>31</v>
      </c>
      <c r="W1861" s="8"/>
      <c r="X1861" s="22">
        <f>IF(V1861="Yes",1,0)</f>
        <v>0</v>
      </c>
      <c r="Y1861" s="22">
        <f>IF(H1861="Active",0,1)</f>
        <v>0</v>
      </c>
    </row>
    <row r="1862" spans="1:25" ht="18" customHeight="1" x14ac:dyDescent="0.35">
      <c r="A1862" s="8" t="s">
        <v>940</v>
      </c>
      <c r="B1862" s="8" t="s">
        <v>789</v>
      </c>
      <c r="C1862" s="8" t="s">
        <v>34</v>
      </c>
      <c r="D1862" s="9">
        <v>29</v>
      </c>
      <c r="E1862" s="8" t="s">
        <v>42</v>
      </c>
      <c r="F1862" s="8" t="s">
        <v>43</v>
      </c>
      <c r="G1862" s="10">
        <v>45341</v>
      </c>
      <c r="H1862" s="8" t="s">
        <v>26</v>
      </c>
      <c r="I1862" s="8" t="s">
        <v>2267</v>
      </c>
      <c r="J1862" s="8" t="s">
        <v>2269</v>
      </c>
      <c r="K1862" s="8" t="s">
        <v>73</v>
      </c>
      <c r="L1862" s="8" t="s">
        <v>87</v>
      </c>
      <c r="M1862" s="8" t="s">
        <v>60</v>
      </c>
      <c r="N1862" s="11">
        <v>214440</v>
      </c>
      <c r="O1862" s="11">
        <v>12029</v>
      </c>
      <c r="P1862" s="12">
        <v>89.6</v>
      </c>
      <c r="Q1862" s="9">
        <v>3</v>
      </c>
      <c r="R1862" s="13">
        <v>2</v>
      </c>
      <c r="S1862" s="13">
        <v>3</v>
      </c>
      <c r="T1862" s="9">
        <v>21</v>
      </c>
      <c r="U1862" s="13">
        <v>96</v>
      </c>
      <c r="V1862" s="8" t="s">
        <v>31</v>
      </c>
      <c r="W1862" s="8"/>
      <c r="X1862" s="22">
        <f>IF(V1862="Yes",1,0)</f>
        <v>0</v>
      </c>
      <c r="Y1862" s="22">
        <f>IF(H1862="Active",0,1)</f>
        <v>0</v>
      </c>
    </row>
    <row r="1863" spans="1:25" ht="18" customHeight="1" x14ac:dyDescent="0.35">
      <c r="A1863" s="8" t="s">
        <v>1621</v>
      </c>
      <c r="B1863" s="8" t="s">
        <v>191</v>
      </c>
      <c r="C1863" s="8" t="s">
        <v>25</v>
      </c>
      <c r="D1863" s="9">
        <v>29</v>
      </c>
      <c r="E1863" s="8" t="s">
        <v>42</v>
      </c>
      <c r="F1863" s="8" t="s">
        <v>72</v>
      </c>
      <c r="G1863" s="10">
        <v>45341</v>
      </c>
      <c r="H1863" s="8" t="s">
        <v>26</v>
      </c>
      <c r="I1863" s="8" t="s">
        <v>27</v>
      </c>
      <c r="J1863" s="8" t="s">
        <v>2268</v>
      </c>
      <c r="K1863" s="8" t="s">
        <v>55</v>
      </c>
      <c r="L1863" s="8" t="s">
        <v>49</v>
      </c>
      <c r="M1863" s="8" t="s">
        <v>45</v>
      </c>
      <c r="N1863" s="11">
        <v>145190</v>
      </c>
      <c r="O1863" s="11">
        <v>26262</v>
      </c>
      <c r="P1863" s="12">
        <v>82.3</v>
      </c>
      <c r="Q1863" s="9">
        <v>5</v>
      </c>
      <c r="R1863" s="13">
        <v>9</v>
      </c>
      <c r="S1863" s="13">
        <v>1</v>
      </c>
      <c r="T1863" s="9">
        <v>35</v>
      </c>
      <c r="U1863" s="13">
        <v>80</v>
      </c>
      <c r="V1863" s="8" t="s">
        <v>69</v>
      </c>
      <c r="W1863" s="8"/>
      <c r="X1863" s="22">
        <f>IF(V1863="Yes",1,0)</f>
        <v>1</v>
      </c>
      <c r="Y1863" s="22">
        <f>IF(H1863="Active",0,1)</f>
        <v>0</v>
      </c>
    </row>
    <row r="1864" spans="1:25" ht="18" customHeight="1" x14ac:dyDescent="0.35">
      <c r="A1864" s="8" t="s">
        <v>2213</v>
      </c>
      <c r="B1864" s="8" t="s">
        <v>709</v>
      </c>
      <c r="C1864" s="8" t="s">
        <v>25</v>
      </c>
      <c r="D1864" s="9">
        <v>51</v>
      </c>
      <c r="E1864" s="8" t="s">
        <v>2304</v>
      </c>
      <c r="F1864" s="8" t="s">
        <v>76</v>
      </c>
      <c r="G1864" s="10">
        <v>45341</v>
      </c>
      <c r="H1864" s="8" t="s">
        <v>26</v>
      </c>
      <c r="I1864" s="8" t="s">
        <v>36</v>
      </c>
      <c r="J1864" s="8" t="s">
        <v>2268</v>
      </c>
      <c r="K1864" s="8" t="s">
        <v>73</v>
      </c>
      <c r="L1864" s="8" t="s">
        <v>38</v>
      </c>
      <c r="M1864" s="8" t="s">
        <v>30</v>
      </c>
      <c r="N1864" s="11">
        <v>232340</v>
      </c>
      <c r="O1864" s="11">
        <v>5200</v>
      </c>
      <c r="P1864" s="12">
        <v>87.6</v>
      </c>
      <c r="Q1864" s="9">
        <v>5</v>
      </c>
      <c r="R1864" s="13">
        <v>4</v>
      </c>
      <c r="S1864" s="13">
        <v>3</v>
      </c>
      <c r="T1864" s="9">
        <v>27</v>
      </c>
      <c r="U1864" s="13">
        <v>77</v>
      </c>
      <c r="V1864" s="8" t="s">
        <v>31</v>
      </c>
      <c r="W1864" s="8"/>
      <c r="X1864" s="22">
        <f>IF(V1864="Yes",1,0)</f>
        <v>0</v>
      </c>
      <c r="Y1864" s="22">
        <f>IF(H1864="Active",0,1)</f>
        <v>0</v>
      </c>
    </row>
    <row r="1865" spans="1:25" ht="18" customHeight="1" x14ac:dyDescent="0.35">
      <c r="A1865" s="8" t="s">
        <v>2241</v>
      </c>
      <c r="B1865" s="8" t="s">
        <v>258</v>
      </c>
      <c r="C1865" s="8" t="s">
        <v>34</v>
      </c>
      <c r="D1865" s="9">
        <v>23</v>
      </c>
      <c r="E1865" s="8" t="s">
        <v>52</v>
      </c>
      <c r="F1865" s="8" t="s">
        <v>53</v>
      </c>
      <c r="G1865" s="10">
        <v>45341</v>
      </c>
      <c r="H1865" s="8" t="s">
        <v>26</v>
      </c>
      <c r="I1865" s="8" t="s">
        <v>27</v>
      </c>
      <c r="J1865" s="8" t="s">
        <v>48</v>
      </c>
      <c r="K1865" s="8" t="s">
        <v>28</v>
      </c>
      <c r="L1865" s="8" t="s">
        <v>49</v>
      </c>
      <c r="M1865" s="8" t="s">
        <v>45</v>
      </c>
      <c r="N1865" s="11">
        <v>234295</v>
      </c>
      <c r="O1865" s="11">
        <v>48859</v>
      </c>
      <c r="P1865" s="12">
        <v>87.1</v>
      </c>
      <c r="Q1865" s="9">
        <v>2</v>
      </c>
      <c r="R1865" s="13">
        <v>18</v>
      </c>
      <c r="S1865" s="13">
        <v>2</v>
      </c>
      <c r="T1865" s="9">
        <v>19</v>
      </c>
      <c r="U1865" s="13">
        <v>96</v>
      </c>
      <c r="V1865" s="8" t="s">
        <v>31</v>
      </c>
      <c r="W1865" s="8"/>
      <c r="X1865" s="22">
        <f>IF(V1865="Yes",1,0)</f>
        <v>0</v>
      </c>
      <c r="Y1865" s="22">
        <f>IF(H1865="Active",0,1)</f>
        <v>0</v>
      </c>
    </row>
    <row r="1866" spans="1:25" ht="18" customHeight="1" x14ac:dyDescent="0.35">
      <c r="A1866" s="8" t="s">
        <v>1045</v>
      </c>
      <c r="B1866" s="8" t="s">
        <v>95</v>
      </c>
      <c r="C1866" s="8" t="s">
        <v>34</v>
      </c>
      <c r="D1866" s="9">
        <v>22</v>
      </c>
      <c r="E1866" s="8" t="s">
        <v>2303</v>
      </c>
      <c r="F1866" s="8" t="s">
        <v>35</v>
      </c>
      <c r="G1866" s="10">
        <v>45340</v>
      </c>
      <c r="H1866" s="8" t="s">
        <v>26</v>
      </c>
      <c r="I1866" s="8" t="s">
        <v>2267</v>
      </c>
      <c r="J1866" s="8" t="s">
        <v>80</v>
      </c>
      <c r="K1866" s="8" t="s">
        <v>2271</v>
      </c>
      <c r="L1866" s="8" t="s">
        <v>38</v>
      </c>
      <c r="M1866" s="8" t="s">
        <v>39</v>
      </c>
      <c r="N1866" s="11">
        <v>226047</v>
      </c>
      <c r="O1866" s="11">
        <v>49353</v>
      </c>
      <c r="P1866" s="12">
        <v>95.4</v>
      </c>
      <c r="Q1866" s="9">
        <v>6</v>
      </c>
      <c r="R1866" s="13">
        <v>20</v>
      </c>
      <c r="S1866" s="13">
        <v>2</v>
      </c>
      <c r="T1866" s="9">
        <v>28</v>
      </c>
      <c r="U1866" s="13">
        <v>65</v>
      </c>
      <c r="V1866" s="8" t="s">
        <v>31</v>
      </c>
      <c r="W1866" s="8"/>
      <c r="X1866" s="22">
        <f>IF(V1866="Yes",1,0)</f>
        <v>0</v>
      </c>
      <c r="Y1866" s="22">
        <f>IF(H1866="Active",0,1)</f>
        <v>0</v>
      </c>
    </row>
    <row r="1867" spans="1:25" ht="18" customHeight="1" x14ac:dyDescent="0.35">
      <c r="A1867" s="14" t="s">
        <v>1894</v>
      </c>
      <c r="B1867" s="14" t="s">
        <v>556</v>
      </c>
      <c r="C1867" s="14" t="s">
        <v>25</v>
      </c>
      <c r="D1867" s="15">
        <v>50</v>
      </c>
      <c r="E1867" s="14" t="s">
        <v>2304</v>
      </c>
      <c r="F1867" s="14" t="s">
        <v>43</v>
      </c>
      <c r="G1867" s="16">
        <v>45340</v>
      </c>
      <c r="H1867" s="14" t="s">
        <v>26</v>
      </c>
      <c r="I1867" s="14" t="s">
        <v>2267</v>
      </c>
      <c r="J1867" s="14" t="s">
        <v>2270</v>
      </c>
      <c r="K1867" s="14" t="s">
        <v>73</v>
      </c>
      <c r="L1867" s="14" t="s">
        <v>116</v>
      </c>
      <c r="M1867" s="14" t="s">
        <v>39</v>
      </c>
      <c r="N1867" s="17">
        <v>235200</v>
      </c>
      <c r="O1867" s="17">
        <v>14908</v>
      </c>
      <c r="P1867" s="18">
        <v>98.6</v>
      </c>
      <c r="Q1867" s="15">
        <v>1</v>
      </c>
      <c r="R1867" s="19">
        <v>16</v>
      </c>
      <c r="S1867" s="19">
        <v>2</v>
      </c>
      <c r="T1867" s="15">
        <v>6</v>
      </c>
      <c r="U1867" s="19">
        <v>63</v>
      </c>
      <c r="V1867" s="14" t="s">
        <v>31</v>
      </c>
      <c r="W1867" s="14"/>
      <c r="X1867" s="14">
        <f>IF(V1867="Yes",1,0)</f>
        <v>0</v>
      </c>
      <c r="Y1867" s="14">
        <f>IF(H1867="Active",0,1)</f>
        <v>0</v>
      </c>
    </row>
    <row r="1868" spans="1:25" ht="18" customHeight="1" x14ac:dyDescent="0.35">
      <c r="A1868" s="8" t="s">
        <v>2043</v>
      </c>
      <c r="B1868" s="8" t="s">
        <v>718</v>
      </c>
      <c r="C1868" s="8" t="s">
        <v>25</v>
      </c>
      <c r="D1868" s="9">
        <v>57</v>
      </c>
      <c r="E1868" s="8" t="s">
        <v>67</v>
      </c>
      <c r="F1868" s="8" t="s">
        <v>43</v>
      </c>
      <c r="G1868" s="10">
        <v>45340</v>
      </c>
      <c r="H1868" s="8" t="s">
        <v>54</v>
      </c>
      <c r="I1868" s="8" t="s">
        <v>36</v>
      </c>
      <c r="J1868" s="8" t="s">
        <v>2268</v>
      </c>
      <c r="K1868" s="8" t="s">
        <v>37</v>
      </c>
      <c r="L1868" s="8" t="s">
        <v>49</v>
      </c>
      <c r="M1868" s="8" t="s">
        <v>45</v>
      </c>
      <c r="N1868" s="11">
        <v>209619</v>
      </c>
      <c r="O1868" s="11">
        <v>42062</v>
      </c>
      <c r="P1868" s="12">
        <v>83</v>
      </c>
      <c r="Q1868" s="9">
        <v>3</v>
      </c>
      <c r="R1868" s="13">
        <v>5</v>
      </c>
      <c r="S1868" s="13">
        <v>2</v>
      </c>
      <c r="T1868" s="9">
        <v>4</v>
      </c>
      <c r="U1868" s="13">
        <v>73</v>
      </c>
      <c r="V1868" s="8" t="s">
        <v>31</v>
      </c>
      <c r="W1868" s="8" t="s">
        <v>205</v>
      </c>
      <c r="X1868" s="22">
        <f>IF(V1868="Yes",1,0)</f>
        <v>0</v>
      </c>
      <c r="Y1868" s="22">
        <f>IF(H1868="Active",0,1)</f>
        <v>1</v>
      </c>
    </row>
    <row r="1869" spans="1:25" ht="18" customHeight="1" x14ac:dyDescent="0.35">
      <c r="A1869" s="14" t="s">
        <v>217</v>
      </c>
      <c r="B1869" s="14" t="s">
        <v>218</v>
      </c>
      <c r="C1869" s="14" t="s">
        <v>34</v>
      </c>
      <c r="D1869" s="15">
        <v>30</v>
      </c>
      <c r="E1869" s="14" t="s">
        <v>2304</v>
      </c>
      <c r="F1869" s="14" t="s">
        <v>76</v>
      </c>
      <c r="G1869" s="16">
        <v>45339</v>
      </c>
      <c r="H1869" s="14" t="s">
        <v>26</v>
      </c>
      <c r="I1869" s="14" t="s">
        <v>36</v>
      </c>
      <c r="J1869" s="14" t="s">
        <v>2269</v>
      </c>
      <c r="K1869" s="14" t="s">
        <v>2271</v>
      </c>
      <c r="L1869" s="14" t="s">
        <v>44</v>
      </c>
      <c r="M1869" s="14" t="s">
        <v>60</v>
      </c>
      <c r="N1869" s="17">
        <v>243677</v>
      </c>
      <c r="O1869" s="17">
        <v>48701</v>
      </c>
      <c r="P1869" s="18">
        <v>96.5</v>
      </c>
      <c r="Q1869" s="15">
        <v>0</v>
      </c>
      <c r="R1869" s="19">
        <v>19</v>
      </c>
      <c r="S1869" s="19">
        <v>4</v>
      </c>
      <c r="T1869" s="15">
        <v>38</v>
      </c>
      <c r="U1869" s="19">
        <v>79</v>
      </c>
      <c r="V1869" s="14" t="s">
        <v>31</v>
      </c>
      <c r="W1869" s="14"/>
      <c r="X1869" s="14">
        <f>IF(V1869="Yes",1,0)</f>
        <v>0</v>
      </c>
      <c r="Y1869" s="14">
        <f>IF(H1869="Active",0,1)</f>
        <v>0</v>
      </c>
    </row>
    <row r="1870" spans="1:25" ht="18" customHeight="1" x14ac:dyDescent="0.35">
      <c r="A1870" s="14" t="s">
        <v>676</v>
      </c>
      <c r="B1870" s="14" t="s">
        <v>485</v>
      </c>
      <c r="C1870" s="14" t="s">
        <v>25</v>
      </c>
      <c r="D1870" s="15">
        <v>23</v>
      </c>
      <c r="E1870" s="14" t="s">
        <v>93</v>
      </c>
      <c r="F1870" s="14" t="s">
        <v>53</v>
      </c>
      <c r="G1870" s="16">
        <v>45338</v>
      </c>
      <c r="H1870" s="14" t="s">
        <v>26</v>
      </c>
      <c r="I1870" s="14" t="s">
        <v>2267</v>
      </c>
      <c r="J1870" s="14" t="s">
        <v>2269</v>
      </c>
      <c r="K1870" s="14" t="s">
        <v>28</v>
      </c>
      <c r="L1870" s="14" t="s">
        <v>44</v>
      </c>
      <c r="M1870" s="14" t="s">
        <v>64</v>
      </c>
      <c r="N1870" s="17">
        <v>138825</v>
      </c>
      <c r="O1870" s="17">
        <v>45124</v>
      </c>
      <c r="P1870" s="18">
        <v>86.2</v>
      </c>
      <c r="Q1870" s="15">
        <v>7</v>
      </c>
      <c r="R1870" s="19">
        <v>24</v>
      </c>
      <c r="S1870" s="19">
        <v>2</v>
      </c>
      <c r="T1870" s="15">
        <v>31</v>
      </c>
      <c r="U1870" s="19">
        <v>70</v>
      </c>
      <c r="V1870" s="14" t="s">
        <v>69</v>
      </c>
      <c r="W1870" s="14"/>
      <c r="X1870" s="14">
        <f>IF(V1870="Yes",1,0)</f>
        <v>1</v>
      </c>
      <c r="Y1870" s="14">
        <f>IF(H1870="Active",0,1)</f>
        <v>0</v>
      </c>
    </row>
    <row r="1871" spans="1:25" ht="18" customHeight="1" x14ac:dyDescent="0.35">
      <c r="A1871" s="8" t="s">
        <v>720</v>
      </c>
      <c r="B1871" s="8" t="s">
        <v>24</v>
      </c>
      <c r="C1871" s="8" t="s">
        <v>25</v>
      </c>
      <c r="D1871" s="9">
        <v>46</v>
      </c>
      <c r="E1871" s="8" t="s">
        <v>63</v>
      </c>
      <c r="F1871" s="8" t="s">
        <v>35</v>
      </c>
      <c r="G1871" s="10">
        <v>45338</v>
      </c>
      <c r="H1871" s="8" t="s">
        <v>26</v>
      </c>
      <c r="I1871" s="8" t="s">
        <v>2267</v>
      </c>
      <c r="J1871" s="8" t="s">
        <v>2270</v>
      </c>
      <c r="K1871" s="8" t="s">
        <v>55</v>
      </c>
      <c r="L1871" s="8" t="s">
        <v>29</v>
      </c>
      <c r="M1871" s="8" t="s">
        <v>39</v>
      </c>
      <c r="N1871" s="11">
        <v>145137</v>
      </c>
      <c r="O1871" s="11">
        <v>33493</v>
      </c>
      <c r="P1871" s="12">
        <v>91.9</v>
      </c>
      <c r="Q1871" s="9">
        <v>0</v>
      </c>
      <c r="R1871" s="13">
        <v>21</v>
      </c>
      <c r="S1871" s="13">
        <v>2</v>
      </c>
      <c r="T1871" s="9">
        <v>29</v>
      </c>
      <c r="U1871" s="13">
        <v>81</v>
      </c>
      <c r="V1871" s="8" t="s">
        <v>31</v>
      </c>
      <c r="W1871" s="8"/>
      <c r="X1871" s="22">
        <f>IF(V1871="Yes",1,0)</f>
        <v>0</v>
      </c>
      <c r="Y1871" s="22">
        <f>IF(H1871="Active",0,1)</f>
        <v>0</v>
      </c>
    </row>
    <row r="1872" spans="1:25" ht="18" customHeight="1" x14ac:dyDescent="0.35">
      <c r="A1872" s="14" t="s">
        <v>1068</v>
      </c>
      <c r="B1872" s="14" t="s">
        <v>318</v>
      </c>
      <c r="C1872" s="14" t="s">
        <v>25</v>
      </c>
      <c r="D1872" s="15">
        <v>46</v>
      </c>
      <c r="E1872" s="14" t="s">
        <v>109</v>
      </c>
      <c r="F1872" s="14" t="s">
        <v>53</v>
      </c>
      <c r="G1872" s="16">
        <v>45338</v>
      </c>
      <c r="H1872" s="14" t="s">
        <v>26</v>
      </c>
      <c r="I1872" s="14" t="s">
        <v>27</v>
      </c>
      <c r="J1872" s="14" t="s">
        <v>80</v>
      </c>
      <c r="K1872" s="14" t="s">
        <v>28</v>
      </c>
      <c r="L1872" s="14" t="s">
        <v>29</v>
      </c>
      <c r="M1872" s="14" t="s">
        <v>60</v>
      </c>
      <c r="N1872" s="17">
        <v>142095</v>
      </c>
      <c r="O1872" s="17">
        <v>22428</v>
      </c>
      <c r="P1872" s="18">
        <v>84</v>
      </c>
      <c r="Q1872" s="15">
        <v>7</v>
      </c>
      <c r="R1872" s="19">
        <v>18</v>
      </c>
      <c r="S1872" s="19">
        <v>1</v>
      </c>
      <c r="T1872" s="15">
        <v>21</v>
      </c>
      <c r="U1872" s="19">
        <v>68</v>
      </c>
      <c r="V1872" s="14" t="s">
        <v>31</v>
      </c>
      <c r="W1872" s="14"/>
      <c r="X1872" s="14">
        <f>IF(V1872="Yes",1,0)</f>
        <v>0</v>
      </c>
      <c r="Y1872" s="14">
        <f>IF(H1872="Active",0,1)</f>
        <v>0</v>
      </c>
    </row>
    <row r="1873" spans="1:25" ht="18" customHeight="1" x14ac:dyDescent="0.35">
      <c r="A1873" s="14" t="s">
        <v>1088</v>
      </c>
      <c r="B1873" s="14" t="s">
        <v>111</v>
      </c>
      <c r="C1873" s="14" t="s">
        <v>34</v>
      </c>
      <c r="D1873" s="15">
        <v>57</v>
      </c>
      <c r="E1873" s="14" t="s">
        <v>86</v>
      </c>
      <c r="F1873" s="14" t="s">
        <v>79</v>
      </c>
      <c r="G1873" s="16">
        <v>45338</v>
      </c>
      <c r="H1873" s="14" t="s">
        <v>26</v>
      </c>
      <c r="I1873" s="14" t="s">
        <v>36</v>
      </c>
      <c r="J1873" s="14" t="s">
        <v>80</v>
      </c>
      <c r="K1873" s="14" t="s">
        <v>2271</v>
      </c>
      <c r="L1873" s="14" t="s">
        <v>116</v>
      </c>
      <c r="M1873" s="14" t="s">
        <v>39</v>
      </c>
      <c r="N1873" s="17">
        <v>116656</v>
      </c>
      <c r="O1873" s="17">
        <v>43191</v>
      </c>
      <c r="P1873" s="18">
        <v>90</v>
      </c>
      <c r="Q1873" s="15">
        <v>6</v>
      </c>
      <c r="R1873" s="19">
        <v>21</v>
      </c>
      <c r="S1873" s="19">
        <v>5</v>
      </c>
      <c r="T1873" s="15">
        <v>12</v>
      </c>
      <c r="U1873" s="19">
        <v>99</v>
      </c>
      <c r="V1873" s="14" t="s">
        <v>69</v>
      </c>
      <c r="W1873" s="14"/>
      <c r="X1873" s="14">
        <f>IF(V1873="Yes",1,0)</f>
        <v>1</v>
      </c>
      <c r="Y1873" s="14">
        <f>IF(H1873="Active",0,1)</f>
        <v>0</v>
      </c>
    </row>
    <row r="1874" spans="1:25" ht="18" customHeight="1" x14ac:dyDescent="0.35">
      <c r="A1874" s="14" t="s">
        <v>1348</v>
      </c>
      <c r="B1874" s="14" t="s">
        <v>311</v>
      </c>
      <c r="C1874" s="14" t="s">
        <v>34</v>
      </c>
      <c r="D1874" s="15">
        <v>57</v>
      </c>
      <c r="E1874" s="14" t="s">
        <v>109</v>
      </c>
      <c r="F1874" s="14" t="s">
        <v>72</v>
      </c>
      <c r="G1874" s="16">
        <v>45338</v>
      </c>
      <c r="H1874" s="14" t="s">
        <v>26</v>
      </c>
      <c r="I1874" s="14" t="s">
        <v>36</v>
      </c>
      <c r="J1874" s="14" t="s">
        <v>2270</v>
      </c>
      <c r="K1874" s="14" t="s">
        <v>73</v>
      </c>
      <c r="L1874" s="14" t="s">
        <v>87</v>
      </c>
      <c r="M1874" s="14" t="s">
        <v>60</v>
      </c>
      <c r="N1874" s="17">
        <v>235382</v>
      </c>
      <c r="O1874" s="17">
        <v>15393</v>
      </c>
      <c r="P1874" s="18">
        <v>81.400000000000006</v>
      </c>
      <c r="Q1874" s="15">
        <v>10</v>
      </c>
      <c r="R1874" s="19">
        <v>0</v>
      </c>
      <c r="S1874" s="19">
        <v>2</v>
      </c>
      <c r="T1874" s="15">
        <v>14</v>
      </c>
      <c r="U1874" s="19">
        <v>83</v>
      </c>
      <c r="V1874" s="14" t="s">
        <v>31</v>
      </c>
      <c r="W1874" s="14"/>
      <c r="X1874" s="14">
        <f>IF(V1874="Yes",1,0)</f>
        <v>0</v>
      </c>
      <c r="Y1874" s="14">
        <f>IF(H1874="Active",0,1)</f>
        <v>0</v>
      </c>
    </row>
    <row r="1875" spans="1:25" ht="18" customHeight="1" x14ac:dyDescent="0.35">
      <c r="A1875" s="8" t="s">
        <v>1743</v>
      </c>
      <c r="B1875" s="8" t="s">
        <v>59</v>
      </c>
      <c r="C1875" s="8" t="s">
        <v>25</v>
      </c>
      <c r="D1875" s="9">
        <v>41</v>
      </c>
      <c r="E1875" s="8" t="s">
        <v>67</v>
      </c>
      <c r="F1875" s="8" t="s">
        <v>76</v>
      </c>
      <c r="G1875" s="10">
        <v>45338</v>
      </c>
      <c r="H1875" s="8" t="s">
        <v>26</v>
      </c>
      <c r="I1875" s="8" t="s">
        <v>36</v>
      </c>
      <c r="J1875" s="8" t="s">
        <v>2268</v>
      </c>
      <c r="K1875" s="8" t="s">
        <v>2271</v>
      </c>
      <c r="L1875" s="8" t="s">
        <v>68</v>
      </c>
      <c r="M1875" s="8" t="s">
        <v>60</v>
      </c>
      <c r="N1875" s="11">
        <v>190433</v>
      </c>
      <c r="O1875" s="11">
        <v>33573</v>
      </c>
      <c r="P1875" s="12">
        <v>92.8</v>
      </c>
      <c r="Q1875" s="9">
        <v>6</v>
      </c>
      <c r="R1875" s="13">
        <v>4</v>
      </c>
      <c r="S1875" s="13">
        <v>2</v>
      </c>
      <c r="T1875" s="9">
        <v>34</v>
      </c>
      <c r="U1875" s="13">
        <v>62</v>
      </c>
      <c r="V1875" s="8" t="s">
        <v>31</v>
      </c>
      <c r="W1875" s="8"/>
      <c r="X1875" s="22">
        <f>IF(V1875="Yes",1,0)</f>
        <v>0</v>
      </c>
      <c r="Y1875" s="22">
        <f>IF(H1875="Active",0,1)</f>
        <v>0</v>
      </c>
    </row>
    <row r="1876" spans="1:25" ht="18" customHeight="1" x14ac:dyDescent="0.35">
      <c r="A1876" s="8" t="s">
        <v>938</v>
      </c>
      <c r="B1876" s="8" t="s">
        <v>638</v>
      </c>
      <c r="C1876" s="8" t="s">
        <v>34</v>
      </c>
      <c r="D1876" s="9">
        <v>21</v>
      </c>
      <c r="E1876" s="8" t="s">
        <v>2304</v>
      </c>
      <c r="F1876" s="8" t="s">
        <v>12</v>
      </c>
      <c r="G1876" s="10">
        <v>45337</v>
      </c>
      <c r="H1876" s="8" t="s">
        <v>26</v>
      </c>
      <c r="I1876" s="8" t="s">
        <v>2267</v>
      </c>
      <c r="J1876" s="8" t="s">
        <v>48</v>
      </c>
      <c r="K1876" s="8" t="s">
        <v>28</v>
      </c>
      <c r="L1876" s="8" t="s">
        <v>44</v>
      </c>
      <c r="M1876" s="8" t="s">
        <v>30</v>
      </c>
      <c r="N1876" s="11">
        <v>147402</v>
      </c>
      <c r="O1876" s="11">
        <v>24062</v>
      </c>
      <c r="P1876" s="12">
        <v>88.6</v>
      </c>
      <c r="Q1876" s="9">
        <v>2</v>
      </c>
      <c r="R1876" s="13">
        <v>13</v>
      </c>
      <c r="S1876" s="13">
        <v>2</v>
      </c>
      <c r="T1876" s="9">
        <v>8</v>
      </c>
      <c r="U1876" s="13">
        <v>100</v>
      </c>
      <c r="V1876" s="8" t="s">
        <v>31</v>
      </c>
      <c r="W1876" s="8"/>
      <c r="X1876" s="22">
        <f>IF(V1876="Yes",1,0)</f>
        <v>0</v>
      </c>
      <c r="Y1876" s="22">
        <f>IF(H1876="Active",0,1)</f>
        <v>0</v>
      </c>
    </row>
    <row r="1877" spans="1:25" ht="18" customHeight="1" x14ac:dyDescent="0.35">
      <c r="A1877" s="14" t="s">
        <v>1618</v>
      </c>
      <c r="B1877" s="14" t="s">
        <v>173</v>
      </c>
      <c r="C1877" s="14" t="s">
        <v>34</v>
      </c>
      <c r="D1877" s="15">
        <v>47</v>
      </c>
      <c r="E1877" s="14" t="s">
        <v>52</v>
      </c>
      <c r="F1877" s="14" t="s">
        <v>35</v>
      </c>
      <c r="G1877" s="16">
        <v>45336</v>
      </c>
      <c r="H1877" s="14" t="s">
        <v>26</v>
      </c>
      <c r="I1877" s="14" t="s">
        <v>2267</v>
      </c>
      <c r="J1877" s="14" t="s">
        <v>2269</v>
      </c>
      <c r="K1877" s="14" t="s">
        <v>55</v>
      </c>
      <c r="L1877" s="14" t="s">
        <v>68</v>
      </c>
      <c r="M1877" s="14" t="s">
        <v>45</v>
      </c>
      <c r="N1877" s="17">
        <v>89289</v>
      </c>
      <c r="O1877" s="17">
        <v>9351</v>
      </c>
      <c r="P1877" s="18">
        <v>91.5</v>
      </c>
      <c r="Q1877" s="15">
        <v>7</v>
      </c>
      <c r="R1877" s="19">
        <v>12</v>
      </c>
      <c r="S1877" s="19">
        <v>5</v>
      </c>
      <c r="T1877" s="15">
        <v>9</v>
      </c>
      <c r="U1877" s="19">
        <v>70</v>
      </c>
      <c r="V1877" s="14" t="s">
        <v>31</v>
      </c>
      <c r="W1877" s="14"/>
      <c r="X1877" s="14">
        <f>IF(V1877="Yes",1,0)</f>
        <v>0</v>
      </c>
      <c r="Y1877" s="14">
        <f>IF(H1877="Active",0,1)</f>
        <v>0</v>
      </c>
    </row>
    <row r="1878" spans="1:25" ht="18" customHeight="1" x14ac:dyDescent="0.35">
      <c r="A1878" s="8" t="s">
        <v>213</v>
      </c>
      <c r="B1878" s="8" t="s">
        <v>138</v>
      </c>
      <c r="C1878" s="8" t="s">
        <v>25</v>
      </c>
      <c r="D1878" s="9">
        <v>23</v>
      </c>
      <c r="E1878" s="8" t="s">
        <v>42</v>
      </c>
      <c r="F1878" s="8" t="s">
        <v>72</v>
      </c>
      <c r="G1878" s="10">
        <v>45335</v>
      </c>
      <c r="H1878" s="8" t="s">
        <v>26</v>
      </c>
      <c r="I1878" s="8" t="s">
        <v>36</v>
      </c>
      <c r="J1878" s="8" t="s">
        <v>2268</v>
      </c>
      <c r="K1878" s="8" t="s">
        <v>73</v>
      </c>
      <c r="L1878" s="8" t="s">
        <v>56</v>
      </c>
      <c r="M1878" s="8" t="s">
        <v>64</v>
      </c>
      <c r="N1878" s="11">
        <v>121508</v>
      </c>
      <c r="O1878" s="11">
        <v>43630</v>
      </c>
      <c r="P1878" s="12">
        <v>99.6</v>
      </c>
      <c r="Q1878" s="9">
        <v>1</v>
      </c>
      <c r="R1878" s="13">
        <v>17</v>
      </c>
      <c r="S1878" s="13">
        <v>3</v>
      </c>
      <c r="T1878" s="9">
        <v>1</v>
      </c>
      <c r="U1878" s="13">
        <v>79</v>
      </c>
      <c r="V1878" s="8" t="s">
        <v>31</v>
      </c>
      <c r="W1878" s="8"/>
      <c r="X1878" s="22">
        <f>IF(V1878="Yes",1,0)</f>
        <v>0</v>
      </c>
      <c r="Y1878" s="22">
        <f>IF(H1878="Active",0,1)</f>
        <v>0</v>
      </c>
    </row>
    <row r="1879" spans="1:25" ht="18" customHeight="1" x14ac:dyDescent="0.35">
      <c r="A1879" s="14" t="s">
        <v>1836</v>
      </c>
      <c r="B1879" s="14" t="s">
        <v>384</v>
      </c>
      <c r="C1879" s="14" t="s">
        <v>25</v>
      </c>
      <c r="D1879" s="15">
        <v>41</v>
      </c>
      <c r="E1879" s="14" t="s">
        <v>42</v>
      </c>
      <c r="F1879" s="14" t="s">
        <v>35</v>
      </c>
      <c r="G1879" s="16">
        <v>45335</v>
      </c>
      <c r="H1879" s="14" t="s">
        <v>26</v>
      </c>
      <c r="I1879" s="14" t="s">
        <v>2267</v>
      </c>
      <c r="J1879" s="14" t="s">
        <v>2269</v>
      </c>
      <c r="K1879" s="14" t="s">
        <v>73</v>
      </c>
      <c r="L1879" s="14" t="s">
        <v>38</v>
      </c>
      <c r="M1879" s="14" t="s">
        <v>30</v>
      </c>
      <c r="N1879" s="17">
        <v>168949</v>
      </c>
      <c r="O1879" s="17">
        <v>37334</v>
      </c>
      <c r="P1879" s="18">
        <v>94</v>
      </c>
      <c r="Q1879" s="15">
        <v>6</v>
      </c>
      <c r="R1879" s="19">
        <v>9</v>
      </c>
      <c r="S1879" s="19">
        <v>1</v>
      </c>
      <c r="T1879" s="15">
        <v>34</v>
      </c>
      <c r="U1879" s="19">
        <v>100</v>
      </c>
      <c r="V1879" s="14" t="s">
        <v>31</v>
      </c>
      <c r="W1879" s="14"/>
      <c r="X1879" s="14">
        <f>IF(V1879="Yes",1,0)</f>
        <v>0</v>
      </c>
      <c r="Y1879" s="14">
        <f>IF(H1879="Active",0,1)</f>
        <v>0</v>
      </c>
    </row>
    <row r="1880" spans="1:25" ht="18" customHeight="1" x14ac:dyDescent="0.35">
      <c r="A1880" s="8" t="s">
        <v>1487</v>
      </c>
      <c r="B1880" s="8" t="s">
        <v>349</v>
      </c>
      <c r="C1880" s="8" t="s">
        <v>34</v>
      </c>
      <c r="D1880" s="9">
        <v>47</v>
      </c>
      <c r="E1880" s="8" t="s">
        <v>109</v>
      </c>
      <c r="F1880" s="8" t="s">
        <v>35</v>
      </c>
      <c r="G1880" s="10">
        <v>45334</v>
      </c>
      <c r="H1880" s="8" t="s">
        <v>26</v>
      </c>
      <c r="I1880" s="8" t="s">
        <v>36</v>
      </c>
      <c r="J1880" s="8" t="s">
        <v>2269</v>
      </c>
      <c r="K1880" s="8" t="s">
        <v>55</v>
      </c>
      <c r="L1880" s="8" t="s">
        <v>29</v>
      </c>
      <c r="M1880" s="8" t="s">
        <v>39</v>
      </c>
      <c r="N1880" s="11">
        <v>123512</v>
      </c>
      <c r="O1880" s="11">
        <v>34576</v>
      </c>
      <c r="P1880" s="12">
        <v>81.5</v>
      </c>
      <c r="Q1880" s="9">
        <v>7</v>
      </c>
      <c r="R1880" s="13">
        <v>17</v>
      </c>
      <c r="S1880" s="13">
        <v>4</v>
      </c>
      <c r="T1880" s="9">
        <v>21</v>
      </c>
      <c r="U1880" s="13">
        <v>60</v>
      </c>
      <c r="V1880" s="8" t="s">
        <v>31</v>
      </c>
      <c r="W1880" s="8"/>
      <c r="X1880" s="22">
        <f>IF(V1880="Yes",1,0)</f>
        <v>0</v>
      </c>
      <c r="Y1880" s="22">
        <f>IF(H1880="Active",0,1)</f>
        <v>0</v>
      </c>
    </row>
    <row r="1881" spans="1:25" ht="18" customHeight="1" x14ac:dyDescent="0.35">
      <c r="A1881" s="14" t="s">
        <v>1522</v>
      </c>
      <c r="B1881" s="14" t="s">
        <v>356</v>
      </c>
      <c r="C1881" s="14" t="s">
        <v>34</v>
      </c>
      <c r="D1881" s="15">
        <v>24</v>
      </c>
      <c r="E1881" s="14" t="s">
        <v>109</v>
      </c>
      <c r="F1881" s="14" t="s">
        <v>53</v>
      </c>
      <c r="G1881" s="16">
        <v>45333</v>
      </c>
      <c r="H1881" s="14" t="s">
        <v>26</v>
      </c>
      <c r="I1881" s="14" t="s">
        <v>27</v>
      </c>
      <c r="J1881" s="14" t="s">
        <v>80</v>
      </c>
      <c r="K1881" s="14" t="s">
        <v>28</v>
      </c>
      <c r="L1881" s="14" t="s">
        <v>56</v>
      </c>
      <c r="M1881" s="14" t="s">
        <v>30</v>
      </c>
      <c r="N1881" s="17">
        <v>63509</v>
      </c>
      <c r="O1881" s="17">
        <v>44883</v>
      </c>
      <c r="P1881" s="18">
        <v>95.9</v>
      </c>
      <c r="Q1881" s="15">
        <v>1</v>
      </c>
      <c r="R1881" s="19">
        <v>17</v>
      </c>
      <c r="S1881" s="19">
        <v>5</v>
      </c>
      <c r="T1881" s="15">
        <v>38</v>
      </c>
      <c r="U1881" s="19">
        <v>82</v>
      </c>
      <c r="V1881" s="14" t="s">
        <v>31</v>
      </c>
      <c r="W1881" s="14"/>
      <c r="X1881" s="14">
        <f>IF(V1881="Yes",1,0)</f>
        <v>0</v>
      </c>
      <c r="Y1881" s="14">
        <f>IF(H1881="Active",0,1)</f>
        <v>0</v>
      </c>
    </row>
    <row r="1882" spans="1:25" ht="18" customHeight="1" x14ac:dyDescent="0.35">
      <c r="A1882" s="14" t="s">
        <v>1926</v>
      </c>
      <c r="B1882" s="14" t="s">
        <v>92</v>
      </c>
      <c r="C1882" s="14" t="s">
        <v>34</v>
      </c>
      <c r="D1882" s="15">
        <v>37</v>
      </c>
      <c r="E1882" s="14" t="s">
        <v>42</v>
      </c>
      <c r="F1882" s="14" t="s">
        <v>12</v>
      </c>
      <c r="G1882" s="16">
        <v>45333</v>
      </c>
      <c r="H1882" s="14" t="s">
        <v>26</v>
      </c>
      <c r="I1882" s="14" t="s">
        <v>36</v>
      </c>
      <c r="J1882" s="14" t="s">
        <v>80</v>
      </c>
      <c r="K1882" s="14" t="s">
        <v>28</v>
      </c>
      <c r="L1882" s="14" t="s">
        <v>87</v>
      </c>
      <c r="M1882" s="14" t="s">
        <v>30</v>
      </c>
      <c r="N1882" s="17">
        <v>97863</v>
      </c>
      <c r="O1882" s="17">
        <v>18851</v>
      </c>
      <c r="P1882" s="18">
        <v>99.7</v>
      </c>
      <c r="Q1882" s="15">
        <v>1</v>
      </c>
      <c r="R1882" s="19">
        <v>22</v>
      </c>
      <c r="S1882" s="19">
        <v>4</v>
      </c>
      <c r="T1882" s="15">
        <v>27</v>
      </c>
      <c r="U1882" s="19">
        <v>83</v>
      </c>
      <c r="V1882" s="14" t="s">
        <v>31</v>
      </c>
      <c r="W1882" s="14"/>
      <c r="X1882" s="14">
        <f>IF(V1882="Yes",1,0)</f>
        <v>0</v>
      </c>
      <c r="Y1882" s="14">
        <f>IF(H1882="Active",0,1)</f>
        <v>0</v>
      </c>
    </row>
    <row r="1883" spans="1:25" ht="18" customHeight="1" x14ac:dyDescent="0.35">
      <c r="A1883" s="14" t="s">
        <v>1986</v>
      </c>
      <c r="B1883" s="14" t="s">
        <v>1235</v>
      </c>
      <c r="C1883" s="14" t="s">
        <v>25</v>
      </c>
      <c r="D1883" s="15">
        <v>22</v>
      </c>
      <c r="E1883" s="14" t="s">
        <v>63</v>
      </c>
      <c r="F1883" s="14" t="s">
        <v>43</v>
      </c>
      <c r="G1883" s="16">
        <v>45333</v>
      </c>
      <c r="H1883" s="14" t="s">
        <v>26</v>
      </c>
      <c r="I1883" s="14" t="s">
        <v>36</v>
      </c>
      <c r="J1883" s="14" t="s">
        <v>2269</v>
      </c>
      <c r="K1883" s="14" t="s">
        <v>28</v>
      </c>
      <c r="L1883" s="14" t="s">
        <v>87</v>
      </c>
      <c r="M1883" s="14" t="s">
        <v>30</v>
      </c>
      <c r="N1883" s="17">
        <v>143823</v>
      </c>
      <c r="O1883" s="17">
        <v>39577</v>
      </c>
      <c r="P1883" s="18">
        <v>83.2</v>
      </c>
      <c r="Q1883" s="15">
        <v>0</v>
      </c>
      <c r="R1883" s="19">
        <v>13</v>
      </c>
      <c r="S1883" s="19">
        <v>4</v>
      </c>
      <c r="T1883" s="15">
        <v>32</v>
      </c>
      <c r="U1883" s="19">
        <v>81</v>
      </c>
      <c r="V1883" s="14" t="s">
        <v>69</v>
      </c>
      <c r="W1883" s="14"/>
      <c r="X1883" s="14">
        <f>IF(V1883="Yes",1,0)</f>
        <v>1</v>
      </c>
      <c r="Y1883" s="14">
        <f>IF(H1883="Active",0,1)</f>
        <v>0</v>
      </c>
    </row>
    <row r="1884" spans="1:25" ht="18" customHeight="1" x14ac:dyDescent="0.35">
      <c r="A1884" s="8" t="s">
        <v>1063</v>
      </c>
      <c r="B1884" s="8" t="s">
        <v>220</v>
      </c>
      <c r="C1884" s="8" t="s">
        <v>34</v>
      </c>
      <c r="D1884" s="9">
        <v>37</v>
      </c>
      <c r="E1884" s="8" t="s">
        <v>63</v>
      </c>
      <c r="F1884" s="8" t="s">
        <v>90</v>
      </c>
      <c r="G1884" s="10">
        <v>45332</v>
      </c>
      <c r="H1884" s="8" t="s">
        <v>26</v>
      </c>
      <c r="I1884" s="8" t="s">
        <v>2267</v>
      </c>
      <c r="J1884" s="8" t="s">
        <v>80</v>
      </c>
      <c r="K1884" s="8" t="s">
        <v>2271</v>
      </c>
      <c r="L1884" s="8" t="s">
        <v>68</v>
      </c>
      <c r="M1884" s="8" t="s">
        <v>30</v>
      </c>
      <c r="N1884" s="11">
        <v>155953</v>
      </c>
      <c r="O1884" s="11">
        <v>22309</v>
      </c>
      <c r="P1884" s="12">
        <v>99.6</v>
      </c>
      <c r="Q1884" s="9">
        <v>9</v>
      </c>
      <c r="R1884" s="13">
        <v>26</v>
      </c>
      <c r="S1884" s="13">
        <v>4</v>
      </c>
      <c r="T1884" s="9">
        <v>2</v>
      </c>
      <c r="U1884" s="13">
        <v>76</v>
      </c>
      <c r="V1884" s="8" t="s">
        <v>31</v>
      </c>
      <c r="W1884" s="8"/>
      <c r="X1884" s="22">
        <f>IF(V1884="Yes",1,0)</f>
        <v>0</v>
      </c>
      <c r="Y1884" s="22">
        <f>IF(H1884="Active",0,1)</f>
        <v>0</v>
      </c>
    </row>
    <row r="1885" spans="1:25" ht="18" customHeight="1" x14ac:dyDescent="0.35">
      <c r="A1885" s="14" t="s">
        <v>1498</v>
      </c>
      <c r="B1885" s="14" t="s">
        <v>422</v>
      </c>
      <c r="C1885" s="14" t="s">
        <v>25</v>
      </c>
      <c r="D1885" s="15">
        <v>36</v>
      </c>
      <c r="E1885" s="14" t="s">
        <v>93</v>
      </c>
      <c r="F1885" s="14" t="s">
        <v>90</v>
      </c>
      <c r="G1885" s="16">
        <v>45332</v>
      </c>
      <c r="H1885" s="14" t="s">
        <v>26</v>
      </c>
      <c r="I1885" s="14" t="s">
        <v>27</v>
      </c>
      <c r="J1885" s="14" t="s">
        <v>80</v>
      </c>
      <c r="K1885" s="14" t="s">
        <v>37</v>
      </c>
      <c r="L1885" s="14" t="s">
        <v>49</v>
      </c>
      <c r="M1885" s="14" t="s">
        <v>39</v>
      </c>
      <c r="N1885" s="17">
        <v>249284</v>
      </c>
      <c r="O1885" s="17">
        <v>19802</v>
      </c>
      <c r="P1885" s="18">
        <v>95.8</v>
      </c>
      <c r="Q1885" s="15">
        <v>1</v>
      </c>
      <c r="R1885" s="19">
        <v>28</v>
      </c>
      <c r="S1885" s="19">
        <v>3</v>
      </c>
      <c r="T1885" s="15">
        <v>11</v>
      </c>
      <c r="U1885" s="19">
        <v>96</v>
      </c>
      <c r="V1885" s="14" t="s">
        <v>31</v>
      </c>
      <c r="W1885" s="14"/>
      <c r="X1885" s="14">
        <f>IF(V1885="Yes",1,0)</f>
        <v>0</v>
      </c>
      <c r="Y1885" s="14">
        <f>IF(H1885="Active",0,1)</f>
        <v>0</v>
      </c>
    </row>
    <row r="1886" spans="1:25" ht="18" customHeight="1" x14ac:dyDescent="0.35">
      <c r="A1886" s="14" t="s">
        <v>65</v>
      </c>
      <c r="B1886" s="14" t="s">
        <v>66</v>
      </c>
      <c r="C1886" s="14" t="s">
        <v>25</v>
      </c>
      <c r="D1886" s="15">
        <v>29</v>
      </c>
      <c r="E1886" s="14" t="s">
        <v>67</v>
      </c>
      <c r="F1886" s="14" t="s">
        <v>43</v>
      </c>
      <c r="G1886" s="16">
        <v>45331</v>
      </c>
      <c r="H1886" s="14" t="s">
        <v>26</v>
      </c>
      <c r="I1886" s="14" t="s">
        <v>36</v>
      </c>
      <c r="J1886" s="14" t="s">
        <v>2270</v>
      </c>
      <c r="K1886" s="14" t="s">
        <v>2271</v>
      </c>
      <c r="L1886" s="14" t="s">
        <v>68</v>
      </c>
      <c r="M1886" s="14" t="s">
        <v>39</v>
      </c>
      <c r="N1886" s="17">
        <v>96625</v>
      </c>
      <c r="O1886" s="17">
        <v>7912</v>
      </c>
      <c r="P1886" s="18">
        <v>96.8</v>
      </c>
      <c r="Q1886" s="15">
        <v>0</v>
      </c>
      <c r="R1886" s="19">
        <v>19</v>
      </c>
      <c r="S1886" s="19">
        <v>1</v>
      </c>
      <c r="T1886" s="15">
        <v>25</v>
      </c>
      <c r="U1886" s="19">
        <v>99</v>
      </c>
      <c r="V1886" s="14" t="s">
        <v>69</v>
      </c>
      <c r="W1886" s="14"/>
      <c r="X1886" s="14">
        <f>IF(V1886="Yes",1,0)</f>
        <v>1</v>
      </c>
      <c r="Y1886" s="14">
        <f>IF(H1886="Active",0,1)</f>
        <v>0</v>
      </c>
    </row>
    <row r="1887" spans="1:25" ht="18" customHeight="1" x14ac:dyDescent="0.35">
      <c r="A1887" s="14" t="s">
        <v>1430</v>
      </c>
      <c r="B1887" s="14" t="s">
        <v>278</v>
      </c>
      <c r="C1887" s="14" t="s">
        <v>34</v>
      </c>
      <c r="D1887" s="15">
        <v>58</v>
      </c>
      <c r="E1887" s="14" t="s">
        <v>109</v>
      </c>
      <c r="F1887" s="14" t="s">
        <v>53</v>
      </c>
      <c r="G1887" s="16">
        <v>45331</v>
      </c>
      <c r="H1887" s="14" t="s">
        <v>26</v>
      </c>
      <c r="I1887" s="14" t="s">
        <v>36</v>
      </c>
      <c r="J1887" s="14" t="s">
        <v>2269</v>
      </c>
      <c r="K1887" s="14" t="s">
        <v>37</v>
      </c>
      <c r="L1887" s="14" t="s">
        <v>44</v>
      </c>
      <c r="M1887" s="14" t="s">
        <v>60</v>
      </c>
      <c r="N1887" s="17">
        <v>132120</v>
      </c>
      <c r="O1887" s="17">
        <v>27652</v>
      </c>
      <c r="P1887" s="18">
        <v>98.5</v>
      </c>
      <c r="Q1887" s="15">
        <v>3</v>
      </c>
      <c r="R1887" s="19">
        <v>13</v>
      </c>
      <c r="S1887" s="19">
        <v>5</v>
      </c>
      <c r="T1887" s="15">
        <v>2</v>
      </c>
      <c r="U1887" s="19">
        <v>68</v>
      </c>
      <c r="V1887" s="14" t="s">
        <v>69</v>
      </c>
      <c r="W1887" s="14"/>
      <c r="X1887" s="14">
        <f>IF(V1887="Yes",1,0)</f>
        <v>1</v>
      </c>
      <c r="Y1887" s="14">
        <f>IF(H1887="Active",0,1)</f>
        <v>0</v>
      </c>
    </row>
    <row r="1888" spans="1:25" ht="18" customHeight="1" x14ac:dyDescent="0.35">
      <c r="A1888" s="8" t="s">
        <v>1563</v>
      </c>
      <c r="B1888" s="8" t="s">
        <v>518</v>
      </c>
      <c r="C1888" s="8" t="s">
        <v>25</v>
      </c>
      <c r="D1888" s="9">
        <v>25</v>
      </c>
      <c r="E1888" s="8" t="s">
        <v>93</v>
      </c>
      <c r="F1888" s="8" t="s">
        <v>53</v>
      </c>
      <c r="G1888" s="10">
        <v>45331</v>
      </c>
      <c r="H1888" s="8" t="s">
        <v>26</v>
      </c>
      <c r="I1888" s="8" t="s">
        <v>2267</v>
      </c>
      <c r="J1888" s="8" t="s">
        <v>2268</v>
      </c>
      <c r="K1888" s="8" t="s">
        <v>37</v>
      </c>
      <c r="L1888" s="8" t="s">
        <v>68</v>
      </c>
      <c r="M1888" s="8" t="s">
        <v>39</v>
      </c>
      <c r="N1888" s="11">
        <v>138169</v>
      </c>
      <c r="O1888" s="11">
        <v>20171</v>
      </c>
      <c r="P1888" s="12">
        <v>81.2</v>
      </c>
      <c r="Q1888" s="9">
        <v>3</v>
      </c>
      <c r="R1888" s="13">
        <v>10</v>
      </c>
      <c r="S1888" s="13">
        <v>1</v>
      </c>
      <c r="T1888" s="9">
        <v>16</v>
      </c>
      <c r="U1888" s="13">
        <v>91</v>
      </c>
      <c r="V1888" s="8" t="s">
        <v>69</v>
      </c>
      <c r="W1888" s="8"/>
      <c r="X1888" s="22">
        <f>IF(V1888="Yes",1,0)</f>
        <v>1</v>
      </c>
      <c r="Y1888" s="22">
        <f>IF(H1888="Active",0,1)</f>
        <v>0</v>
      </c>
    </row>
    <row r="1889" spans="1:25" ht="18" customHeight="1" x14ac:dyDescent="0.35">
      <c r="A1889" s="8" t="s">
        <v>651</v>
      </c>
      <c r="B1889" s="8" t="s">
        <v>59</v>
      </c>
      <c r="C1889" s="8" t="s">
        <v>34</v>
      </c>
      <c r="D1889" s="9">
        <v>22</v>
      </c>
      <c r="E1889" s="8" t="s">
        <v>67</v>
      </c>
      <c r="F1889" s="8" t="s">
        <v>79</v>
      </c>
      <c r="G1889" s="10">
        <v>45330</v>
      </c>
      <c r="H1889" s="8" t="s">
        <v>54</v>
      </c>
      <c r="I1889" s="8" t="s">
        <v>2267</v>
      </c>
      <c r="J1889" s="8" t="s">
        <v>2270</v>
      </c>
      <c r="K1889" s="8" t="s">
        <v>55</v>
      </c>
      <c r="L1889" s="8" t="s">
        <v>116</v>
      </c>
      <c r="M1889" s="8" t="s">
        <v>30</v>
      </c>
      <c r="N1889" s="11">
        <v>142505</v>
      </c>
      <c r="O1889" s="11">
        <v>6894</v>
      </c>
      <c r="P1889" s="12">
        <v>96</v>
      </c>
      <c r="Q1889" s="9">
        <v>0</v>
      </c>
      <c r="R1889" s="13">
        <v>5</v>
      </c>
      <c r="S1889" s="13">
        <v>5</v>
      </c>
      <c r="T1889" s="9">
        <v>9</v>
      </c>
      <c r="U1889" s="13">
        <v>89</v>
      </c>
      <c r="V1889" s="8" t="s">
        <v>31</v>
      </c>
      <c r="W1889" s="8" t="s">
        <v>83</v>
      </c>
      <c r="X1889" s="22">
        <f>IF(V1889="Yes",1,0)</f>
        <v>0</v>
      </c>
      <c r="Y1889" s="22">
        <f>IF(H1889="Active",0,1)</f>
        <v>1</v>
      </c>
    </row>
    <row r="1890" spans="1:25" ht="18" customHeight="1" x14ac:dyDescent="0.35">
      <c r="A1890" s="14" t="s">
        <v>1342</v>
      </c>
      <c r="B1890" s="14" t="s">
        <v>432</v>
      </c>
      <c r="C1890" s="14" t="s">
        <v>34</v>
      </c>
      <c r="D1890" s="15">
        <v>25</v>
      </c>
      <c r="E1890" s="14" t="s">
        <v>42</v>
      </c>
      <c r="F1890" s="14" t="s">
        <v>35</v>
      </c>
      <c r="G1890" s="16">
        <v>45330</v>
      </c>
      <c r="H1890" s="14" t="s">
        <v>26</v>
      </c>
      <c r="I1890" s="14" t="s">
        <v>2267</v>
      </c>
      <c r="J1890" s="14" t="s">
        <v>2268</v>
      </c>
      <c r="K1890" s="14" t="s">
        <v>37</v>
      </c>
      <c r="L1890" s="14" t="s">
        <v>38</v>
      </c>
      <c r="M1890" s="14" t="s">
        <v>39</v>
      </c>
      <c r="N1890" s="17">
        <v>209368</v>
      </c>
      <c r="O1890" s="17">
        <v>14857</v>
      </c>
      <c r="P1890" s="18">
        <v>90.5</v>
      </c>
      <c r="Q1890" s="15">
        <v>1</v>
      </c>
      <c r="R1890" s="19">
        <v>24</v>
      </c>
      <c r="S1890" s="19">
        <v>5</v>
      </c>
      <c r="T1890" s="15">
        <v>13</v>
      </c>
      <c r="U1890" s="19">
        <v>72</v>
      </c>
      <c r="V1890" s="14" t="s">
        <v>31</v>
      </c>
      <c r="W1890" s="14"/>
      <c r="X1890" s="14">
        <f>IF(V1890="Yes",1,0)</f>
        <v>0</v>
      </c>
      <c r="Y1890" s="14">
        <f>IF(H1890="Active",0,1)</f>
        <v>0</v>
      </c>
    </row>
    <row r="1891" spans="1:25" ht="18" customHeight="1" x14ac:dyDescent="0.35">
      <c r="A1891" s="14" t="s">
        <v>1478</v>
      </c>
      <c r="B1891" s="14" t="s">
        <v>567</v>
      </c>
      <c r="C1891" s="14" t="s">
        <v>25</v>
      </c>
      <c r="D1891" s="15">
        <v>36</v>
      </c>
      <c r="E1891" s="14" t="s">
        <v>86</v>
      </c>
      <c r="F1891" s="14" t="s">
        <v>90</v>
      </c>
      <c r="G1891" s="16">
        <v>45330</v>
      </c>
      <c r="H1891" s="14" t="s">
        <v>26</v>
      </c>
      <c r="I1891" s="14" t="s">
        <v>27</v>
      </c>
      <c r="J1891" s="14" t="s">
        <v>2268</v>
      </c>
      <c r="K1891" s="14" t="s">
        <v>37</v>
      </c>
      <c r="L1891" s="14" t="s">
        <v>56</v>
      </c>
      <c r="M1891" s="14" t="s">
        <v>64</v>
      </c>
      <c r="N1891" s="17">
        <v>50066</v>
      </c>
      <c r="O1891" s="17">
        <v>15176</v>
      </c>
      <c r="P1891" s="18">
        <v>90.3</v>
      </c>
      <c r="Q1891" s="15">
        <v>10</v>
      </c>
      <c r="R1891" s="19">
        <v>30</v>
      </c>
      <c r="S1891" s="19">
        <v>2</v>
      </c>
      <c r="T1891" s="15">
        <v>16</v>
      </c>
      <c r="U1891" s="19">
        <v>84</v>
      </c>
      <c r="V1891" s="14" t="s">
        <v>31</v>
      </c>
      <c r="W1891" s="14"/>
      <c r="X1891" s="14">
        <f>IF(V1891="Yes",1,0)</f>
        <v>0</v>
      </c>
      <c r="Y1891" s="14">
        <f>IF(H1891="Active",0,1)</f>
        <v>0</v>
      </c>
    </row>
    <row r="1892" spans="1:25" ht="18" customHeight="1" x14ac:dyDescent="0.35">
      <c r="A1892" s="8" t="s">
        <v>407</v>
      </c>
      <c r="B1892" s="8" t="s">
        <v>234</v>
      </c>
      <c r="C1892" s="8" t="s">
        <v>25</v>
      </c>
      <c r="D1892" s="9">
        <v>55</v>
      </c>
      <c r="E1892" s="8" t="s">
        <v>42</v>
      </c>
      <c r="F1892" s="8" t="s">
        <v>79</v>
      </c>
      <c r="G1892" s="10">
        <v>45329</v>
      </c>
      <c r="H1892" s="8" t="s">
        <v>26</v>
      </c>
      <c r="I1892" s="8" t="s">
        <v>2267</v>
      </c>
      <c r="J1892" s="8" t="s">
        <v>2268</v>
      </c>
      <c r="K1892" s="8" t="s">
        <v>55</v>
      </c>
      <c r="L1892" s="8" t="s">
        <v>56</v>
      </c>
      <c r="M1892" s="8" t="s">
        <v>30</v>
      </c>
      <c r="N1892" s="11">
        <v>204228</v>
      </c>
      <c r="O1892" s="11">
        <v>29217</v>
      </c>
      <c r="P1892" s="12">
        <v>90.6</v>
      </c>
      <c r="Q1892" s="9">
        <v>2</v>
      </c>
      <c r="R1892" s="13">
        <v>20</v>
      </c>
      <c r="S1892" s="13">
        <v>4</v>
      </c>
      <c r="T1892" s="9">
        <v>7</v>
      </c>
      <c r="U1892" s="13">
        <v>65</v>
      </c>
      <c r="V1892" s="8" t="s">
        <v>31</v>
      </c>
      <c r="W1892" s="8"/>
      <c r="X1892" s="22">
        <f>IF(V1892="Yes",1,0)</f>
        <v>0</v>
      </c>
      <c r="Y1892" s="22">
        <f>IF(H1892="Active",0,1)</f>
        <v>0</v>
      </c>
    </row>
    <row r="1893" spans="1:25" ht="18" customHeight="1" x14ac:dyDescent="0.35">
      <c r="A1893" s="14" t="s">
        <v>873</v>
      </c>
      <c r="B1893" s="14" t="s">
        <v>165</v>
      </c>
      <c r="C1893" s="14" t="s">
        <v>25</v>
      </c>
      <c r="D1893" s="15">
        <v>41</v>
      </c>
      <c r="E1893" s="14" t="s">
        <v>93</v>
      </c>
      <c r="F1893" s="14" t="s">
        <v>12</v>
      </c>
      <c r="G1893" s="16">
        <v>45329</v>
      </c>
      <c r="H1893" s="14" t="s">
        <v>26</v>
      </c>
      <c r="I1893" s="14" t="s">
        <v>2267</v>
      </c>
      <c r="J1893" s="14" t="s">
        <v>48</v>
      </c>
      <c r="K1893" s="14" t="s">
        <v>2271</v>
      </c>
      <c r="L1893" s="14" t="s">
        <v>68</v>
      </c>
      <c r="M1893" s="14" t="s">
        <v>30</v>
      </c>
      <c r="N1893" s="17">
        <v>208685</v>
      </c>
      <c r="O1893" s="17">
        <v>38875</v>
      </c>
      <c r="P1893" s="18">
        <v>87.3</v>
      </c>
      <c r="Q1893" s="15">
        <v>10</v>
      </c>
      <c r="R1893" s="19">
        <v>12</v>
      </c>
      <c r="S1893" s="19">
        <v>5</v>
      </c>
      <c r="T1893" s="15">
        <v>26</v>
      </c>
      <c r="U1893" s="19">
        <v>99</v>
      </c>
      <c r="V1893" s="14" t="s">
        <v>31</v>
      </c>
      <c r="W1893" s="14"/>
      <c r="X1893" s="14">
        <f>IF(V1893="Yes",1,0)</f>
        <v>0</v>
      </c>
      <c r="Y1893" s="14">
        <f>IF(H1893="Active",0,1)</f>
        <v>0</v>
      </c>
    </row>
    <row r="1894" spans="1:25" ht="18" customHeight="1" x14ac:dyDescent="0.35">
      <c r="A1894" s="14" t="s">
        <v>919</v>
      </c>
      <c r="B1894" s="14" t="s">
        <v>149</v>
      </c>
      <c r="C1894" s="14" t="s">
        <v>34</v>
      </c>
      <c r="D1894" s="15">
        <v>23</v>
      </c>
      <c r="E1894" s="14" t="s">
        <v>2303</v>
      </c>
      <c r="F1894" s="14" t="s">
        <v>12</v>
      </c>
      <c r="G1894" s="16">
        <v>45329</v>
      </c>
      <c r="H1894" s="14" t="s">
        <v>26</v>
      </c>
      <c r="I1894" s="14" t="s">
        <v>27</v>
      </c>
      <c r="J1894" s="14" t="s">
        <v>48</v>
      </c>
      <c r="K1894" s="14" t="s">
        <v>28</v>
      </c>
      <c r="L1894" s="14" t="s">
        <v>87</v>
      </c>
      <c r="M1894" s="14" t="s">
        <v>30</v>
      </c>
      <c r="N1894" s="17">
        <v>140360</v>
      </c>
      <c r="O1894" s="17">
        <v>29884</v>
      </c>
      <c r="P1894" s="18">
        <v>83.3</v>
      </c>
      <c r="Q1894" s="15">
        <v>0</v>
      </c>
      <c r="R1894" s="19">
        <v>17</v>
      </c>
      <c r="S1894" s="19">
        <v>4</v>
      </c>
      <c r="T1894" s="15">
        <v>19</v>
      </c>
      <c r="U1894" s="19">
        <v>88</v>
      </c>
      <c r="V1894" s="14" t="s">
        <v>31</v>
      </c>
      <c r="W1894" s="14"/>
      <c r="X1894" s="14">
        <f>IF(V1894="Yes",1,0)</f>
        <v>0</v>
      </c>
      <c r="Y1894" s="14">
        <f>IF(H1894="Active",0,1)</f>
        <v>0</v>
      </c>
    </row>
    <row r="1895" spans="1:25" ht="18" customHeight="1" x14ac:dyDescent="0.35">
      <c r="A1895" s="14" t="s">
        <v>1266</v>
      </c>
      <c r="B1895" s="14" t="s">
        <v>540</v>
      </c>
      <c r="C1895" s="14" t="s">
        <v>34</v>
      </c>
      <c r="D1895" s="15">
        <v>23</v>
      </c>
      <c r="E1895" s="14" t="s">
        <v>52</v>
      </c>
      <c r="F1895" s="14" t="s">
        <v>53</v>
      </c>
      <c r="G1895" s="16">
        <v>45329</v>
      </c>
      <c r="H1895" s="14" t="s">
        <v>26</v>
      </c>
      <c r="I1895" s="14" t="s">
        <v>27</v>
      </c>
      <c r="J1895" s="14" t="s">
        <v>2270</v>
      </c>
      <c r="K1895" s="14" t="s">
        <v>55</v>
      </c>
      <c r="L1895" s="14" t="s">
        <v>56</v>
      </c>
      <c r="M1895" s="14" t="s">
        <v>45</v>
      </c>
      <c r="N1895" s="17">
        <v>141876</v>
      </c>
      <c r="O1895" s="17">
        <v>16332</v>
      </c>
      <c r="P1895" s="18">
        <v>95.5</v>
      </c>
      <c r="Q1895" s="15">
        <v>0</v>
      </c>
      <c r="R1895" s="19">
        <v>6</v>
      </c>
      <c r="S1895" s="19">
        <v>5</v>
      </c>
      <c r="T1895" s="15">
        <v>13</v>
      </c>
      <c r="U1895" s="19">
        <v>78</v>
      </c>
      <c r="V1895" s="14" t="s">
        <v>31</v>
      </c>
      <c r="W1895" s="14"/>
      <c r="X1895" s="14">
        <f>IF(V1895="Yes",1,0)</f>
        <v>0</v>
      </c>
      <c r="Y1895" s="14">
        <f>IF(H1895="Active",0,1)</f>
        <v>0</v>
      </c>
    </row>
    <row r="1896" spans="1:25" ht="18" customHeight="1" x14ac:dyDescent="0.35">
      <c r="A1896" s="14" t="s">
        <v>1422</v>
      </c>
      <c r="B1896" s="14" t="s">
        <v>98</v>
      </c>
      <c r="C1896" s="14" t="s">
        <v>25</v>
      </c>
      <c r="D1896" s="15">
        <v>35</v>
      </c>
      <c r="E1896" s="14" t="s">
        <v>67</v>
      </c>
      <c r="F1896" s="14" t="s">
        <v>76</v>
      </c>
      <c r="G1896" s="16">
        <v>45329</v>
      </c>
      <c r="H1896" s="14" t="s">
        <v>26</v>
      </c>
      <c r="I1896" s="14" t="s">
        <v>36</v>
      </c>
      <c r="J1896" s="14" t="s">
        <v>48</v>
      </c>
      <c r="K1896" s="14" t="s">
        <v>2271</v>
      </c>
      <c r="L1896" s="14" t="s">
        <v>56</v>
      </c>
      <c r="M1896" s="14" t="s">
        <v>30</v>
      </c>
      <c r="N1896" s="17">
        <v>217033</v>
      </c>
      <c r="O1896" s="17">
        <v>35988</v>
      </c>
      <c r="P1896" s="18">
        <v>93.4</v>
      </c>
      <c r="Q1896" s="15">
        <v>10</v>
      </c>
      <c r="R1896" s="19">
        <v>8</v>
      </c>
      <c r="S1896" s="19">
        <v>1</v>
      </c>
      <c r="T1896" s="15">
        <v>38</v>
      </c>
      <c r="U1896" s="19">
        <v>96</v>
      </c>
      <c r="V1896" s="14" t="s">
        <v>31</v>
      </c>
      <c r="W1896" s="14"/>
      <c r="X1896" s="14">
        <f>IF(V1896="Yes",1,0)</f>
        <v>0</v>
      </c>
      <c r="Y1896" s="14">
        <f>IF(H1896="Active",0,1)</f>
        <v>0</v>
      </c>
    </row>
    <row r="1897" spans="1:25" ht="18" customHeight="1" x14ac:dyDescent="0.35">
      <c r="A1897" s="8" t="s">
        <v>2235</v>
      </c>
      <c r="B1897" s="8" t="s">
        <v>237</v>
      </c>
      <c r="C1897" s="8" t="s">
        <v>25</v>
      </c>
      <c r="D1897" s="9">
        <v>59</v>
      </c>
      <c r="E1897" s="8" t="s">
        <v>93</v>
      </c>
      <c r="F1897" s="8" t="s">
        <v>12</v>
      </c>
      <c r="G1897" s="10">
        <v>45329</v>
      </c>
      <c r="H1897" s="8" t="s">
        <v>26</v>
      </c>
      <c r="I1897" s="8" t="s">
        <v>27</v>
      </c>
      <c r="J1897" s="8" t="s">
        <v>2270</v>
      </c>
      <c r="K1897" s="8" t="s">
        <v>73</v>
      </c>
      <c r="L1897" s="8" t="s">
        <v>38</v>
      </c>
      <c r="M1897" s="8" t="s">
        <v>45</v>
      </c>
      <c r="N1897" s="11">
        <v>171160</v>
      </c>
      <c r="O1897" s="11">
        <v>21687</v>
      </c>
      <c r="P1897" s="12">
        <v>87.4</v>
      </c>
      <c r="Q1897" s="9">
        <v>1</v>
      </c>
      <c r="R1897" s="13">
        <v>6</v>
      </c>
      <c r="S1897" s="13">
        <v>4</v>
      </c>
      <c r="T1897" s="9">
        <v>1</v>
      </c>
      <c r="U1897" s="13">
        <v>93</v>
      </c>
      <c r="V1897" s="8" t="s">
        <v>31</v>
      </c>
      <c r="W1897" s="8"/>
      <c r="X1897" s="22">
        <f>IF(V1897="Yes",1,0)</f>
        <v>0</v>
      </c>
      <c r="Y1897" s="22">
        <f>IF(H1897="Active",0,1)</f>
        <v>0</v>
      </c>
    </row>
    <row r="1898" spans="1:25" ht="18" customHeight="1" x14ac:dyDescent="0.35">
      <c r="A1898" s="14" t="s">
        <v>382</v>
      </c>
      <c r="B1898" s="14" t="s">
        <v>256</v>
      </c>
      <c r="C1898" s="14" t="s">
        <v>34</v>
      </c>
      <c r="D1898" s="15">
        <v>52</v>
      </c>
      <c r="E1898" s="14" t="s">
        <v>93</v>
      </c>
      <c r="F1898" s="14" t="s">
        <v>43</v>
      </c>
      <c r="G1898" s="16">
        <v>45328</v>
      </c>
      <c r="H1898" s="14" t="s">
        <v>26</v>
      </c>
      <c r="I1898" s="14" t="s">
        <v>2267</v>
      </c>
      <c r="J1898" s="14" t="s">
        <v>80</v>
      </c>
      <c r="K1898" s="14" t="s">
        <v>37</v>
      </c>
      <c r="L1898" s="14" t="s">
        <v>116</v>
      </c>
      <c r="M1898" s="14" t="s">
        <v>39</v>
      </c>
      <c r="N1898" s="17">
        <v>231147</v>
      </c>
      <c r="O1898" s="17">
        <v>26871</v>
      </c>
      <c r="P1898" s="18">
        <v>95.6</v>
      </c>
      <c r="Q1898" s="15">
        <v>7</v>
      </c>
      <c r="R1898" s="19">
        <v>2</v>
      </c>
      <c r="S1898" s="19">
        <v>3</v>
      </c>
      <c r="T1898" s="15">
        <v>23</v>
      </c>
      <c r="U1898" s="19">
        <v>66</v>
      </c>
      <c r="V1898" s="14" t="s">
        <v>31</v>
      </c>
      <c r="W1898" s="14"/>
      <c r="X1898" s="14">
        <f>IF(V1898="Yes",1,0)</f>
        <v>0</v>
      </c>
      <c r="Y1898" s="14">
        <f>IF(H1898="Active",0,1)</f>
        <v>0</v>
      </c>
    </row>
    <row r="1899" spans="1:25" ht="18" customHeight="1" x14ac:dyDescent="0.35">
      <c r="A1899" s="8" t="s">
        <v>1797</v>
      </c>
      <c r="B1899" s="8" t="s">
        <v>356</v>
      </c>
      <c r="C1899" s="8" t="s">
        <v>25</v>
      </c>
      <c r="D1899" s="9">
        <v>35</v>
      </c>
      <c r="E1899" s="8" t="s">
        <v>42</v>
      </c>
      <c r="F1899" s="8" t="s">
        <v>43</v>
      </c>
      <c r="G1899" s="10">
        <v>45328</v>
      </c>
      <c r="H1899" s="8" t="s">
        <v>26</v>
      </c>
      <c r="I1899" s="8" t="s">
        <v>2267</v>
      </c>
      <c r="J1899" s="8" t="s">
        <v>2270</v>
      </c>
      <c r="K1899" s="8" t="s">
        <v>37</v>
      </c>
      <c r="L1899" s="8" t="s">
        <v>49</v>
      </c>
      <c r="M1899" s="8" t="s">
        <v>60</v>
      </c>
      <c r="N1899" s="11">
        <v>55239</v>
      </c>
      <c r="O1899" s="11">
        <v>35247</v>
      </c>
      <c r="P1899" s="12">
        <v>80.5</v>
      </c>
      <c r="Q1899" s="9">
        <v>7</v>
      </c>
      <c r="R1899" s="13">
        <v>20</v>
      </c>
      <c r="S1899" s="13">
        <v>4</v>
      </c>
      <c r="T1899" s="9">
        <v>0</v>
      </c>
      <c r="U1899" s="13">
        <v>70</v>
      </c>
      <c r="V1899" s="8" t="s">
        <v>31</v>
      </c>
      <c r="W1899" s="8"/>
      <c r="X1899" s="22">
        <f>IF(V1899="Yes",1,0)</f>
        <v>0</v>
      </c>
      <c r="Y1899" s="22">
        <f>IF(H1899="Active",0,1)</f>
        <v>0</v>
      </c>
    </row>
    <row r="1900" spans="1:25" ht="18" customHeight="1" x14ac:dyDescent="0.35">
      <c r="A1900" s="8" t="s">
        <v>546</v>
      </c>
      <c r="B1900" s="8" t="s">
        <v>308</v>
      </c>
      <c r="C1900" s="8" t="s">
        <v>34</v>
      </c>
      <c r="D1900" s="9">
        <v>48</v>
      </c>
      <c r="E1900" s="8" t="s">
        <v>2304</v>
      </c>
      <c r="F1900" s="8" t="s">
        <v>72</v>
      </c>
      <c r="G1900" s="10">
        <v>45327</v>
      </c>
      <c r="H1900" s="8" t="s">
        <v>26</v>
      </c>
      <c r="I1900" s="8" t="s">
        <v>27</v>
      </c>
      <c r="J1900" s="8" t="s">
        <v>2270</v>
      </c>
      <c r="K1900" s="8" t="s">
        <v>2271</v>
      </c>
      <c r="L1900" s="8" t="s">
        <v>56</v>
      </c>
      <c r="M1900" s="8" t="s">
        <v>64</v>
      </c>
      <c r="N1900" s="11">
        <v>119597</v>
      </c>
      <c r="O1900" s="11">
        <v>31468</v>
      </c>
      <c r="P1900" s="12">
        <v>96.7</v>
      </c>
      <c r="Q1900" s="9">
        <v>1</v>
      </c>
      <c r="R1900" s="13">
        <v>25</v>
      </c>
      <c r="S1900" s="13">
        <v>4</v>
      </c>
      <c r="T1900" s="9">
        <v>17</v>
      </c>
      <c r="U1900" s="13">
        <v>91</v>
      </c>
      <c r="V1900" s="8" t="s">
        <v>31</v>
      </c>
      <c r="W1900" s="8"/>
      <c r="X1900" s="22">
        <f>IF(V1900="Yes",1,0)</f>
        <v>0</v>
      </c>
      <c r="Y1900" s="22">
        <f>IF(H1900="Active",0,1)</f>
        <v>0</v>
      </c>
    </row>
    <row r="1901" spans="1:25" ht="18" customHeight="1" x14ac:dyDescent="0.35">
      <c r="A1901" s="14" t="s">
        <v>907</v>
      </c>
      <c r="B1901" s="14" t="s">
        <v>167</v>
      </c>
      <c r="C1901" s="14" t="s">
        <v>25</v>
      </c>
      <c r="D1901" s="15">
        <v>40</v>
      </c>
      <c r="E1901" s="14" t="s">
        <v>42</v>
      </c>
      <c r="F1901" s="14" t="s">
        <v>12</v>
      </c>
      <c r="G1901" s="16">
        <v>45327</v>
      </c>
      <c r="H1901" s="14" t="s">
        <v>26</v>
      </c>
      <c r="I1901" s="14" t="s">
        <v>36</v>
      </c>
      <c r="J1901" s="14" t="s">
        <v>2268</v>
      </c>
      <c r="K1901" s="14" t="s">
        <v>2271</v>
      </c>
      <c r="L1901" s="14" t="s">
        <v>49</v>
      </c>
      <c r="M1901" s="14" t="s">
        <v>64</v>
      </c>
      <c r="N1901" s="17">
        <v>170706</v>
      </c>
      <c r="O1901" s="17">
        <v>34302</v>
      </c>
      <c r="P1901" s="18">
        <v>84.4</v>
      </c>
      <c r="Q1901" s="15">
        <v>6</v>
      </c>
      <c r="R1901" s="19">
        <v>13</v>
      </c>
      <c r="S1901" s="19">
        <v>5</v>
      </c>
      <c r="T1901" s="15">
        <v>0</v>
      </c>
      <c r="U1901" s="19">
        <v>77</v>
      </c>
      <c r="V1901" s="14" t="s">
        <v>69</v>
      </c>
      <c r="W1901" s="14"/>
      <c r="X1901" s="14">
        <f>IF(V1901="Yes",1,0)</f>
        <v>1</v>
      </c>
      <c r="Y1901" s="14">
        <f>IF(H1901="Active",0,1)</f>
        <v>0</v>
      </c>
    </row>
    <row r="1902" spans="1:25" ht="18" customHeight="1" x14ac:dyDescent="0.35">
      <c r="A1902" s="14" t="s">
        <v>1372</v>
      </c>
      <c r="B1902" s="14" t="s">
        <v>454</v>
      </c>
      <c r="C1902" s="14" t="s">
        <v>34</v>
      </c>
      <c r="D1902" s="15">
        <v>53</v>
      </c>
      <c r="E1902" s="14" t="s">
        <v>2304</v>
      </c>
      <c r="F1902" s="14" t="s">
        <v>79</v>
      </c>
      <c r="G1902" s="16">
        <v>45327</v>
      </c>
      <c r="H1902" s="14" t="s">
        <v>26</v>
      </c>
      <c r="I1902" s="14" t="s">
        <v>36</v>
      </c>
      <c r="J1902" s="14" t="s">
        <v>80</v>
      </c>
      <c r="K1902" s="14" t="s">
        <v>73</v>
      </c>
      <c r="L1902" s="14" t="s">
        <v>87</v>
      </c>
      <c r="M1902" s="14" t="s">
        <v>30</v>
      </c>
      <c r="N1902" s="17">
        <v>157224</v>
      </c>
      <c r="O1902" s="17">
        <v>30682</v>
      </c>
      <c r="P1902" s="18">
        <v>91.5</v>
      </c>
      <c r="Q1902" s="15">
        <v>5</v>
      </c>
      <c r="R1902" s="19">
        <v>30</v>
      </c>
      <c r="S1902" s="19">
        <v>4</v>
      </c>
      <c r="T1902" s="15">
        <v>17</v>
      </c>
      <c r="U1902" s="19">
        <v>67</v>
      </c>
      <c r="V1902" s="14" t="s">
        <v>31</v>
      </c>
      <c r="W1902" s="14"/>
      <c r="X1902" s="14">
        <f>IF(V1902="Yes",1,0)</f>
        <v>0</v>
      </c>
      <c r="Y1902" s="14">
        <f>IF(H1902="Active",0,1)</f>
        <v>0</v>
      </c>
    </row>
    <row r="1903" spans="1:25" ht="18" customHeight="1" x14ac:dyDescent="0.35">
      <c r="A1903" s="8" t="s">
        <v>2125</v>
      </c>
      <c r="B1903" s="8" t="s">
        <v>388</v>
      </c>
      <c r="C1903" s="8" t="s">
        <v>34</v>
      </c>
      <c r="D1903" s="9">
        <v>52</v>
      </c>
      <c r="E1903" s="8" t="s">
        <v>67</v>
      </c>
      <c r="F1903" s="8" t="s">
        <v>79</v>
      </c>
      <c r="G1903" s="10">
        <v>45327</v>
      </c>
      <c r="H1903" s="8" t="s">
        <v>26</v>
      </c>
      <c r="I1903" s="8" t="s">
        <v>27</v>
      </c>
      <c r="J1903" s="8" t="s">
        <v>48</v>
      </c>
      <c r="K1903" s="8" t="s">
        <v>28</v>
      </c>
      <c r="L1903" s="8" t="s">
        <v>116</v>
      </c>
      <c r="M1903" s="8" t="s">
        <v>45</v>
      </c>
      <c r="N1903" s="11">
        <v>141462</v>
      </c>
      <c r="O1903" s="11">
        <v>24465</v>
      </c>
      <c r="P1903" s="12">
        <v>91.5</v>
      </c>
      <c r="Q1903" s="9">
        <v>9</v>
      </c>
      <c r="R1903" s="13">
        <v>11</v>
      </c>
      <c r="S1903" s="13">
        <v>2</v>
      </c>
      <c r="T1903" s="9">
        <v>10</v>
      </c>
      <c r="U1903" s="13">
        <v>62</v>
      </c>
      <c r="V1903" s="8" t="s">
        <v>31</v>
      </c>
      <c r="W1903" s="8"/>
      <c r="X1903" s="22">
        <f>IF(V1903="Yes",1,0)</f>
        <v>0</v>
      </c>
      <c r="Y1903" s="22">
        <f>IF(H1903="Active",0,1)</f>
        <v>0</v>
      </c>
    </row>
    <row r="1904" spans="1:25" ht="18" customHeight="1" x14ac:dyDescent="0.35">
      <c r="A1904" s="14" t="s">
        <v>135</v>
      </c>
      <c r="B1904" s="14" t="s">
        <v>136</v>
      </c>
      <c r="C1904" s="14" t="s">
        <v>34</v>
      </c>
      <c r="D1904" s="15">
        <v>34</v>
      </c>
      <c r="E1904" s="14" t="s">
        <v>52</v>
      </c>
      <c r="F1904" s="14" t="s">
        <v>76</v>
      </c>
      <c r="G1904" s="16">
        <v>45324</v>
      </c>
      <c r="H1904" s="14" t="s">
        <v>26</v>
      </c>
      <c r="I1904" s="14" t="s">
        <v>36</v>
      </c>
      <c r="J1904" s="14" t="s">
        <v>80</v>
      </c>
      <c r="K1904" s="14" t="s">
        <v>28</v>
      </c>
      <c r="L1904" s="14" t="s">
        <v>38</v>
      </c>
      <c r="M1904" s="14" t="s">
        <v>30</v>
      </c>
      <c r="N1904" s="17">
        <v>214026</v>
      </c>
      <c r="O1904" s="17">
        <v>35717</v>
      </c>
      <c r="P1904" s="18">
        <v>80.8</v>
      </c>
      <c r="Q1904" s="15">
        <v>2</v>
      </c>
      <c r="R1904" s="19">
        <v>4</v>
      </c>
      <c r="S1904" s="19">
        <v>4</v>
      </c>
      <c r="T1904" s="15">
        <v>4</v>
      </c>
      <c r="U1904" s="19">
        <v>97</v>
      </c>
      <c r="V1904" s="14" t="s">
        <v>31</v>
      </c>
      <c r="W1904" s="14"/>
      <c r="X1904" s="14">
        <f>IF(V1904="Yes",1,0)</f>
        <v>0</v>
      </c>
      <c r="Y1904" s="14">
        <f>IF(H1904="Active",0,1)</f>
        <v>0</v>
      </c>
    </row>
    <row r="1905" spans="1:25" ht="18" customHeight="1" x14ac:dyDescent="0.35">
      <c r="A1905" s="14" t="s">
        <v>1612</v>
      </c>
      <c r="B1905" s="14" t="s">
        <v>516</v>
      </c>
      <c r="C1905" s="14" t="s">
        <v>25</v>
      </c>
      <c r="D1905" s="15">
        <v>54</v>
      </c>
      <c r="E1905" s="14" t="s">
        <v>86</v>
      </c>
      <c r="F1905" s="14" t="s">
        <v>90</v>
      </c>
      <c r="G1905" s="16">
        <v>45324</v>
      </c>
      <c r="H1905" s="14" t="s">
        <v>26</v>
      </c>
      <c r="I1905" s="14" t="s">
        <v>2267</v>
      </c>
      <c r="J1905" s="14" t="s">
        <v>2269</v>
      </c>
      <c r="K1905" s="14" t="s">
        <v>28</v>
      </c>
      <c r="L1905" s="14" t="s">
        <v>56</v>
      </c>
      <c r="M1905" s="14" t="s">
        <v>45</v>
      </c>
      <c r="N1905" s="17">
        <v>54883</v>
      </c>
      <c r="O1905" s="17">
        <v>10212</v>
      </c>
      <c r="P1905" s="18">
        <v>80.5</v>
      </c>
      <c r="Q1905" s="15">
        <v>0</v>
      </c>
      <c r="R1905" s="19">
        <v>6</v>
      </c>
      <c r="S1905" s="19">
        <v>3</v>
      </c>
      <c r="T1905" s="15">
        <v>19</v>
      </c>
      <c r="U1905" s="19">
        <v>75</v>
      </c>
      <c r="V1905" s="14" t="s">
        <v>31</v>
      </c>
      <c r="W1905" s="14"/>
      <c r="X1905" s="14">
        <f>IF(V1905="Yes",1,0)</f>
        <v>0</v>
      </c>
      <c r="Y1905" s="14">
        <f>IF(H1905="Active",0,1)</f>
        <v>0</v>
      </c>
    </row>
    <row r="1906" spans="1:25" ht="18" customHeight="1" x14ac:dyDescent="0.35">
      <c r="A1906" s="8" t="s">
        <v>2215</v>
      </c>
      <c r="B1906" s="8" t="s">
        <v>454</v>
      </c>
      <c r="C1906" s="8" t="s">
        <v>34</v>
      </c>
      <c r="D1906" s="9">
        <v>45</v>
      </c>
      <c r="E1906" s="8" t="s">
        <v>2303</v>
      </c>
      <c r="F1906" s="8" t="s">
        <v>53</v>
      </c>
      <c r="G1906" s="10">
        <v>45322</v>
      </c>
      <c r="H1906" s="8" t="s">
        <v>26</v>
      </c>
      <c r="I1906" s="8" t="s">
        <v>2267</v>
      </c>
      <c r="J1906" s="8" t="s">
        <v>80</v>
      </c>
      <c r="K1906" s="8" t="s">
        <v>28</v>
      </c>
      <c r="L1906" s="8" t="s">
        <v>116</v>
      </c>
      <c r="M1906" s="8" t="s">
        <v>45</v>
      </c>
      <c r="N1906" s="11">
        <v>199787</v>
      </c>
      <c r="O1906" s="11">
        <v>43795</v>
      </c>
      <c r="P1906" s="12">
        <v>86.9</v>
      </c>
      <c r="Q1906" s="9">
        <v>1</v>
      </c>
      <c r="R1906" s="13">
        <v>2</v>
      </c>
      <c r="S1906" s="13">
        <v>1</v>
      </c>
      <c r="T1906" s="9">
        <v>19</v>
      </c>
      <c r="U1906" s="13">
        <v>75</v>
      </c>
      <c r="V1906" s="8" t="s">
        <v>31</v>
      </c>
      <c r="W1906" s="8"/>
      <c r="X1906" s="22">
        <f>IF(V1906="Yes",1,0)</f>
        <v>0</v>
      </c>
      <c r="Y1906" s="22">
        <f>IF(H1906="Active",0,1)</f>
        <v>0</v>
      </c>
    </row>
    <row r="1907" spans="1:25" ht="18" customHeight="1" x14ac:dyDescent="0.35">
      <c r="A1907" s="8" t="s">
        <v>1445</v>
      </c>
      <c r="B1907" s="8" t="s">
        <v>880</v>
      </c>
      <c r="C1907" s="8" t="s">
        <v>34</v>
      </c>
      <c r="D1907" s="9">
        <v>45</v>
      </c>
      <c r="E1907" s="8" t="s">
        <v>42</v>
      </c>
      <c r="F1907" s="8" t="s">
        <v>79</v>
      </c>
      <c r="G1907" s="10">
        <v>45321</v>
      </c>
      <c r="H1907" s="8" t="s">
        <v>26</v>
      </c>
      <c r="I1907" s="8" t="s">
        <v>2267</v>
      </c>
      <c r="J1907" s="8" t="s">
        <v>48</v>
      </c>
      <c r="K1907" s="8" t="s">
        <v>37</v>
      </c>
      <c r="L1907" s="8" t="s">
        <v>116</v>
      </c>
      <c r="M1907" s="8" t="s">
        <v>30</v>
      </c>
      <c r="N1907" s="11">
        <v>88187</v>
      </c>
      <c r="O1907" s="11">
        <v>44277</v>
      </c>
      <c r="P1907" s="12">
        <v>86.2</v>
      </c>
      <c r="Q1907" s="9">
        <v>4</v>
      </c>
      <c r="R1907" s="13">
        <v>11</v>
      </c>
      <c r="S1907" s="13">
        <v>4</v>
      </c>
      <c r="T1907" s="9">
        <v>6</v>
      </c>
      <c r="U1907" s="13">
        <v>92</v>
      </c>
      <c r="V1907" s="8" t="s">
        <v>31</v>
      </c>
      <c r="W1907" s="8"/>
      <c r="X1907" s="22">
        <f>IF(V1907="Yes",1,0)</f>
        <v>0</v>
      </c>
      <c r="Y1907" s="22">
        <f>IF(H1907="Active",0,1)</f>
        <v>0</v>
      </c>
    </row>
    <row r="1908" spans="1:25" ht="18" customHeight="1" x14ac:dyDescent="0.35">
      <c r="A1908" s="14" t="s">
        <v>2210</v>
      </c>
      <c r="B1908" s="14" t="s">
        <v>291</v>
      </c>
      <c r="C1908" s="14" t="s">
        <v>25</v>
      </c>
      <c r="D1908" s="15">
        <v>54</v>
      </c>
      <c r="E1908" s="14" t="s">
        <v>63</v>
      </c>
      <c r="F1908" s="14" t="s">
        <v>76</v>
      </c>
      <c r="G1908" s="16">
        <v>45321</v>
      </c>
      <c r="H1908" s="14" t="s">
        <v>26</v>
      </c>
      <c r="I1908" s="14" t="s">
        <v>36</v>
      </c>
      <c r="J1908" s="14" t="s">
        <v>2270</v>
      </c>
      <c r="K1908" s="14" t="s">
        <v>55</v>
      </c>
      <c r="L1908" s="14" t="s">
        <v>49</v>
      </c>
      <c r="M1908" s="14" t="s">
        <v>64</v>
      </c>
      <c r="N1908" s="17">
        <v>212717</v>
      </c>
      <c r="O1908" s="17">
        <v>11621</v>
      </c>
      <c r="P1908" s="18">
        <v>97.6</v>
      </c>
      <c r="Q1908" s="15">
        <v>0</v>
      </c>
      <c r="R1908" s="19">
        <v>3</v>
      </c>
      <c r="S1908" s="19">
        <v>4</v>
      </c>
      <c r="T1908" s="15">
        <v>5</v>
      </c>
      <c r="U1908" s="19">
        <v>94</v>
      </c>
      <c r="V1908" s="14" t="s">
        <v>31</v>
      </c>
      <c r="W1908" s="14"/>
      <c r="X1908" s="14">
        <f>IF(V1908="Yes",1,0)</f>
        <v>0</v>
      </c>
      <c r="Y1908" s="14">
        <f>IF(H1908="Active",0,1)</f>
        <v>0</v>
      </c>
    </row>
    <row r="1909" spans="1:25" ht="18" customHeight="1" x14ac:dyDescent="0.35">
      <c r="A1909" s="8" t="s">
        <v>532</v>
      </c>
      <c r="B1909" s="8" t="s">
        <v>464</v>
      </c>
      <c r="C1909" s="8" t="s">
        <v>34</v>
      </c>
      <c r="D1909" s="9">
        <v>28</v>
      </c>
      <c r="E1909" s="8" t="s">
        <v>86</v>
      </c>
      <c r="F1909" s="8" t="s">
        <v>72</v>
      </c>
      <c r="G1909" s="10">
        <v>45320</v>
      </c>
      <c r="H1909" s="8" t="s">
        <v>26</v>
      </c>
      <c r="I1909" s="8" t="s">
        <v>2267</v>
      </c>
      <c r="J1909" s="8" t="s">
        <v>48</v>
      </c>
      <c r="K1909" s="8" t="s">
        <v>28</v>
      </c>
      <c r="L1909" s="8" t="s">
        <v>29</v>
      </c>
      <c r="M1909" s="8" t="s">
        <v>60</v>
      </c>
      <c r="N1909" s="11">
        <v>210302</v>
      </c>
      <c r="O1909" s="11">
        <v>30557</v>
      </c>
      <c r="P1909" s="12">
        <v>83.9</v>
      </c>
      <c r="Q1909" s="9">
        <v>0</v>
      </c>
      <c r="R1909" s="13">
        <v>10</v>
      </c>
      <c r="S1909" s="13">
        <v>4</v>
      </c>
      <c r="T1909" s="9">
        <v>31</v>
      </c>
      <c r="U1909" s="13">
        <v>79</v>
      </c>
      <c r="V1909" s="8" t="s">
        <v>31</v>
      </c>
      <c r="W1909" s="8"/>
      <c r="X1909" s="22">
        <f>IF(V1909="Yes",1,0)</f>
        <v>0</v>
      </c>
      <c r="Y1909" s="22">
        <f>IF(H1909="Active",0,1)</f>
        <v>0</v>
      </c>
    </row>
    <row r="1910" spans="1:25" ht="18" customHeight="1" x14ac:dyDescent="0.35">
      <c r="A1910" s="14" t="s">
        <v>903</v>
      </c>
      <c r="B1910" s="14" t="s">
        <v>443</v>
      </c>
      <c r="C1910" s="14" t="s">
        <v>25</v>
      </c>
      <c r="D1910" s="15">
        <v>37</v>
      </c>
      <c r="E1910" s="14" t="s">
        <v>93</v>
      </c>
      <c r="F1910" s="14" t="s">
        <v>53</v>
      </c>
      <c r="G1910" s="16">
        <v>45320</v>
      </c>
      <c r="H1910" s="14" t="s">
        <v>26</v>
      </c>
      <c r="I1910" s="14" t="s">
        <v>2267</v>
      </c>
      <c r="J1910" s="14" t="s">
        <v>2270</v>
      </c>
      <c r="K1910" s="14" t="s">
        <v>28</v>
      </c>
      <c r="L1910" s="14" t="s">
        <v>29</v>
      </c>
      <c r="M1910" s="14" t="s">
        <v>64</v>
      </c>
      <c r="N1910" s="17">
        <v>196629</v>
      </c>
      <c r="O1910" s="17">
        <v>22811</v>
      </c>
      <c r="P1910" s="18">
        <v>84.4</v>
      </c>
      <c r="Q1910" s="15">
        <v>4</v>
      </c>
      <c r="R1910" s="19">
        <v>25</v>
      </c>
      <c r="S1910" s="19">
        <v>5</v>
      </c>
      <c r="T1910" s="15">
        <v>11</v>
      </c>
      <c r="U1910" s="19">
        <v>82</v>
      </c>
      <c r="V1910" s="14" t="s">
        <v>31</v>
      </c>
      <c r="W1910" s="14"/>
      <c r="X1910" s="14">
        <f>IF(V1910="Yes",1,0)</f>
        <v>0</v>
      </c>
      <c r="Y1910" s="14">
        <f>IF(H1910="Active",0,1)</f>
        <v>0</v>
      </c>
    </row>
    <row r="1911" spans="1:25" ht="18" customHeight="1" x14ac:dyDescent="0.35">
      <c r="A1911" s="14" t="s">
        <v>1318</v>
      </c>
      <c r="B1911" s="14" t="s">
        <v>293</v>
      </c>
      <c r="C1911" s="14" t="s">
        <v>34</v>
      </c>
      <c r="D1911" s="15">
        <v>59</v>
      </c>
      <c r="E1911" s="14" t="s">
        <v>86</v>
      </c>
      <c r="F1911" s="14" t="s">
        <v>53</v>
      </c>
      <c r="G1911" s="16">
        <v>45320</v>
      </c>
      <c r="H1911" s="14" t="s">
        <v>26</v>
      </c>
      <c r="I1911" s="14" t="s">
        <v>2267</v>
      </c>
      <c r="J1911" s="14" t="s">
        <v>48</v>
      </c>
      <c r="K1911" s="14" t="s">
        <v>2271</v>
      </c>
      <c r="L1911" s="14" t="s">
        <v>44</v>
      </c>
      <c r="M1911" s="14" t="s">
        <v>64</v>
      </c>
      <c r="N1911" s="17">
        <v>176376</v>
      </c>
      <c r="O1911" s="17">
        <v>6709</v>
      </c>
      <c r="P1911" s="18">
        <v>96.8</v>
      </c>
      <c r="Q1911" s="15">
        <v>5</v>
      </c>
      <c r="R1911" s="19">
        <v>14</v>
      </c>
      <c r="S1911" s="19">
        <v>5</v>
      </c>
      <c r="T1911" s="15">
        <v>7</v>
      </c>
      <c r="U1911" s="19">
        <v>63</v>
      </c>
      <c r="V1911" s="14" t="s">
        <v>31</v>
      </c>
      <c r="W1911" s="14"/>
      <c r="X1911" s="14">
        <f>IF(V1911="Yes",1,0)</f>
        <v>0</v>
      </c>
      <c r="Y1911" s="14">
        <f>IF(H1911="Active",0,1)</f>
        <v>0</v>
      </c>
    </row>
    <row r="1912" spans="1:25" ht="18" customHeight="1" x14ac:dyDescent="0.35">
      <c r="A1912" s="14" t="s">
        <v>1438</v>
      </c>
      <c r="B1912" s="14" t="s">
        <v>201</v>
      </c>
      <c r="C1912" s="14" t="s">
        <v>34</v>
      </c>
      <c r="D1912" s="15">
        <v>38</v>
      </c>
      <c r="E1912" s="14" t="s">
        <v>93</v>
      </c>
      <c r="F1912" s="14" t="s">
        <v>35</v>
      </c>
      <c r="G1912" s="16">
        <v>45320</v>
      </c>
      <c r="H1912" s="14" t="s">
        <v>26</v>
      </c>
      <c r="I1912" s="14" t="s">
        <v>2267</v>
      </c>
      <c r="J1912" s="14" t="s">
        <v>2270</v>
      </c>
      <c r="K1912" s="14" t="s">
        <v>55</v>
      </c>
      <c r="L1912" s="14" t="s">
        <v>29</v>
      </c>
      <c r="M1912" s="14" t="s">
        <v>60</v>
      </c>
      <c r="N1912" s="17">
        <v>122245</v>
      </c>
      <c r="O1912" s="17">
        <v>14839</v>
      </c>
      <c r="P1912" s="18">
        <v>96.9</v>
      </c>
      <c r="Q1912" s="15">
        <v>4</v>
      </c>
      <c r="R1912" s="19">
        <v>25</v>
      </c>
      <c r="S1912" s="19">
        <v>3</v>
      </c>
      <c r="T1912" s="15">
        <v>14</v>
      </c>
      <c r="U1912" s="19">
        <v>63</v>
      </c>
      <c r="V1912" s="14" t="s">
        <v>31</v>
      </c>
      <c r="W1912" s="14"/>
      <c r="X1912" s="14">
        <f>IF(V1912="Yes",1,0)</f>
        <v>0</v>
      </c>
      <c r="Y1912" s="14">
        <f>IF(H1912="Active",0,1)</f>
        <v>0</v>
      </c>
    </row>
    <row r="1913" spans="1:25" ht="18" customHeight="1" x14ac:dyDescent="0.35">
      <c r="A1913" s="14" t="s">
        <v>1804</v>
      </c>
      <c r="B1913" s="14" t="s">
        <v>250</v>
      </c>
      <c r="C1913" s="14" t="s">
        <v>25</v>
      </c>
      <c r="D1913" s="15">
        <v>45</v>
      </c>
      <c r="E1913" s="14" t="s">
        <v>67</v>
      </c>
      <c r="F1913" s="14" t="s">
        <v>79</v>
      </c>
      <c r="G1913" s="16">
        <v>45320</v>
      </c>
      <c r="H1913" s="14" t="s">
        <v>54</v>
      </c>
      <c r="I1913" s="14" t="s">
        <v>36</v>
      </c>
      <c r="J1913" s="14" t="s">
        <v>80</v>
      </c>
      <c r="K1913" s="14" t="s">
        <v>55</v>
      </c>
      <c r="L1913" s="14" t="s">
        <v>29</v>
      </c>
      <c r="M1913" s="14" t="s">
        <v>39</v>
      </c>
      <c r="N1913" s="17">
        <v>192961</v>
      </c>
      <c r="O1913" s="17">
        <v>32784</v>
      </c>
      <c r="P1913" s="18">
        <v>83.1</v>
      </c>
      <c r="Q1913" s="15">
        <v>2</v>
      </c>
      <c r="R1913" s="19">
        <v>29</v>
      </c>
      <c r="S1913" s="19">
        <v>1</v>
      </c>
      <c r="T1913" s="15">
        <v>21</v>
      </c>
      <c r="U1913" s="19">
        <v>88</v>
      </c>
      <c r="V1913" s="14" t="s">
        <v>31</v>
      </c>
      <c r="W1913" s="14" t="s">
        <v>96</v>
      </c>
      <c r="X1913" s="14">
        <f>IF(V1913="Yes",1,0)</f>
        <v>0</v>
      </c>
      <c r="Y1913" s="14">
        <f>IF(H1913="Active",0,1)</f>
        <v>1</v>
      </c>
    </row>
    <row r="1914" spans="1:25" ht="18" customHeight="1" x14ac:dyDescent="0.35">
      <c r="A1914" s="14" t="s">
        <v>2168</v>
      </c>
      <c r="B1914" s="14" t="s">
        <v>399</v>
      </c>
      <c r="C1914" s="14" t="s">
        <v>25</v>
      </c>
      <c r="D1914" s="15">
        <v>22</v>
      </c>
      <c r="E1914" s="14" t="s">
        <v>2304</v>
      </c>
      <c r="F1914" s="14" t="s">
        <v>76</v>
      </c>
      <c r="G1914" s="16">
        <v>45320</v>
      </c>
      <c r="H1914" s="14" t="s">
        <v>26</v>
      </c>
      <c r="I1914" s="14" t="s">
        <v>27</v>
      </c>
      <c r="J1914" s="14" t="s">
        <v>48</v>
      </c>
      <c r="K1914" s="14" t="s">
        <v>37</v>
      </c>
      <c r="L1914" s="14" t="s">
        <v>38</v>
      </c>
      <c r="M1914" s="14" t="s">
        <v>60</v>
      </c>
      <c r="N1914" s="17">
        <v>242261</v>
      </c>
      <c r="O1914" s="17">
        <v>16399</v>
      </c>
      <c r="P1914" s="18">
        <v>80.599999999999994</v>
      </c>
      <c r="Q1914" s="15">
        <v>4</v>
      </c>
      <c r="R1914" s="19">
        <v>29</v>
      </c>
      <c r="S1914" s="19">
        <v>4</v>
      </c>
      <c r="T1914" s="15">
        <v>17</v>
      </c>
      <c r="U1914" s="19">
        <v>94</v>
      </c>
      <c r="V1914" s="14" t="s">
        <v>31</v>
      </c>
      <c r="W1914" s="14"/>
      <c r="X1914" s="14">
        <f>IF(V1914="Yes",1,0)</f>
        <v>0</v>
      </c>
      <c r="Y1914" s="14">
        <f>IF(H1914="Active",0,1)</f>
        <v>0</v>
      </c>
    </row>
    <row r="1915" spans="1:25" ht="18" customHeight="1" x14ac:dyDescent="0.35">
      <c r="A1915" s="8" t="s">
        <v>1027</v>
      </c>
      <c r="B1915" s="8" t="s">
        <v>367</v>
      </c>
      <c r="C1915" s="8" t="s">
        <v>34</v>
      </c>
      <c r="D1915" s="9">
        <v>48</v>
      </c>
      <c r="E1915" s="8" t="s">
        <v>109</v>
      </c>
      <c r="F1915" s="8" t="s">
        <v>90</v>
      </c>
      <c r="G1915" s="10">
        <v>45319</v>
      </c>
      <c r="H1915" s="8" t="s">
        <v>26</v>
      </c>
      <c r="I1915" s="8" t="s">
        <v>27</v>
      </c>
      <c r="J1915" s="8" t="s">
        <v>2270</v>
      </c>
      <c r="K1915" s="8" t="s">
        <v>73</v>
      </c>
      <c r="L1915" s="8" t="s">
        <v>44</v>
      </c>
      <c r="M1915" s="8" t="s">
        <v>30</v>
      </c>
      <c r="N1915" s="11">
        <v>174262</v>
      </c>
      <c r="O1915" s="11">
        <v>44949</v>
      </c>
      <c r="P1915" s="12">
        <v>81.2</v>
      </c>
      <c r="Q1915" s="9">
        <v>3</v>
      </c>
      <c r="R1915" s="13">
        <v>0</v>
      </c>
      <c r="S1915" s="13">
        <v>4</v>
      </c>
      <c r="T1915" s="9">
        <v>22</v>
      </c>
      <c r="U1915" s="13">
        <v>84</v>
      </c>
      <c r="V1915" s="8" t="s">
        <v>31</v>
      </c>
      <c r="W1915" s="8"/>
      <c r="X1915" s="22">
        <f>IF(V1915="Yes",1,0)</f>
        <v>0</v>
      </c>
      <c r="Y1915" s="22">
        <f>IF(H1915="Active",0,1)</f>
        <v>0</v>
      </c>
    </row>
    <row r="1916" spans="1:25" ht="18" customHeight="1" x14ac:dyDescent="0.35">
      <c r="A1916" s="14" t="s">
        <v>1408</v>
      </c>
      <c r="B1916" s="14" t="s">
        <v>877</v>
      </c>
      <c r="C1916" s="14" t="s">
        <v>34</v>
      </c>
      <c r="D1916" s="15">
        <v>21</v>
      </c>
      <c r="E1916" s="14" t="s">
        <v>52</v>
      </c>
      <c r="F1916" s="14" t="s">
        <v>43</v>
      </c>
      <c r="G1916" s="16">
        <v>45319</v>
      </c>
      <c r="H1916" s="14" t="s">
        <v>26</v>
      </c>
      <c r="I1916" s="14" t="s">
        <v>27</v>
      </c>
      <c r="J1916" s="14" t="s">
        <v>2268</v>
      </c>
      <c r="K1916" s="14" t="s">
        <v>73</v>
      </c>
      <c r="L1916" s="14" t="s">
        <v>49</v>
      </c>
      <c r="M1916" s="14" t="s">
        <v>60</v>
      </c>
      <c r="N1916" s="17">
        <v>186154</v>
      </c>
      <c r="O1916" s="17">
        <v>49702</v>
      </c>
      <c r="P1916" s="18">
        <v>87.6</v>
      </c>
      <c r="Q1916" s="15">
        <v>1</v>
      </c>
      <c r="R1916" s="19">
        <v>13</v>
      </c>
      <c r="S1916" s="19">
        <v>4</v>
      </c>
      <c r="T1916" s="15">
        <v>15</v>
      </c>
      <c r="U1916" s="19">
        <v>63</v>
      </c>
      <c r="V1916" s="14" t="s">
        <v>31</v>
      </c>
      <c r="W1916" s="14"/>
      <c r="X1916" s="14">
        <f>IF(V1916="Yes",1,0)</f>
        <v>0</v>
      </c>
      <c r="Y1916" s="14">
        <f>IF(H1916="Active",0,1)</f>
        <v>0</v>
      </c>
    </row>
    <row r="1917" spans="1:25" ht="18" customHeight="1" x14ac:dyDescent="0.35">
      <c r="A1917" s="14" t="s">
        <v>1922</v>
      </c>
      <c r="B1917" s="14" t="s">
        <v>186</v>
      </c>
      <c r="C1917" s="14" t="s">
        <v>25</v>
      </c>
      <c r="D1917" s="15">
        <v>34</v>
      </c>
      <c r="E1917" s="14" t="s">
        <v>67</v>
      </c>
      <c r="F1917" s="14" t="s">
        <v>76</v>
      </c>
      <c r="G1917" s="16">
        <v>45319</v>
      </c>
      <c r="H1917" s="14" t="s">
        <v>26</v>
      </c>
      <c r="I1917" s="14" t="s">
        <v>36</v>
      </c>
      <c r="J1917" s="14" t="s">
        <v>2269</v>
      </c>
      <c r="K1917" s="14" t="s">
        <v>2271</v>
      </c>
      <c r="L1917" s="14" t="s">
        <v>49</v>
      </c>
      <c r="M1917" s="14" t="s">
        <v>64</v>
      </c>
      <c r="N1917" s="17">
        <v>174416</v>
      </c>
      <c r="O1917" s="17">
        <v>30504</v>
      </c>
      <c r="P1917" s="18">
        <v>84.9</v>
      </c>
      <c r="Q1917" s="15">
        <v>6</v>
      </c>
      <c r="R1917" s="19">
        <v>30</v>
      </c>
      <c r="S1917" s="19">
        <v>2</v>
      </c>
      <c r="T1917" s="15">
        <v>37</v>
      </c>
      <c r="U1917" s="19">
        <v>98</v>
      </c>
      <c r="V1917" s="14" t="s">
        <v>69</v>
      </c>
      <c r="W1917" s="14"/>
      <c r="X1917" s="14">
        <f>IF(V1917="Yes",1,0)</f>
        <v>1</v>
      </c>
      <c r="Y1917" s="14">
        <f>IF(H1917="Active",0,1)</f>
        <v>0</v>
      </c>
    </row>
    <row r="1918" spans="1:25" ht="18" customHeight="1" x14ac:dyDescent="0.35">
      <c r="A1918" s="8" t="s">
        <v>204</v>
      </c>
      <c r="B1918" s="8" t="s">
        <v>111</v>
      </c>
      <c r="C1918" s="8" t="s">
        <v>34</v>
      </c>
      <c r="D1918" s="9">
        <v>37</v>
      </c>
      <c r="E1918" s="8" t="s">
        <v>2303</v>
      </c>
      <c r="F1918" s="8" t="s">
        <v>35</v>
      </c>
      <c r="G1918" s="10">
        <v>45318</v>
      </c>
      <c r="H1918" s="8" t="s">
        <v>54</v>
      </c>
      <c r="I1918" s="8" t="s">
        <v>2267</v>
      </c>
      <c r="J1918" s="8" t="s">
        <v>2268</v>
      </c>
      <c r="K1918" s="8" t="s">
        <v>2271</v>
      </c>
      <c r="L1918" s="8" t="s">
        <v>38</v>
      </c>
      <c r="M1918" s="8" t="s">
        <v>39</v>
      </c>
      <c r="N1918" s="11">
        <v>228562</v>
      </c>
      <c r="O1918" s="11">
        <v>26276</v>
      </c>
      <c r="P1918" s="12">
        <v>81.5</v>
      </c>
      <c r="Q1918" s="9">
        <v>8</v>
      </c>
      <c r="R1918" s="13">
        <v>1</v>
      </c>
      <c r="S1918" s="13">
        <v>4</v>
      </c>
      <c r="T1918" s="9">
        <v>4</v>
      </c>
      <c r="U1918" s="13">
        <v>71</v>
      </c>
      <c r="V1918" s="8" t="s">
        <v>31</v>
      </c>
      <c r="W1918" s="8" t="s">
        <v>205</v>
      </c>
      <c r="X1918" s="22">
        <f>IF(V1918="Yes",1,0)</f>
        <v>0</v>
      </c>
      <c r="Y1918" s="22">
        <f>IF(H1918="Active",0,1)</f>
        <v>1</v>
      </c>
    </row>
    <row r="1919" spans="1:25" ht="18" customHeight="1" x14ac:dyDescent="0.35">
      <c r="A1919" s="14" t="s">
        <v>1380</v>
      </c>
      <c r="B1919" s="14" t="s">
        <v>179</v>
      </c>
      <c r="C1919" s="14" t="s">
        <v>25</v>
      </c>
      <c r="D1919" s="15">
        <v>21</v>
      </c>
      <c r="E1919" s="14" t="s">
        <v>67</v>
      </c>
      <c r="F1919" s="14" t="s">
        <v>90</v>
      </c>
      <c r="G1919" s="16">
        <v>45318</v>
      </c>
      <c r="H1919" s="14" t="s">
        <v>26</v>
      </c>
      <c r="I1919" s="14" t="s">
        <v>27</v>
      </c>
      <c r="J1919" s="14" t="s">
        <v>48</v>
      </c>
      <c r="K1919" s="14" t="s">
        <v>55</v>
      </c>
      <c r="L1919" s="14" t="s">
        <v>29</v>
      </c>
      <c r="M1919" s="14" t="s">
        <v>64</v>
      </c>
      <c r="N1919" s="17">
        <v>67433</v>
      </c>
      <c r="O1919" s="17">
        <v>40586</v>
      </c>
      <c r="P1919" s="18">
        <v>98</v>
      </c>
      <c r="Q1919" s="15">
        <v>3</v>
      </c>
      <c r="R1919" s="19">
        <v>1</v>
      </c>
      <c r="S1919" s="19">
        <v>1</v>
      </c>
      <c r="T1919" s="15">
        <v>34</v>
      </c>
      <c r="U1919" s="19">
        <v>69</v>
      </c>
      <c r="V1919" s="14" t="s">
        <v>31</v>
      </c>
      <c r="W1919" s="14"/>
      <c r="X1919" s="14">
        <f>IF(V1919="Yes",1,0)</f>
        <v>0</v>
      </c>
      <c r="Y1919" s="14">
        <f>IF(H1919="Active",0,1)</f>
        <v>0</v>
      </c>
    </row>
    <row r="1920" spans="1:25" ht="18" customHeight="1" x14ac:dyDescent="0.35">
      <c r="A1920" s="8" t="s">
        <v>1483</v>
      </c>
      <c r="B1920" s="8" t="s">
        <v>263</v>
      </c>
      <c r="C1920" s="8" t="s">
        <v>34</v>
      </c>
      <c r="D1920" s="9">
        <v>38</v>
      </c>
      <c r="E1920" s="8" t="s">
        <v>52</v>
      </c>
      <c r="F1920" s="8" t="s">
        <v>43</v>
      </c>
      <c r="G1920" s="10">
        <v>45318</v>
      </c>
      <c r="H1920" s="8" t="s">
        <v>26</v>
      </c>
      <c r="I1920" s="8" t="s">
        <v>27</v>
      </c>
      <c r="J1920" s="8" t="s">
        <v>48</v>
      </c>
      <c r="K1920" s="8" t="s">
        <v>28</v>
      </c>
      <c r="L1920" s="8" t="s">
        <v>68</v>
      </c>
      <c r="M1920" s="8" t="s">
        <v>64</v>
      </c>
      <c r="N1920" s="11">
        <v>185435</v>
      </c>
      <c r="O1920" s="11">
        <v>44231</v>
      </c>
      <c r="P1920" s="12">
        <v>80.7</v>
      </c>
      <c r="Q1920" s="9">
        <v>2</v>
      </c>
      <c r="R1920" s="13">
        <v>1</v>
      </c>
      <c r="S1920" s="13">
        <v>2</v>
      </c>
      <c r="T1920" s="9">
        <v>21</v>
      </c>
      <c r="U1920" s="13">
        <v>84</v>
      </c>
      <c r="V1920" s="8" t="s">
        <v>69</v>
      </c>
      <c r="W1920" s="8"/>
      <c r="X1920" s="22">
        <f>IF(V1920="Yes",1,0)</f>
        <v>1</v>
      </c>
      <c r="Y1920" s="22">
        <f>IF(H1920="Active",0,1)</f>
        <v>0</v>
      </c>
    </row>
    <row r="1921" spans="1:25" ht="18" customHeight="1" x14ac:dyDescent="0.35">
      <c r="A1921" s="8" t="s">
        <v>1571</v>
      </c>
      <c r="B1921" s="8" t="s">
        <v>295</v>
      </c>
      <c r="C1921" s="8" t="s">
        <v>25</v>
      </c>
      <c r="D1921" s="9">
        <v>48</v>
      </c>
      <c r="E1921" s="8" t="s">
        <v>86</v>
      </c>
      <c r="F1921" s="8" t="s">
        <v>72</v>
      </c>
      <c r="G1921" s="10">
        <v>45318</v>
      </c>
      <c r="H1921" s="8" t="s">
        <v>26</v>
      </c>
      <c r="I1921" s="8" t="s">
        <v>27</v>
      </c>
      <c r="J1921" s="8" t="s">
        <v>2269</v>
      </c>
      <c r="K1921" s="8" t="s">
        <v>28</v>
      </c>
      <c r="L1921" s="8" t="s">
        <v>68</v>
      </c>
      <c r="M1921" s="8" t="s">
        <v>64</v>
      </c>
      <c r="N1921" s="11">
        <v>59204</v>
      </c>
      <c r="O1921" s="11">
        <v>33926</v>
      </c>
      <c r="P1921" s="12">
        <v>92.3</v>
      </c>
      <c r="Q1921" s="9">
        <v>8</v>
      </c>
      <c r="R1921" s="13">
        <v>4</v>
      </c>
      <c r="S1921" s="13">
        <v>3</v>
      </c>
      <c r="T1921" s="9">
        <v>30</v>
      </c>
      <c r="U1921" s="13">
        <v>100</v>
      </c>
      <c r="V1921" s="8" t="s">
        <v>31</v>
      </c>
      <c r="W1921" s="8"/>
      <c r="X1921" s="22">
        <f>IF(V1921="Yes",1,0)</f>
        <v>0</v>
      </c>
      <c r="Y1921" s="22">
        <f>IF(H1921="Active",0,1)</f>
        <v>0</v>
      </c>
    </row>
    <row r="1922" spans="1:25" ht="18" customHeight="1" x14ac:dyDescent="0.35">
      <c r="A1922" s="8" t="s">
        <v>1573</v>
      </c>
      <c r="B1922" s="8" t="s">
        <v>327</v>
      </c>
      <c r="C1922" s="8" t="s">
        <v>34</v>
      </c>
      <c r="D1922" s="9">
        <v>33</v>
      </c>
      <c r="E1922" s="8" t="s">
        <v>2303</v>
      </c>
      <c r="F1922" s="8" t="s">
        <v>35</v>
      </c>
      <c r="G1922" s="10">
        <v>45318</v>
      </c>
      <c r="H1922" s="8" t="s">
        <v>26</v>
      </c>
      <c r="I1922" s="8" t="s">
        <v>2267</v>
      </c>
      <c r="J1922" s="8" t="s">
        <v>80</v>
      </c>
      <c r="K1922" s="8" t="s">
        <v>2271</v>
      </c>
      <c r="L1922" s="8" t="s">
        <v>29</v>
      </c>
      <c r="M1922" s="8" t="s">
        <v>64</v>
      </c>
      <c r="N1922" s="11">
        <v>194785</v>
      </c>
      <c r="O1922" s="11">
        <v>13995</v>
      </c>
      <c r="P1922" s="12">
        <v>90.2</v>
      </c>
      <c r="Q1922" s="9">
        <v>9</v>
      </c>
      <c r="R1922" s="13">
        <v>23</v>
      </c>
      <c r="S1922" s="13">
        <v>2</v>
      </c>
      <c r="T1922" s="9">
        <v>13</v>
      </c>
      <c r="U1922" s="13">
        <v>74</v>
      </c>
      <c r="V1922" s="8" t="s">
        <v>31</v>
      </c>
      <c r="W1922" s="8"/>
      <c r="X1922" s="22">
        <f>IF(V1922="Yes",1,0)</f>
        <v>0</v>
      </c>
      <c r="Y1922" s="22">
        <f>IF(H1922="Active",0,1)</f>
        <v>0</v>
      </c>
    </row>
    <row r="1923" spans="1:25" ht="18" customHeight="1" x14ac:dyDescent="0.35">
      <c r="A1923" s="8" t="s">
        <v>900</v>
      </c>
      <c r="B1923" s="8" t="s">
        <v>160</v>
      </c>
      <c r="C1923" s="8" t="s">
        <v>25</v>
      </c>
      <c r="D1923" s="9">
        <v>33</v>
      </c>
      <c r="E1923" s="8" t="s">
        <v>42</v>
      </c>
      <c r="F1923" s="8" t="s">
        <v>43</v>
      </c>
      <c r="G1923" s="10">
        <v>45317</v>
      </c>
      <c r="H1923" s="8" t="s">
        <v>26</v>
      </c>
      <c r="I1923" s="8" t="s">
        <v>36</v>
      </c>
      <c r="J1923" s="8" t="s">
        <v>2270</v>
      </c>
      <c r="K1923" s="8" t="s">
        <v>2271</v>
      </c>
      <c r="L1923" s="8" t="s">
        <v>56</v>
      </c>
      <c r="M1923" s="8" t="s">
        <v>39</v>
      </c>
      <c r="N1923" s="11">
        <v>202201</v>
      </c>
      <c r="O1923" s="11">
        <v>23228</v>
      </c>
      <c r="P1923" s="12">
        <v>87.5</v>
      </c>
      <c r="Q1923" s="9">
        <v>1</v>
      </c>
      <c r="R1923" s="13">
        <v>1</v>
      </c>
      <c r="S1923" s="13">
        <v>4</v>
      </c>
      <c r="T1923" s="9">
        <v>14</v>
      </c>
      <c r="U1923" s="13">
        <v>84</v>
      </c>
      <c r="V1923" s="8" t="s">
        <v>69</v>
      </c>
      <c r="W1923" s="8"/>
      <c r="X1923" s="22">
        <f>IF(V1923="Yes",1,0)</f>
        <v>1</v>
      </c>
      <c r="Y1923" s="22">
        <f>IF(H1923="Active",0,1)</f>
        <v>0</v>
      </c>
    </row>
    <row r="1924" spans="1:25" ht="18" customHeight="1" x14ac:dyDescent="0.35">
      <c r="A1924" s="8" t="s">
        <v>936</v>
      </c>
      <c r="B1924" s="8" t="s">
        <v>248</v>
      </c>
      <c r="C1924" s="8" t="s">
        <v>25</v>
      </c>
      <c r="D1924" s="9">
        <v>35</v>
      </c>
      <c r="E1924" s="8" t="s">
        <v>2303</v>
      </c>
      <c r="F1924" s="8" t="s">
        <v>90</v>
      </c>
      <c r="G1924" s="10">
        <v>45317</v>
      </c>
      <c r="H1924" s="8" t="s">
        <v>26</v>
      </c>
      <c r="I1924" s="8" t="s">
        <v>36</v>
      </c>
      <c r="J1924" s="8" t="s">
        <v>48</v>
      </c>
      <c r="K1924" s="8" t="s">
        <v>28</v>
      </c>
      <c r="L1924" s="8" t="s">
        <v>44</v>
      </c>
      <c r="M1924" s="8" t="s">
        <v>64</v>
      </c>
      <c r="N1924" s="11">
        <v>217795</v>
      </c>
      <c r="O1924" s="11">
        <v>10200</v>
      </c>
      <c r="P1924" s="12">
        <v>96.6</v>
      </c>
      <c r="Q1924" s="9">
        <v>0</v>
      </c>
      <c r="R1924" s="13">
        <v>24</v>
      </c>
      <c r="S1924" s="13">
        <v>5</v>
      </c>
      <c r="T1924" s="9">
        <v>4</v>
      </c>
      <c r="U1924" s="13">
        <v>91</v>
      </c>
      <c r="V1924" s="8" t="s">
        <v>31</v>
      </c>
      <c r="W1924" s="8"/>
      <c r="X1924" s="22">
        <f>IF(V1924="Yes",1,0)</f>
        <v>0</v>
      </c>
      <c r="Y1924" s="22">
        <f>IF(H1924="Active",0,1)</f>
        <v>0</v>
      </c>
    </row>
    <row r="1925" spans="1:25" ht="18" customHeight="1" x14ac:dyDescent="0.35">
      <c r="A1925" s="8" t="s">
        <v>1107</v>
      </c>
      <c r="B1925" s="8" t="s">
        <v>514</v>
      </c>
      <c r="C1925" s="8" t="s">
        <v>25</v>
      </c>
      <c r="D1925" s="9">
        <v>39</v>
      </c>
      <c r="E1925" s="8" t="s">
        <v>63</v>
      </c>
      <c r="F1925" s="8" t="s">
        <v>79</v>
      </c>
      <c r="G1925" s="10">
        <v>45317</v>
      </c>
      <c r="H1925" s="8" t="s">
        <v>54</v>
      </c>
      <c r="I1925" s="8" t="s">
        <v>27</v>
      </c>
      <c r="J1925" s="8" t="s">
        <v>2269</v>
      </c>
      <c r="K1925" s="8" t="s">
        <v>73</v>
      </c>
      <c r="L1925" s="8" t="s">
        <v>29</v>
      </c>
      <c r="M1925" s="8" t="s">
        <v>30</v>
      </c>
      <c r="N1925" s="11">
        <v>85364</v>
      </c>
      <c r="O1925" s="11">
        <v>21083</v>
      </c>
      <c r="P1925" s="12">
        <v>90.4</v>
      </c>
      <c r="Q1925" s="9">
        <v>5</v>
      </c>
      <c r="R1925" s="13">
        <v>8</v>
      </c>
      <c r="S1925" s="13">
        <v>3</v>
      </c>
      <c r="T1925" s="9">
        <v>2</v>
      </c>
      <c r="U1925" s="13">
        <v>93</v>
      </c>
      <c r="V1925" s="8" t="s">
        <v>69</v>
      </c>
      <c r="W1925" s="8" t="s">
        <v>83</v>
      </c>
      <c r="X1925" s="22">
        <f>IF(V1925="Yes",1,0)</f>
        <v>1</v>
      </c>
      <c r="Y1925" s="22">
        <f>IF(H1925="Active",0,1)</f>
        <v>1</v>
      </c>
    </row>
    <row r="1926" spans="1:25" ht="18" customHeight="1" x14ac:dyDescent="0.35">
      <c r="A1926" s="14" t="s">
        <v>1362</v>
      </c>
      <c r="B1926" s="14" t="s">
        <v>210</v>
      </c>
      <c r="C1926" s="14" t="s">
        <v>34</v>
      </c>
      <c r="D1926" s="15">
        <v>36</v>
      </c>
      <c r="E1926" s="14" t="s">
        <v>63</v>
      </c>
      <c r="F1926" s="14" t="s">
        <v>76</v>
      </c>
      <c r="G1926" s="16">
        <v>45317</v>
      </c>
      <c r="H1926" s="14" t="s">
        <v>54</v>
      </c>
      <c r="I1926" s="14" t="s">
        <v>27</v>
      </c>
      <c r="J1926" s="14" t="s">
        <v>2268</v>
      </c>
      <c r="K1926" s="14" t="s">
        <v>2271</v>
      </c>
      <c r="L1926" s="14" t="s">
        <v>44</v>
      </c>
      <c r="M1926" s="14" t="s">
        <v>60</v>
      </c>
      <c r="N1926" s="17">
        <v>177808</v>
      </c>
      <c r="O1926" s="17">
        <v>35556</v>
      </c>
      <c r="P1926" s="18">
        <v>87.1</v>
      </c>
      <c r="Q1926" s="15">
        <v>1</v>
      </c>
      <c r="R1926" s="19">
        <v>22</v>
      </c>
      <c r="S1926" s="19">
        <v>4</v>
      </c>
      <c r="T1926" s="15">
        <v>38</v>
      </c>
      <c r="U1926" s="19">
        <v>98</v>
      </c>
      <c r="V1926" s="14" t="s">
        <v>69</v>
      </c>
      <c r="W1926" s="14" t="s">
        <v>83</v>
      </c>
      <c r="X1926" s="14">
        <f>IF(V1926="Yes",1,0)</f>
        <v>1</v>
      </c>
      <c r="Y1926" s="14">
        <f>IF(H1926="Active",0,1)</f>
        <v>1</v>
      </c>
    </row>
    <row r="1927" spans="1:25" ht="18" customHeight="1" x14ac:dyDescent="0.35">
      <c r="A1927" s="8" t="s">
        <v>1451</v>
      </c>
      <c r="B1927" s="8" t="s">
        <v>71</v>
      </c>
      <c r="C1927" s="8" t="s">
        <v>34</v>
      </c>
      <c r="D1927" s="9">
        <v>31</v>
      </c>
      <c r="E1927" s="8" t="s">
        <v>42</v>
      </c>
      <c r="F1927" s="8" t="s">
        <v>12</v>
      </c>
      <c r="G1927" s="10">
        <v>45317</v>
      </c>
      <c r="H1927" s="8" t="s">
        <v>26</v>
      </c>
      <c r="I1927" s="8" t="s">
        <v>27</v>
      </c>
      <c r="J1927" s="8" t="s">
        <v>2268</v>
      </c>
      <c r="K1927" s="8" t="s">
        <v>55</v>
      </c>
      <c r="L1927" s="8" t="s">
        <v>38</v>
      </c>
      <c r="M1927" s="8" t="s">
        <v>30</v>
      </c>
      <c r="N1927" s="11">
        <v>184186</v>
      </c>
      <c r="O1927" s="11">
        <v>23741</v>
      </c>
      <c r="P1927" s="12">
        <v>89.4</v>
      </c>
      <c r="Q1927" s="9">
        <v>3</v>
      </c>
      <c r="R1927" s="13">
        <v>21</v>
      </c>
      <c r="S1927" s="13">
        <v>1</v>
      </c>
      <c r="T1927" s="9">
        <v>0</v>
      </c>
      <c r="U1927" s="13">
        <v>66</v>
      </c>
      <c r="V1927" s="8" t="s">
        <v>31</v>
      </c>
      <c r="W1927" s="8"/>
      <c r="X1927" s="22">
        <f>IF(V1927="Yes",1,0)</f>
        <v>0</v>
      </c>
      <c r="Y1927" s="22">
        <f>IF(H1927="Active",0,1)</f>
        <v>0</v>
      </c>
    </row>
    <row r="1928" spans="1:25" ht="18" customHeight="1" x14ac:dyDescent="0.35">
      <c r="A1928" s="14" t="s">
        <v>1296</v>
      </c>
      <c r="B1928" s="14" t="s">
        <v>349</v>
      </c>
      <c r="C1928" s="14" t="s">
        <v>34</v>
      </c>
      <c r="D1928" s="15">
        <v>31</v>
      </c>
      <c r="E1928" s="14" t="s">
        <v>2304</v>
      </c>
      <c r="F1928" s="14" t="s">
        <v>53</v>
      </c>
      <c r="G1928" s="16">
        <v>45316</v>
      </c>
      <c r="H1928" s="14" t="s">
        <v>54</v>
      </c>
      <c r="I1928" s="14" t="s">
        <v>2267</v>
      </c>
      <c r="J1928" s="14" t="s">
        <v>2270</v>
      </c>
      <c r="K1928" s="14" t="s">
        <v>28</v>
      </c>
      <c r="L1928" s="14" t="s">
        <v>87</v>
      </c>
      <c r="M1928" s="14" t="s">
        <v>30</v>
      </c>
      <c r="N1928" s="17">
        <v>53627</v>
      </c>
      <c r="O1928" s="17">
        <v>5557</v>
      </c>
      <c r="P1928" s="18">
        <v>88.9</v>
      </c>
      <c r="Q1928" s="15">
        <v>8</v>
      </c>
      <c r="R1928" s="19">
        <v>0</v>
      </c>
      <c r="S1928" s="19">
        <v>1</v>
      </c>
      <c r="T1928" s="15">
        <v>14</v>
      </c>
      <c r="U1928" s="19">
        <v>98</v>
      </c>
      <c r="V1928" s="14" t="s">
        <v>31</v>
      </c>
      <c r="W1928" s="14" t="s">
        <v>96</v>
      </c>
      <c r="X1928" s="14">
        <f>IF(V1928="Yes",1,0)</f>
        <v>0</v>
      </c>
      <c r="Y1928" s="14">
        <f>IF(H1928="Active",0,1)</f>
        <v>1</v>
      </c>
    </row>
    <row r="1929" spans="1:25" ht="18" customHeight="1" x14ac:dyDescent="0.35">
      <c r="A1929" s="14" t="s">
        <v>1452</v>
      </c>
      <c r="B1929" s="14" t="s">
        <v>59</v>
      </c>
      <c r="C1929" s="14" t="s">
        <v>34</v>
      </c>
      <c r="D1929" s="15">
        <v>43</v>
      </c>
      <c r="E1929" s="14" t="s">
        <v>93</v>
      </c>
      <c r="F1929" s="14" t="s">
        <v>79</v>
      </c>
      <c r="G1929" s="16">
        <v>45316</v>
      </c>
      <c r="H1929" s="14" t="s">
        <v>26</v>
      </c>
      <c r="I1929" s="14" t="s">
        <v>27</v>
      </c>
      <c r="J1929" s="14" t="s">
        <v>2269</v>
      </c>
      <c r="K1929" s="14" t="s">
        <v>28</v>
      </c>
      <c r="L1929" s="14" t="s">
        <v>38</v>
      </c>
      <c r="M1929" s="14" t="s">
        <v>30</v>
      </c>
      <c r="N1929" s="17">
        <v>105828</v>
      </c>
      <c r="O1929" s="17">
        <v>28371</v>
      </c>
      <c r="P1929" s="18">
        <v>85</v>
      </c>
      <c r="Q1929" s="15">
        <v>3</v>
      </c>
      <c r="R1929" s="19">
        <v>27</v>
      </c>
      <c r="S1929" s="19">
        <v>4</v>
      </c>
      <c r="T1929" s="15">
        <v>29</v>
      </c>
      <c r="U1929" s="19">
        <v>77</v>
      </c>
      <c r="V1929" s="14" t="s">
        <v>69</v>
      </c>
      <c r="W1929" s="14"/>
      <c r="X1929" s="14">
        <f>IF(V1929="Yes",1,0)</f>
        <v>1</v>
      </c>
      <c r="Y1929" s="14">
        <f>IF(H1929="Active",0,1)</f>
        <v>0</v>
      </c>
    </row>
    <row r="1930" spans="1:25" ht="18" customHeight="1" x14ac:dyDescent="0.35">
      <c r="A1930" s="14" t="s">
        <v>359</v>
      </c>
      <c r="B1930" s="14" t="s">
        <v>353</v>
      </c>
      <c r="C1930" s="14" t="s">
        <v>25</v>
      </c>
      <c r="D1930" s="15">
        <v>29</v>
      </c>
      <c r="E1930" s="14" t="s">
        <v>42</v>
      </c>
      <c r="F1930" s="14" t="s">
        <v>90</v>
      </c>
      <c r="G1930" s="16">
        <v>45315</v>
      </c>
      <c r="H1930" s="14" t="s">
        <v>26</v>
      </c>
      <c r="I1930" s="14" t="s">
        <v>27</v>
      </c>
      <c r="J1930" s="14" t="s">
        <v>2270</v>
      </c>
      <c r="K1930" s="14" t="s">
        <v>73</v>
      </c>
      <c r="L1930" s="14" t="s">
        <v>56</v>
      </c>
      <c r="M1930" s="14" t="s">
        <v>64</v>
      </c>
      <c r="N1930" s="17">
        <v>139482</v>
      </c>
      <c r="O1930" s="17">
        <v>37060</v>
      </c>
      <c r="P1930" s="18">
        <v>91.5</v>
      </c>
      <c r="Q1930" s="15">
        <v>4</v>
      </c>
      <c r="R1930" s="19">
        <v>21</v>
      </c>
      <c r="S1930" s="19">
        <v>3</v>
      </c>
      <c r="T1930" s="15">
        <v>22</v>
      </c>
      <c r="U1930" s="19">
        <v>76</v>
      </c>
      <c r="V1930" s="14" t="s">
        <v>31</v>
      </c>
      <c r="W1930" s="14"/>
      <c r="X1930" s="14">
        <f>IF(V1930="Yes",1,0)</f>
        <v>0</v>
      </c>
      <c r="Y1930" s="14">
        <f>IF(H1930="Active",0,1)</f>
        <v>0</v>
      </c>
    </row>
    <row r="1931" spans="1:25" ht="18" customHeight="1" x14ac:dyDescent="0.35">
      <c r="A1931" s="14" t="s">
        <v>1246</v>
      </c>
      <c r="B1931" s="14" t="s">
        <v>461</v>
      </c>
      <c r="C1931" s="14" t="s">
        <v>34</v>
      </c>
      <c r="D1931" s="15">
        <v>36</v>
      </c>
      <c r="E1931" s="14" t="s">
        <v>93</v>
      </c>
      <c r="F1931" s="14" t="s">
        <v>76</v>
      </c>
      <c r="G1931" s="16">
        <v>45314</v>
      </c>
      <c r="H1931" s="14" t="s">
        <v>26</v>
      </c>
      <c r="I1931" s="14" t="s">
        <v>27</v>
      </c>
      <c r="J1931" s="14" t="s">
        <v>2268</v>
      </c>
      <c r="K1931" s="14" t="s">
        <v>2271</v>
      </c>
      <c r="L1931" s="14" t="s">
        <v>29</v>
      </c>
      <c r="M1931" s="14" t="s">
        <v>60</v>
      </c>
      <c r="N1931" s="17">
        <v>94890</v>
      </c>
      <c r="O1931" s="17">
        <v>26351</v>
      </c>
      <c r="P1931" s="18">
        <v>82.3</v>
      </c>
      <c r="Q1931" s="15">
        <v>10</v>
      </c>
      <c r="R1931" s="19">
        <v>13</v>
      </c>
      <c r="S1931" s="19">
        <v>2</v>
      </c>
      <c r="T1931" s="15">
        <v>21</v>
      </c>
      <c r="U1931" s="19">
        <v>77</v>
      </c>
      <c r="V1931" s="14" t="s">
        <v>31</v>
      </c>
      <c r="W1931" s="14"/>
      <c r="X1931" s="14">
        <f>IF(V1931="Yes",1,0)</f>
        <v>0</v>
      </c>
      <c r="Y1931" s="14">
        <f>IF(H1931="Active",0,1)</f>
        <v>0</v>
      </c>
    </row>
    <row r="1932" spans="1:25" ht="18" customHeight="1" x14ac:dyDescent="0.35">
      <c r="A1932" s="8" t="s">
        <v>1455</v>
      </c>
      <c r="B1932" s="8" t="s">
        <v>1015</v>
      </c>
      <c r="C1932" s="8" t="s">
        <v>25</v>
      </c>
      <c r="D1932" s="9">
        <v>26</v>
      </c>
      <c r="E1932" s="8" t="s">
        <v>2304</v>
      </c>
      <c r="F1932" s="8" t="s">
        <v>72</v>
      </c>
      <c r="G1932" s="10">
        <v>45314</v>
      </c>
      <c r="H1932" s="8" t="s">
        <v>26</v>
      </c>
      <c r="I1932" s="8" t="s">
        <v>2267</v>
      </c>
      <c r="J1932" s="8" t="s">
        <v>80</v>
      </c>
      <c r="K1932" s="8" t="s">
        <v>55</v>
      </c>
      <c r="L1932" s="8" t="s">
        <v>116</v>
      </c>
      <c r="M1932" s="8" t="s">
        <v>39</v>
      </c>
      <c r="N1932" s="11">
        <v>229533</v>
      </c>
      <c r="O1932" s="11">
        <v>6140</v>
      </c>
      <c r="P1932" s="12">
        <v>87.7</v>
      </c>
      <c r="Q1932" s="9">
        <v>9</v>
      </c>
      <c r="R1932" s="13">
        <v>8</v>
      </c>
      <c r="S1932" s="13">
        <v>2</v>
      </c>
      <c r="T1932" s="9">
        <v>38</v>
      </c>
      <c r="U1932" s="13">
        <v>61</v>
      </c>
      <c r="V1932" s="8" t="s">
        <v>31</v>
      </c>
      <c r="W1932" s="8"/>
      <c r="X1932" s="22">
        <f>IF(V1932="Yes",1,0)</f>
        <v>0</v>
      </c>
      <c r="Y1932" s="22">
        <f>IF(H1932="Active",0,1)</f>
        <v>0</v>
      </c>
    </row>
    <row r="1933" spans="1:25" ht="18" customHeight="1" x14ac:dyDescent="0.35">
      <c r="A1933" s="8" t="s">
        <v>1681</v>
      </c>
      <c r="B1933" s="8" t="s">
        <v>149</v>
      </c>
      <c r="C1933" s="8" t="s">
        <v>34</v>
      </c>
      <c r="D1933" s="9">
        <v>41</v>
      </c>
      <c r="E1933" s="8" t="s">
        <v>52</v>
      </c>
      <c r="F1933" s="8" t="s">
        <v>79</v>
      </c>
      <c r="G1933" s="10">
        <v>45314</v>
      </c>
      <c r="H1933" s="8" t="s">
        <v>26</v>
      </c>
      <c r="I1933" s="8" t="s">
        <v>27</v>
      </c>
      <c r="J1933" s="8" t="s">
        <v>2269</v>
      </c>
      <c r="K1933" s="8" t="s">
        <v>2271</v>
      </c>
      <c r="L1933" s="8" t="s">
        <v>68</v>
      </c>
      <c r="M1933" s="8" t="s">
        <v>39</v>
      </c>
      <c r="N1933" s="11">
        <v>193572</v>
      </c>
      <c r="O1933" s="11">
        <v>24353</v>
      </c>
      <c r="P1933" s="12">
        <v>91</v>
      </c>
      <c r="Q1933" s="9">
        <v>3</v>
      </c>
      <c r="R1933" s="13">
        <v>27</v>
      </c>
      <c r="S1933" s="13">
        <v>2</v>
      </c>
      <c r="T1933" s="9">
        <v>31</v>
      </c>
      <c r="U1933" s="13">
        <v>64</v>
      </c>
      <c r="V1933" s="8" t="s">
        <v>31</v>
      </c>
      <c r="W1933" s="8"/>
      <c r="X1933" s="22">
        <f>IF(V1933="Yes",1,0)</f>
        <v>0</v>
      </c>
      <c r="Y1933" s="22">
        <f>IF(H1933="Active",0,1)</f>
        <v>0</v>
      </c>
    </row>
    <row r="1934" spans="1:25" ht="18" customHeight="1" x14ac:dyDescent="0.35">
      <c r="A1934" s="14" t="s">
        <v>1802</v>
      </c>
      <c r="B1934" s="14" t="s">
        <v>1235</v>
      </c>
      <c r="C1934" s="14" t="s">
        <v>34</v>
      </c>
      <c r="D1934" s="15">
        <v>35</v>
      </c>
      <c r="E1934" s="14" t="s">
        <v>2304</v>
      </c>
      <c r="F1934" s="14" t="s">
        <v>72</v>
      </c>
      <c r="G1934" s="16">
        <v>45314</v>
      </c>
      <c r="H1934" s="14" t="s">
        <v>26</v>
      </c>
      <c r="I1934" s="14" t="s">
        <v>2267</v>
      </c>
      <c r="J1934" s="14" t="s">
        <v>80</v>
      </c>
      <c r="K1934" s="14" t="s">
        <v>2271</v>
      </c>
      <c r="L1934" s="14" t="s">
        <v>116</v>
      </c>
      <c r="M1934" s="14" t="s">
        <v>64</v>
      </c>
      <c r="N1934" s="17">
        <v>151044</v>
      </c>
      <c r="O1934" s="17">
        <v>48307</v>
      </c>
      <c r="P1934" s="18">
        <v>98.1</v>
      </c>
      <c r="Q1934" s="15">
        <v>3</v>
      </c>
      <c r="R1934" s="19">
        <v>9</v>
      </c>
      <c r="S1934" s="19">
        <v>5</v>
      </c>
      <c r="T1934" s="15">
        <v>15</v>
      </c>
      <c r="U1934" s="19">
        <v>87</v>
      </c>
      <c r="V1934" s="14" t="s">
        <v>31</v>
      </c>
      <c r="W1934" s="14"/>
      <c r="X1934" s="14">
        <f>IF(V1934="Yes",1,0)</f>
        <v>0</v>
      </c>
      <c r="Y1934" s="14">
        <f>IF(H1934="Active",0,1)</f>
        <v>0</v>
      </c>
    </row>
    <row r="1935" spans="1:25" ht="18" customHeight="1" x14ac:dyDescent="0.35">
      <c r="A1935" s="14" t="s">
        <v>2056</v>
      </c>
      <c r="B1935" s="14" t="s">
        <v>140</v>
      </c>
      <c r="C1935" s="14" t="s">
        <v>25</v>
      </c>
      <c r="D1935" s="15">
        <v>42</v>
      </c>
      <c r="E1935" s="14" t="s">
        <v>67</v>
      </c>
      <c r="F1935" s="14" t="s">
        <v>79</v>
      </c>
      <c r="G1935" s="16">
        <v>45314</v>
      </c>
      <c r="H1935" s="14" t="s">
        <v>26</v>
      </c>
      <c r="I1935" s="14" t="s">
        <v>36</v>
      </c>
      <c r="J1935" s="14" t="s">
        <v>80</v>
      </c>
      <c r="K1935" s="14" t="s">
        <v>37</v>
      </c>
      <c r="L1935" s="14" t="s">
        <v>116</v>
      </c>
      <c r="M1935" s="14" t="s">
        <v>60</v>
      </c>
      <c r="N1935" s="17">
        <v>129515</v>
      </c>
      <c r="O1935" s="17">
        <v>35959</v>
      </c>
      <c r="P1935" s="18">
        <v>88.5</v>
      </c>
      <c r="Q1935" s="15">
        <v>5</v>
      </c>
      <c r="R1935" s="19">
        <v>6</v>
      </c>
      <c r="S1935" s="19">
        <v>5</v>
      </c>
      <c r="T1935" s="15">
        <v>8</v>
      </c>
      <c r="U1935" s="19">
        <v>80</v>
      </c>
      <c r="V1935" s="14" t="s">
        <v>31</v>
      </c>
      <c r="W1935" s="14"/>
      <c r="X1935" s="14">
        <f>IF(V1935="Yes",1,0)</f>
        <v>0</v>
      </c>
      <c r="Y1935" s="14">
        <f>IF(H1935="Active",0,1)</f>
        <v>0</v>
      </c>
    </row>
    <row r="1936" spans="1:25" ht="18" customHeight="1" x14ac:dyDescent="0.35">
      <c r="A1936" s="8" t="s">
        <v>383</v>
      </c>
      <c r="B1936" s="8" t="s">
        <v>384</v>
      </c>
      <c r="C1936" s="8" t="s">
        <v>34</v>
      </c>
      <c r="D1936" s="9">
        <v>32</v>
      </c>
      <c r="E1936" s="8" t="s">
        <v>52</v>
      </c>
      <c r="F1936" s="8" t="s">
        <v>35</v>
      </c>
      <c r="G1936" s="10">
        <v>45313</v>
      </c>
      <c r="H1936" s="8" t="s">
        <v>26</v>
      </c>
      <c r="I1936" s="8" t="s">
        <v>2267</v>
      </c>
      <c r="J1936" s="8" t="s">
        <v>48</v>
      </c>
      <c r="K1936" s="8" t="s">
        <v>2271</v>
      </c>
      <c r="L1936" s="8" t="s">
        <v>87</v>
      </c>
      <c r="M1936" s="8" t="s">
        <v>60</v>
      </c>
      <c r="N1936" s="11">
        <v>95248</v>
      </c>
      <c r="O1936" s="11">
        <v>24874</v>
      </c>
      <c r="P1936" s="12">
        <v>81.3</v>
      </c>
      <c r="Q1936" s="9">
        <v>4</v>
      </c>
      <c r="R1936" s="13">
        <v>20</v>
      </c>
      <c r="S1936" s="13">
        <v>1</v>
      </c>
      <c r="T1936" s="9">
        <v>6</v>
      </c>
      <c r="U1936" s="13">
        <v>81</v>
      </c>
      <c r="V1936" s="8" t="s">
        <v>31</v>
      </c>
      <c r="W1936" s="8"/>
      <c r="X1936" s="22">
        <f>IF(V1936="Yes",1,0)</f>
        <v>0</v>
      </c>
      <c r="Y1936" s="22">
        <f>IF(H1936="Active",0,1)</f>
        <v>0</v>
      </c>
    </row>
    <row r="1937" spans="1:25" ht="18" customHeight="1" x14ac:dyDescent="0.35">
      <c r="A1937" s="8" t="s">
        <v>918</v>
      </c>
      <c r="B1937" s="8" t="s">
        <v>270</v>
      </c>
      <c r="C1937" s="8" t="s">
        <v>25</v>
      </c>
      <c r="D1937" s="9">
        <v>24</v>
      </c>
      <c r="E1937" s="8" t="s">
        <v>63</v>
      </c>
      <c r="F1937" s="8" t="s">
        <v>12</v>
      </c>
      <c r="G1937" s="10">
        <v>45312</v>
      </c>
      <c r="H1937" s="8" t="s">
        <v>26</v>
      </c>
      <c r="I1937" s="8" t="s">
        <v>36</v>
      </c>
      <c r="J1937" s="8" t="s">
        <v>2268</v>
      </c>
      <c r="K1937" s="8" t="s">
        <v>73</v>
      </c>
      <c r="L1937" s="8" t="s">
        <v>116</v>
      </c>
      <c r="M1937" s="8" t="s">
        <v>45</v>
      </c>
      <c r="N1937" s="11">
        <v>187264</v>
      </c>
      <c r="O1937" s="11">
        <v>37306</v>
      </c>
      <c r="P1937" s="12">
        <v>99.2</v>
      </c>
      <c r="Q1937" s="9">
        <v>6</v>
      </c>
      <c r="R1937" s="13">
        <v>11</v>
      </c>
      <c r="S1937" s="13">
        <v>3</v>
      </c>
      <c r="T1937" s="9">
        <v>14</v>
      </c>
      <c r="U1937" s="13">
        <v>68</v>
      </c>
      <c r="V1937" s="8" t="s">
        <v>31</v>
      </c>
      <c r="W1937" s="8"/>
      <c r="X1937" s="22">
        <f>IF(V1937="Yes",1,0)</f>
        <v>0</v>
      </c>
      <c r="Y1937" s="22">
        <f>IF(H1937="Active",0,1)</f>
        <v>0</v>
      </c>
    </row>
    <row r="1938" spans="1:25" ht="18" customHeight="1" x14ac:dyDescent="0.35">
      <c r="A1938" s="8" t="s">
        <v>1151</v>
      </c>
      <c r="B1938" s="8" t="s">
        <v>815</v>
      </c>
      <c r="C1938" s="8" t="s">
        <v>25</v>
      </c>
      <c r="D1938" s="9">
        <v>56</v>
      </c>
      <c r="E1938" s="8" t="s">
        <v>2304</v>
      </c>
      <c r="F1938" s="8" t="s">
        <v>35</v>
      </c>
      <c r="G1938" s="10">
        <v>45312</v>
      </c>
      <c r="H1938" s="8" t="s">
        <v>54</v>
      </c>
      <c r="I1938" s="8" t="s">
        <v>2267</v>
      </c>
      <c r="J1938" s="8" t="s">
        <v>2268</v>
      </c>
      <c r="K1938" s="8" t="s">
        <v>73</v>
      </c>
      <c r="L1938" s="8" t="s">
        <v>116</v>
      </c>
      <c r="M1938" s="8" t="s">
        <v>60</v>
      </c>
      <c r="N1938" s="11">
        <v>55815</v>
      </c>
      <c r="O1938" s="11">
        <v>18632</v>
      </c>
      <c r="P1938" s="12">
        <v>90.8</v>
      </c>
      <c r="Q1938" s="9">
        <v>8</v>
      </c>
      <c r="R1938" s="13">
        <v>6</v>
      </c>
      <c r="S1938" s="13">
        <v>2</v>
      </c>
      <c r="T1938" s="9">
        <v>29</v>
      </c>
      <c r="U1938" s="13">
        <v>93</v>
      </c>
      <c r="V1938" s="8" t="s">
        <v>31</v>
      </c>
      <c r="W1938" s="8" t="s">
        <v>96</v>
      </c>
      <c r="X1938" s="22">
        <f>IF(V1938="Yes",1,0)</f>
        <v>0</v>
      </c>
      <c r="Y1938" s="22">
        <f>IF(H1938="Active",0,1)</f>
        <v>1</v>
      </c>
    </row>
    <row r="1939" spans="1:25" ht="18" customHeight="1" x14ac:dyDescent="0.35">
      <c r="A1939" s="8" t="s">
        <v>266</v>
      </c>
      <c r="B1939" s="8" t="s">
        <v>267</v>
      </c>
      <c r="C1939" s="8" t="s">
        <v>34</v>
      </c>
      <c r="D1939" s="9">
        <v>57</v>
      </c>
      <c r="E1939" s="8" t="s">
        <v>2304</v>
      </c>
      <c r="F1939" s="8" t="s">
        <v>43</v>
      </c>
      <c r="G1939" s="10">
        <v>45311</v>
      </c>
      <c r="H1939" s="8" t="s">
        <v>26</v>
      </c>
      <c r="I1939" s="8" t="s">
        <v>36</v>
      </c>
      <c r="J1939" s="8" t="s">
        <v>48</v>
      </c>
      <c r="K1939" s="8" t="s">
        <v>37</v>
      </c>
      <c r="L1939" s="8" t="s">
        <v>87</v>
      </c>
      <c r="M1939" s="8" t="s">
        <v>39</v>
      </c>
      <c r="N1939" s="11">
        <v>154107</v>
      </c>
      <c r="O1939" s="11">
        <v>17912</v>
      </c>
      <c r="P1939" s="12">
        <v>80.5</v>
      </c>
      <c r="Q1939" s="9">
        <v>6</v>
      </c>
      <c r="R1939" s="13">
        <v>2</v>
      </c>
      <c r="S1939" s="13">
        <v>2</v>
      </c>
      <c r="T1939" s="9">
        <v>40</v>
      </c>
      <c r="U1939" s="13">
        <v>72</v>
      </c>
      <c r="V1939" s="8" t="s">
        <v>31</v>
      </c>
      <c r="W1939" s="8"/>
      <c r="X1939" s="22">
        <f>IF(V1939="Yes",1,0)</f>
        <v>0</v>
      </c>
      <c r="Y1939" s="22">
        <f>IF(H1939="Active",0,1)</f>
        <v>0</v>
      </c>
    </row>
    <row r="1940" spans="1:25" ht="18" customHeight="1" x14ac:dyDescent="0.35">
      <c r="A1940" s="8" t="s">
        <v>281</v>
      </c>
      <c r="B1940" s="8" t="s">
        <v>254</v>
      </c>
      <c r="C1940" s="8" t="s">
        <v>25</v>
      </c>
      <c r="D1940" s="9">
        <v>52</v>
      </c>
      <c r="E1940" s="8" t="s">
        <v>93</v>
      </c>
      <c r="F1940" s="8" t="s">
        <v>72</v>
      </c>
      <c r="G1940" s="10">
        <v>45311</v>
      </c>
      <c r="H1940" s="8" t="s">
        <v>26</v>
      </c>
      <c r="I1940" s="8" t="s">
        <v>2267</v>
      </c>
      <c r="J1940" s="8" t="s">
        <v>48</v>
      </c>
      <c r="K1940" s="8" t="s">
        <v>2271</v>
      </c>
      <c r="L1940" s="8" t="s">
        <v>87</v>
      </c>
      <c r="M1940" s="8" t="s">
        <v>64</v>
      </c>
      <c r="N1940" s="11">
        <v>38180</v>
      </c>
      <c r="O1940" s="11">
        <v>28289</v>
      </c>
      <c r="P1940" s="12">
        <v>96</v>
      </c>
      <c r="Q1940" s="9">
        <v>1</v>
      </c>
      <c r="R1940" s="13">
        <v>29</v>
      </c>
      <c r="S1940" s="13">
        <v>3</v>
      </c>
      <c r="T1940" s="9">
        <v>37</v>
      </c>
      <c r="U1940" s="13">
        <v>86</v>
      </c>
      <c r="V1940" s="8" t="s">
        <v>69</v>
      </c>
      <c r="W1940" s="8"/>
      <c r="X1940" s="22">
        <f>IF(V1940="Yes",1,0)</f>
        <v>1</v>
      </c>
      <c r="Y1940" s="22">
        <f>IF(H1940="Active",0,1)</f>
        <v>0</v>
      </c>
    </row>
    <row r="1941" spans="1:25" ht="18" customHeight="1" x14ac:dyDescent="0.35">
      <c r="A1941" s="14" t="s">
        <v>1118</v>
      </c>
      <c r="B1941" s="14" t="s">
        <v>388</v>
      </c>
      <c r="C1941" s="14" t="s">
        <v>25</v>
      </c>
      <c r="D1941" s="15">
        <v>35</v>
      </c>
      <c r="E1941" s="14" t="s">
        <v>93</v>
      </c>
      <c r="F1941" s="14" t="s">
        <v>12</v>
      </c>
      <c r="G1941" s="16">
        <v>45311</v>
      </c>
      <c r="H1941" s="14" t="s">
        <v>26</v>
      </c>
      <c r="I1941" s="14" t="s">
        <v>36</v>
      </c>
      <c r="J1941" s="14" t="s">
        <v>2268</v>
      </c>
      <c r="K1941" s="14" t="s">
        <v>73</v>
      </c>
      <c r="L1941" s="14" t="s">
        <v>56</v>
      </c>
      <c r="M1941" s="14" t="s">
        <v>39</v>
      </c>
      <c r="N1941" s="17">
        <v>117600</v>
      </c>
      <c r="O1941" s="17">
        <v>31639</v>
      </c>
      <c r="P1941" s="18">
        <v>82.6</v>
      </c>
      <c r="Q1941" s="15">
        <v>5</v>
      </c>
      <c r="R1941" s="19">
        <v>24</v>
      </c>
      <c r="S1941" s="19">
        <v>2</v>
      </c>
      <c r="T1941" s="15">
        <v>17</v>
      </c>
      <c r="U1941" s="19">
        <v>83</v>
      </c>
      <c r="V1941" s="14" t="s">
        <v>31</v>
      </c>
      <c r="W1941" s="14"/>
      <c r="X1941" s="14">
        <f>IF(V1941="Yes",1,0)</f>
        <v>0</v>
      </c>
      <c r="Y1941" s="14">
        <f>IF(H1941="Active",0,1)</f>
        <v>0</v>
      </c>
    </row>
    <row r="1942" spans="1:25" ht="18" customHeight="1" x14ac:dyDescent="0.35">
      <c r="A1942" s="14" t="s">
        <v>1528</v>
      </c>
      <c r="B1942" s="14" t="s">
        <v>98</v>
      </c>
      <c r="C1942" s="14" t="s">
        <v>34</v>
      </c>
      <c r="D1942" s="15">
        <v>31</v>
      </c>
      <c r="E1942" s="14" t="s">
        <v>109</v>
      </c>
      <c r="F1942" s="14" t="s">
        <v>43</v>
      </c>
      <c r="G1942" s="16">
        <v>45311</v>
      </c>
      <c r="H1942" s="14" t="s">
        <v>26</v>
      </c>
      <c r="I1942" s="14" t="s">
        <v>2267</v>
      </c>
      <c r="J1942" s="14" t="s">
        <v>80</v>
      </c>
      <c r="K1942" s="14" t="s">
        <v>2271</v>
      </c>
      <c r="L1942" s="14" t="s">
        <v>87</v>
      </c>
      <c r="M1942" s="14" t="s">
        <v>39</v>
      </c>
      <c r="N1942" s="17">
        <v>120351</v>
      </c>
      <c r="O1942" s="17">
        <v>42597</v>
      </c>
      <c r="P1942" s="18">
        <v>95.7</v>
      </c>
      <c r="Q1942" s="15">
        <v>9</v>
      </c>
      <c r="R1942" s="19">
        <v>15</v>
      </c>
      <c r="S1942" s="19">
        <v>2</v>
      </c>
      <c r="T1942" s="15">
        <v>36</v>
      </c>
      <c r="U1942" s="19">
        <v>90</v>
      </c>
      <c r="V1942" s="14" t="s">
        <v>31</v>
      </c>
      <c r="W1942" s="14"/>
      <c r="X1942" s="14">
        <f>IF(V1942="Yes",1,0)</f>
        <v>0</v>
      </c>
      <c r="Y1942" s="14">
        <f>IF(H1942="Active",0,1)</f>
        <v>0</v>
      </c>
    </row>
    <row r="1943" spans="1:25" ht="18" customHeight="1" x14ac:dyDescent="0.35">
      <c r="A1943" s="8" t="s">
        <v>2209</v>
      </c>
      <c r="B1943" s="8" t="s">
        <v>33</v>
      </c>
      <c r="C1943" s="8" t="s">
        <v>34</v>
      </c>
      <c r="D1943" s="9">
        <v>50</v>
      </c>
      <c r="E1943" s="8" t="s">
        <v>2304</v>
      </c>
      <c r="F1943" s="8" t="s">
        <v>79</v>
      </c>
      <c r="G1943" s="10">
        <v>45311</v>
      </c>
      <c r="H1943" s="8" t="s">
        <v>26</v>
      </c>
      <c r="I1943" s="8" t="s">
        <v>2267</v>
      </c>
      <c r="J1943" s="8" t="s">
        <v>2268</v>
      </c>
      <c r="K1943" s="8" t="s">
        <v>73</v>
      </c>
      <c r="L1943" s="8" t="s">
        <v>38</v>
      </c>
      <c r="M1943" s="8" t="s">
        <v>64</v>
      </c>
      <c r="N1943" s="11">
        <v>174486</v>
      </c>
      <c r="O1943" s="11">
        <v>13868</v>
      </c>
      <c r="P1943" s="12">
        <v>86.2</v>
      </c>
      <c r="Q1943" s="9">
        <v>2</v>
      </c>
      <c r="R1943" s="13">
        <v>12</v>
      </c>
      <c r="S1943" s="13">
        <v>3</v>
      </c>
      <c r="T1943" s="9">
        <v>6</v>
      </c>
      <c r="U1943" s="13">
        <v>72</v>
      </c>
      <c r="V1943" s="8" t="s">
        <v>31</v>
      </c>
      <c r="W1943" s="8"/>
      <c r="X1943" s="22">
        <f>IF(V1943="Yes",1,0)</f>
        <v>0</v>
      </c>
      <c r="Y1943" s="22">
        <f>IF(H1943="Active",0,1)</f>
        <v>0</v>
      </c>
    </row>
    <row r="1944" spans="1:25" ht="18" customHeight="1" x14ac:dyDescent="0.35">
      <c r="A1944" s="14" t="s">
        <v>786</v>
      </c>
      <c r="B1944" s="14" t="s">
        <v>248</v>
      </c>
      <c r="C1944" s="14" t="s">
        <v>25</v>
      </c>
      <c r="D1944" s="15">
        <v>32</v>
      </c>
      <c r="E1944" s="14" t="s">
        <v>63</v>
      </c>
      <c r="F1944" s="14" t="s">
        <v>43</v>
      </c>
      <c r="G1944" s="16">
        <v>45310</v>
      </c>
      <c r="H1944" s="14" t="s">
        <v>26</v>
      </c>
      <c r="I1944" s="14" t="s">
        <v>27</v>
      </c>
      <c r="J1944" s="14" t="s">
        <v>2269</v>
      </c>
      <c r="K1944" s="14" t="s">
        <v>2271</v>
      </c>
      <c r="L1944" s="14" t="s">
        <v>29</v>
      </c>
      <c r="M1944" s="14" t="s">
        <v>45</v>
      </c>
      <c r="N1944" s="17">
        <v>182349</v>
      </c>
      <c r="O1944" s="17">
        <v>6669</v>
      </c>
      <c r="P1944" s="18">
        <v>91.2</v>
      </c>
      <c r="Q1944" s="15">
        <v>0</v>
      </c>
      <c r="R1944" s="19">
        <v>28</v>
      </c>
      <c r="S1944" s="19">
        <v>4</v>
      </c>
      <c r="T1944" s="15">
        <v>25</v>
      </c>
      <c r="U1944" s="19">
        <v>86</v>
      </c>
      <c r="V1944" s="14" t="s">
        <v>31</v>
      </c>
      <c r="W1944" s="14"/>
      <c r="X1944" s="14">
        <f>IF(V1944="Yes",1,0)</f>
        <v>0</v>
      </c>
      <c r="Y1944" s="14">
        <f>IF(H1944="Active",0,1)</f>
        <v>0</v>
      </c>
    </row>
    <row r="1945" spans="1:25" ht="18" customHeight="1" x14ac:dyDescent="0.35">
      <c r="A1945" s="8" t="s">
        <v>954</v>
      </c>
      <c r="B1945" s="8" t="s">
        <v>220</v>
      </c>
      <c r="C1945" s="8" t="s">
        <v>34</v>
      </c>
      <c r="D1945" s="9">
        <v>42</v>
      </c>
      <c r="E1945" s="8" t="s">
        <v>2303</v>
      </c>
      <c r="F1945" s="8" t="s">
        <v>12</v>
      </c>
      <c r="G1945" s="10">
        <v>45310</v>
      </c>
      <c r="H1945" s="8" t="s">
        <v>26</v>
      </c>
      <c r="I1945" s="8" t="s">
        <v>27</v>
      </c>
      <c r="J1945" s="8" t="s">
        <v>48</v>
      </c>
      <c r="K1945" s="8" t="s">
        <v>55</v>
      </c>
      <c r="L1945" s="8" t="s">
        <v>116</v>
      </c>
      <c r="M1945" s="8" t="s">
        <v>39</v>
      </c>
      <c r="N1945" s="11">
        <v>139208</v>
      </c>
      <c r="O1945" s="11">
        <v>17044</v>
      </c>
      <c r="P1945" s="12">
        <v>96.7</v>
      </c>
      <c r="Q1945" s="9">
        <v>4</v>
      </c>
      <c r="R1945" s="13">
        <v>18</v>
      </c>
      <c r="S1945" s="13">
        <v>4</v>
      </c>
      <c r="T1945" s="9">
        <v>18</v>
      </c>
      <c r="U1945" s="13">
        <v>84</v>
      </c>
      <c r="V1945" s="8" t="s">
        <v>31</v>
      </c>
      <c r="W1945" s="8"/>
      <c r="X1945" s="22">
        <f>IF(V1945="Yes",1,0)</f>
        <v>0</v>
      </c>
      <c r="Y1945" s="22">
        <f>IF(H1945="Active",0,1)</f>
        <v>0</v>
      </c>
    </row>
    <row r="1946" spans="1:25" ht="18" customHeight="1" x14ac:dyDescent="0.35">
      <c r="A1946" s="8" t="s">
        <v>1689</v>
      </c>
      <c r="B1946" s="8" t="s">
        <v>422</v>
      </c>
      <c r="C1946" s="8" t="s">
        <v>34</v>
      </c>
      <c r="D1946" s="9">
        <v>31</v>
      </c>
      <c r="E1946" s="8" t="s">
        <v>2303</v>
      </c>
      <c r="F1946" s="8" t="s">
        <v>90</v>
      </c>
      <c r="G1946" s="10">
        <v>45310</v>
      </c>
      <c r="H1946" s="8" t="s">
        <v>26</v>
      </c>
      <c r="I1946" s="8" t="s">
        <v>36</v>
      </c>
      <c r="J1946" s="8" t="s">
        <v>2269</v>
      </c>
      <c r="K1946" s="8" t="s">
        <v>28</v>
      </c>
      <c r="L1946" s="8" t="s">
        <v>38</v>
      </c>
      <c r="M1946" s="8" t="s">
        <v>45</v>
      </c>
      <c r="N1946" s="11">
        <v>53990</v>
      </c>
      <c r="O1946" s="11">
        <v>9588</v>
      </c>
      <c r="P1946" s="12">
        <v>97.1</v>
      </c>
      <c r="Q1946" s="9">
        <v>6</v>
      </c>
      <c r="R1946" s="13">
        <v>21</v>
      </c>
      <c r="S1946" s="13">
        <v>5</v>
      </c>
      <c r="T1946" s="9">
        <v>9</v>
      </c>
      <c r="U1946" s="13">
        <v>92</v>
      </c>
      <c r="V1946" s="8" t="s">
        <v>31</v>
      </c>
      <c r="W1946" s="8"/>
      <c r="X1946" s="22">
        <f>IF(V1946="Yes",1,0)</f>
        <v>0</v>
      </c>
      <c r="Y1946" s="22">
        <f>IF(H1946="Active",0,1)</f>
        <v>0</v>
      </c>
    </row>
    <row r="1947" spans="1:25" ht="18" customHeight="1" x14ac:dyDescent="0.35">
      <c r="A1947" s="8" t="s">
        <v>433</v>
      </c>
      <c r="B1947" s="8" t="s">
        <v>75</v>
      </c>
      <c r="C1947" s="8" t="s">
        <v>34</v>
      </c>
      <c r="D1947" s="9">
        <v>26</v>
      </c>
      <c r="E1947" s="8" t="s">
        <v>42</v>
      </c>
      <c r="F1947" s="8" t="s">
        <v>53</v>
      </c>
      <c r="G1947" s="10">
        <v>45309</v>
      </c>
      <c r="H1947" s="8" t="s">
        <v>26</v>
      </c>
      <c r="I1947" s="8" t="s">
        <v>2267</v>
      </c>
      <c r="J1947" s="8" t="s">
        <v>2268</v>
      </c>
      <c r="K1947" s="8" t="s">
        <v>55</v>
      </c>
      <c r="L1947" s="8" t="s">
        <v>68</v>
      </c>
      <c r="M1947" s="8" t="s">
        <v>60</v>
      </c>
      <c r="N1947" s="11">
        <v>107207</v>
      </c>
      <c r="O1947" s="11">
        <v>12831</v>
      </c>
      <c r="P1947" s="12">
        <v>91.5</v>
      </c>
      <c r="Q1947" s="9">
        <v>9</v>
      </c>
      <c r="R1947" s="13">
        <v>19</v>
      </c>
      <c r="S1947" s="13">
        <v>2</v>
      </c>
      <c r="T1947" s="9">
        <v>6</v>
      </c>
      <c r="U1947" s="13">
        <v>65</v>
      </c>
      <c r="V1947" s="8" t="s">
        <v>31</v>
      </c>
      <c r="W1947" s="8"/>
      <c r="X1947" s="22">
        <f>IF(V1947="Yes",1,0)</f>
        <v>0</v>
      </c>
      <c r="Y1947" s="22">
        <f>IF(H1947="Active",0,1)</f>
        <v>0</v>
      </c>
    </row>
    <row r="1948" spans="1:25" ht="18" customHeight="1" x14ac:dyDescent="0.35">
      <c r="A1948" s="8" t="s">
        <v>765</v>
      </c>
      <c r="B1948" s="8" t="s">
        <v>144</v>
      </c>
      <c r="C1948" s="8" t="s">
        <v>34</v>
      </c>
      <c r="D1948" s="9">
        <v>53</v>
      </c>
      <c r="E1948" s="8" t="s">
        <v>2304</v>
      </c>
      <c r="F1948" s="8" t="s">
        <v>90</v>
      </c>
      <c r="G1948" s="10">
        <v>45308</v>
      </c>
      <c r="H1948" s="8" t="s">
        <v>26</v>
      </c>
      <c r="I1948" s="8" t="s">
        <v>27</v>
      </c>
      <c r="J1948" s="8" t="s">
        <v>48</v>
      </c>
      <c r="K1948" s="8" t="s">
        <v>37</v>
      </c>
      <c r="L1948" s="8" t="s">
        <v>56</v>
      </c>
      <c r="M1948" s="8" t="s">
        <v>45</v>
      </c>
      <c r="N1948" s="11">
        <v>168808</v>
      </c>
      <c r="O1948" s="11">
        <v>29707</v>
      </c>
      <c r="P1948" s="12">
        <v>84.7</v>
      </c>
      <c r="Q1948" s="9">
        <v>3</v>
      </c>
      <c r="R1948" s="13">
        <v>12</v>
      </c>
      <c r="S1948" s="13">
        <v>5</v>
      </c>
      <c r="T1948" s="9">
        <v>38</v>
      </c>
      <c r="U1948" s="13">
        <v>70</v>
      </c>
      <c r="V1948" s="8" t="s">
        <v>69</v>
      </c>
      <c r="W1948" s="8"/>
      <c r="X1948" s="22">
        <f>IF(V1948="Yes",1,0)</f>
        <v>1</v>
      </c>
      <c r="Y1948" s="22">
        <f>IF(H1948="Active",0,1)</f>
        <v>0</v>
      </c>
    </row>
    <row r="1949" spans="1:25" ht="18" customHeight="1" x14ac:dyDescent="0.35">
      <c r="A1949" s="8" t="s">
        <v>818</v>
      </c>
      <c r="B1949" s="8" t="s">
        <v>630</v>
      </c>
      <c r="C1949" s="8" t="s">
        <v>34</v>
      </c>
      <c r="D1949" s="9">
        <v>23</v>
      </c>
      <c r="E1949" s="8" t="s">
        <v>67</v>
      </c>
      <c r="F1949" s="8" t="s">
        <v>43</v>
      </c>
      <c r="G1949" s="10">
        <v>45307</v>
      </c>
      <c r="H1949" s="8" t="s">
        <v>26</v>
      </c>
      <c r="I1949" s="8" t="s">
        <v>36</v>
      </c>
      <c r="J1949" s="8" t="s">
        <v>80</v>
      </c>
      <c r="K1949" s="8" t="s">
        <v>55</v>
      </c>
      <c r="L1949" s="8" t="s">
        <v>56</v>
      </c>
      <c r="M1949" s="8" t="s">
        <v>39</v>
      </c>
      <c r="N1949" s="11">
        <v>80852</v>
      </c>
      <c r="O1949" s="11">
        <v>46182</v>
      </c>
      <c r="P1949" s="12">
        <v>92.2</v>
      </c>
      <c r="Q1949" s="9">
        <v>0</v>
      </c>
      <c r="R1949" s="13">
        <v>15</v>
      </c>
      <c r="S1949" s="13">
        <v>1</v>
      </c>
      <c r="T1949" s="9">
        <v>6</v>
      </c>
      <c r="U1949" s="13">
        <v>87</v>
      </c>
      <c r="V1949" s="8" t="s">
        <v>31</v>
      </c>
      <c r="W1949" s="8"/>
      <c r="X1949" s="22">
        <f>IF(V1949="Yes",1,0)</f>
        <v>0</v>
      </c>
      <c r="Y1949" s="22">
        <f>IF(H1949="Active",0,1)</f>
        <v>0</v>
      </c>
    </row>
    <row r="1950" spans="1:25" ht="18" customHeight="1" x14ac:dyDescent="0.35">
      <c r="A1950" s="14" t="s">
        <v>881</v>
      </c>
      <c r="B1950" s="14" t="s">
        <v>531</v>
      </c>
      <c r="C1950" s="14" t="s">
        <v>34</v>
      </c>
      <c r="D1950" s="15">
        <v>38</v>
      </c>
      <c r="E1950" s="14" t="s">
        <v>42</v>
      </c>
      <c r="F1950" s="14" t="s">
        <v>35</v>
      </c>
      <c r="G1950" s="16">
        <v>45307</v>
      </c>
      <c r="H1950" s="14" t="s">
        <v>54</v>
      </c>
      <c r="I1950" s="14" t="s">
        <v>36</v>
      </c>
      <c r="J1950" s="14" t="s">
        <v>80</v>
      </c>
      <c r="K1950" s="14" t="s">
        <v>2271</v>
      </c>
      <c r="L1950" s="14" t="s">
        <v>116</v>
      </c>
      <c r="M1950" s="14" t="s">
        <v>39</v>
      </c>
      <c r="N1950" s="17">
        <v>98705</v>
      </c>
      <c r="O1950" s="17">
        <v>22784</v>
      </c>
      <c r="P1950" s="18">
        <v>88.3</v>
      </c>
      <c r="Q1950" s="15">
        <v>9</v>
      </c>
      <c r="R1950" s="19">
        <v>20</v>
      </c>
      <c r="S1950" s="19">
        <v>1</v>
      </c>
      <c r="T1950" s="15">
        <v>13</v>
      </c>
      <c r="U1950" s="19">
        <v>69</v>
      </c>
      <c r="V1950" s="14" t="s">
        <v>31</v>
      </c>
      <c r="W1950" s="14" t="s">
        <v>83</v>
      </c>
      <c r="X1950" s="14">
        <f>IF(V1950="Yes",1,0)</f>
        <v>0</v>
      </c>
      <c r="Y1950" s="14">
        <f>IF(H1950="Active",0,1)</f>
        <v>1</v>
      </c>
    </row>
    <row r="1951" spans="1:25" ht="18" customHeight="1" x14ac:dyDescent="0.35">
      <c r="A1951" s="14" t="s">
        <v>1250</v>
      </c>
      <c r="B1951" s="14" t="s">
        <v>646</v>
      </c>
      <c r="C1951" s="14" t="s">
        <v>34</v>
      </c>
      <c r="D1951" s="15">
        <v>51</v>
      </c>
      <c r="E1951" s="14" t="s">
        <v>52</v>
      </c>
      <c r="F1951" s="14" t="s">
        <v>12</v>
      </c>
      <c r="G1951" s="16">
        <v>45307</v>
      </c>
      <c r="H1951" s="14" t="s">
        <v>26</v>
      </c>
      <c r="I1951" s="14" t="s">
        <v>2267</v>
      </c>
      <c r="J1951" s="14" t="s">
        <v>48</v>
      </c>
      <c r="K1951" s="14" t="s">
        <v>37</v>
      </c>
      <c r="L1951" s="14" t="s">
        <v>87</v>
      </c>
      <c r="M1951" s="14" t="s">
        <v>60</v>
      </c>
      <c r="N1951" s="17">
        <v>130625</v>
      </c>
      <c r="O1951" s="17">
        <v>38014</v>
      </c>
      <c r="P1951" s="18">
        <v>95</v>
      </c>
      <c r="Q1951" s="15">
        <v>7</v>
      </c>
      <c r="R1951" s="19">
        <v>11</v>
      </c>
      <c r="S1951" s="19">
        <v>2</v>
      </c>
      <c r="T1951" s="15">
        <v>29</v>
      </c>
      <c r="U1951" s="19">
        <v>77</v>
      </c>
      <c r="V1951" s="14" t="s">
        <v>31</v>
      </c>
      <c r="W1951" s="14"/>
      <c r="X1951" s="14">
        <f>IF(V1951="Yes",1,0)</f>
        <v>0</v>
      </c>
      <c r="Y1951" s="14">
        <f>IF(H1951="Active",0,1)</f>
        <v>0</v>
      </c>
    </row>
    <row r="1952" spans="1:25" ht="18" customHeight="1" x14ac:dyDescent="0.35">
      <c r="A1952" s="8" t="s">
        <v>163</v>
      </c>
      <c r="B1952" s="8" t="s">
        <v>131</v>
      </c>
      <c r="C1952" s="8" t="s">
        <v>34</v>
      </c>
      <c r="D1952" s="9">
        <v>33</v>
      </c>
      <c r="E1952" s="8" t="s">
        <v>109</v>
      </c>
      <c r="F1952" s="8" t="s">
        <v>72</v>
      </c>
      <c r="G1952" s="10">
        <v>45306</v>
      </c>
      <c r="H1952" s="8" t="s">
        <v>26</v>
      </c>
      <c r="I1952" s="8" t="s">
        <v>36</v>
      </c>
      <c r="J1952" s="8" t="s">
        <v>2268</v>
      </c>
      <c r="K1952" s="8" t="s">
        <v>2271</v>
      </c>
      <c r="L1952" s="8" t="s">
        <v>116</v>
      </c>
      <c r="M1952" s="8" t="s">
        <v>45</v>
      </c>
      <c r="N1952" s="11">
        <v>95410</v>
      </c>
      <c r="O1952" s="11">
        <v>9032</v>
      </c>
      <c r="P1952" s="12">
        <v>81.8</v>
      </c>
      <c r="Q1952" s="9">
        <v>6</v>
      </c>
      <c r="R1952" s="13">
        <v>22</v>
      </c>
      <c r="S1952" s="13">
        <v>4</v>
      </c>
      <c r="T1952" s="9">
        <v>12</v>
      </c>
      <c r="U1952" s="13">
        <v>94</v>
      </c>
      <c r="V1952" s="8" t="s">
        <v>69</v>
      </c>
      <c r="W1952" s="8"/>
      <c r="X1952" s="22">
        <f>IF(V1952="Yes",1,0)</f>
        <v>1</v>
      </c>
      <c r="Y1952" s="22">
        <f>IF(H1952="Active",0,1)</f>
        <v>0</v>
      </c>
    </row>
    <row r="1953" spans="1:25" ht="18" customHeight="1" x14ac:dyDescent="0.35">
      <c r="A1953" s="8" t="s">
        <v>430</v>
      </c>
      <c r="B1953" s="8" t="s">
        <v>302</v>
      </c>
      <c r="C1953" s="8" t="s">
        <v>25</v>
      </c>
      <c r="D1953" s="9">
        <v>42</v>
      </c>
      <c r="E1953" s="8" t="s">
        <v>67</v>
      </c>
      <c r="F1953" s="8" t="s">
        <v>72</v>
      </c>
      <c r="G1953" s="10">
        <v>45306</v>
      </c>
      <c r="H1953" s="8" t="s">
        <v>26</v>
      </c>
      <c r="I1953" s="8" t="s">
        <v>27</v>
      </c>
      <c r="J1953" s="8" t="s">
        <v>2269</v>
      </c>
      <c r="K1953" s="8" t="s">
        <v>2271</v>
      </c>
      <c r="L1953" s="8" t="s">
        <v>68</v>
      </c>
      <c r="M1953" s="8" t="s">
        <v>30</v>
      </c>
      <c r="N1953" s="11">
        <v>118774</v>
      </c>
      <c r="O1953" s="11">
        <v>49694</v>
      </c>
      <c r="P1953" s="12">
        <v>91.9</v>
      </c>
      <c r="Q1953" s="9">
        <v>6</v>
      </c>
      <c r="R1953" s="13">
        <v>29</v>
      </c>
      <c r="S1953" s="13">
        <v>2</v>
      </c>
      <c r="T1953" s="9">
        <v>40</v>
      </c>
      <c r="U1953" s="13">
        <v>99</v>
      </c>
      <c r="V1953" s="8" t="s">
        <v>31</v>
      </c>
      <c r="W1953" s="8"/>
      <c r="X1953" s="22">
        <f>IF(V1953="Yes",1,0)</f>
        <v>0</v>
      </c>
      <c r="Y1953" s="22">
        <f>IF(H1953="Active",0,1)</f>
        <v>0</v>
      </c>
    </row>
    <row r="1954" spans="1:25" ht="18" customHeight="1" x14ac:dyDescent="0.35">
      <c r="A1954" s="8" t="s">
        <v>869</v>
      </c>
      <c r="B1954" s="8" t="s">
        <v>177</v>
      </c>
      <c r="C1954" s="8" t="s">
        <v>34</v>
      </c>
      <c r="D1954" s="9">
        <v>48</v>
      </c>
      <c r="E1954" s="8" t="s">
        <v>63</v>
      </c>
      <c r="F1954" s="8" t="s">
        <v>79</v>
      </c>
      <c r="G1954" s="10">
        <v>45306</v>
      </c>
      <c r="H1954" s="8" t="s">
        <v>54</v>
      </c>
      <c r="I1954" s="8" t="s">
        <v>36</v>
      </c>
      <c r="J1954" s="8" t="s">
        <v>2270</v>
      </c>
      <c r="K1954" s="8" t="s">
        <v>2271</v>
      </c>
      <c r="L1954" s="8" t="s">
        <v>87</v>
      </c>
      <c r="M1954" s="8" t="s">
        <v>60</v>
      </c>
      <c r="N1954" s="11">
        <v>94820</v>
      </c>
      <c r="O1954" s="11">
        <v>34588</v>
      </c>
      <c r="P1954" s="12">
        <v>88.1</v>
      </c>
      <c r="Q1954" s="9">
        <v>9</v>
      </c>
      <c r="R1954" s="13">
        <v>26</v>
      </c>
      <c r="S1954" s="13">
        <v>2</v>
      </c>
      <c r="T1954" s="9">
        <v>26</v>
      </c>
      <c r="U1954" s="13">
        <v>95</v>
      </c>
      <c r="V1954" s="8" t="s">
        <v>31</v>
      </c>
      <c r="W1954" s="8" t="s">
        <v>57</v>
      </c>
      <c r="X1954" s="22">
        <f>IF(V1954="Yes",1,0)</f>
        <v>0</v>
      </c>
      <c r="Y1954" s="22">
        <f>IF(H1954="Active",0,1)</f>
        <v>1</v>
      </c>
    </row>
    <row r="1955" spans="1:25" ht="18" customHeight="1" x14ac:dyDescent="0.35">
      <c r="A1955" s="8" t="s">
        <v>1359</v>
      </c>
      <c r="B1955" s="8" t="s">
        <v>445</v>
      </c>
      <c r="C1955" s="8" t="s">
        <v>25</v>
      </c>
      <c r="D1955" s="9">
        <v>23</v>
      </c>
      <c r="E1955" s="8" t="s">
        <v>52</v>
      </c>
      <c r="F1955" s="8" t="s">
        <v>43</v>
      </c>
      <c r="G1955" s="10">
        <v>45306</v>
      </c>
      <c r="H1955" s="8" t="s">
        <v>26</v>
      </c>
      <c r="I1955" s="8" t="s">
        <v>2267</v>
      </c>
      <c r="J1955" s="8" t="s">
        <v>80</v>
      </c>
      <c r="K1955" s="8" t="s">
        <v>55</v>
      </c>
      <c r="L1955" s="8" t="s">
        <v>87</v>
      </c>
      <c r="M1955" s="8" t="s">
        <v>30</v>
      </c>
      <c r="N1955" s="11">
        <v>225233</v>
      </c>
      <c r="O1955" s="11">
        <v>23332</v>
      </c>
      <c r="P1955" s="12">
        <v>92.5</v>
      </c>
      <c r="Q1955" s="9">
        <v>4</v>
      </c>
      <c r="R1955" s="13">
        <v>10</v>
      </c>
      <c r="S1955" s="13">
        <v>1</v>
      </c>
      <c r="T1955" s="9">
        <v>33</v>
      </c>
      <c r="U1955" s="13">
        <v>63</v>
      </c>
      <c r="V1955" s="8" t="s">
        <v>31</v>
      </c>
      <c r="W1955" s="8"/>
      <c r="X1955" s="22">
        <f>IF(V1955="Yes",1,0)</f>
        <v>0</v>
      </c>
      <c r="Y1955" s="22">
        <f>IF(H1955="Active",0,1)</f>
        <v>0</v>
      </c>
    </row>
    <row r="1956" spans="1:25" ht="18" customHeight="1" x14ac:dyDescent="0.35">
      <c r="A1956" s="14" t="s">
        <v>690</v>
      </c>
      <c r="B1956" s="14" t="s">
        <v>461</v>
      </c>
      <c r="C1956" s="14" t="s">
        <v>25</v>
      </c>
      <c r="D1956" s="15">
        <v>59</v>
      </c>
      <c r="E1956" s="14" t="s">
        <v>109</v>
      </c>
      <c r="F1956" s="14" t="s">
        <v>90</v>
      </c>
      <c r="G1956" s="16">
        <v>45305</v>
      </c>
      <c r="H1956" s="14" t="s">
        <v>26</v>
      </c>
      <c r="I1956" s="14" t="s">
        <v>27</v>
      </c>
      <c r="J1956" s="14" t="s">
        <v>80</v>
      </c>
      <c r="K1956" s="14" t="s">
        <v>73</v>
      </c>
      <c r="L1956" s="14" t="s">
        <v>116</v>
      </c>
      <c r="M1956" s="14" t="s">
        <v>39</v>
      </c>
      <c r="N1956" s="17">
        <v>236861</v>
      </c>
      <c r="O1956" s="17">
        <v>40934</v>
      </c>
      <c r="P1956" s="18">
        <v>80.8</v>
      </c>
      <c r="Q1956" s="15">
        <v>0</v>
      </c>
      <c r="R1956" s="19">
        <v>22</v>
      </c>
      <c r="S1956" s="19">
        <v>3</v>
      </c>
      <c r="T1956" s="15">
        <v>4</v>
      </c>
      <c r="U1956" s="19">
        <v>60</v>
      </c>
      <c r="V1956" s="14" t="s">
        <v>31</v>
      </c>
      <c r="W1956" s="14"/>
      <c r="X1956" s="14">
        <f>IF(V1956="Yes",1,0)</f>
        <v>0</v>
      </c>
      <c r="Y1956" s="14">
        <f>IF(H1956="Active",0,1)</f>
        <v>0</v>
      </c>
    </row>
    <row r="1957" spans="1:25" ht="18" customHeight="1" x14ac:dyDescent="0.35">
      <c r="A1957" s="8" t="s">
        <v>1237</v>
      </c>
      <c r="B1957" s="8" t="s">
        <v>30</v>
      </c>
      <c r="C1957" s="8" t="s">
        <v>34</v>
      </c>
      <c r="D1957" s="9">
        <v>49</v>
      </c>
      <c r="E1957" s="8" t="s">
        <v>2303</v>
      </c>
      <c r="F1957" s="8" t="s">
        <v>12</v>
      </c>
      <c r="G1957" s="10">
        <v>45305</v>
      </c>
      <c r="H1957" s="8" t="s">
        <v>26</v>
      </c>
      <c r="I1957" s="8" t="s">
        <v>36</v>
      </c>
      <c r="J1957" s="8" t="s">
        <v>80</v>
      </c>
      <c r="K1957" s="8" t="s">
        <v>73</v>
      </c>
      <c r="L1957" s="8" t="s">
        <v>56</v>
      </c>
      <c r="M1957" s="8" t="s">
        <v>39</v>
      </c>
      <c r="N1957" s="11">
        <v>105081</v>
      </c>
      <c r="O1957" s="11">
        <v>43690</v>
      </c>
      <c r="P1957" s="12">
        <v>98.6</v>
      </c>
      <c r="Q1957" s="9">
        <v>9</v>
      </c>
      <c r="R1957" s="13">
        <v>25</v>
      </c>
      <c r="S1957" s="13">
        <v>5</v>
      </c>
      <c r="T1957" s="9">
        <v>17</v>
      </c>
      <c r="U1957" s="13">
        <v>65</v>
      </c>
      <c r="V1957" s="8" t="s">
        <v>31</v>
      </c>
      <c r="W1957" s="8"/>
      <c r="X1957" s="22">
        <f>IF(V1957="Yes",1,0)</f>
        <v>0</v>
      </c>
      <c r="Y1957" s="22">
        <f>IF(H1957="Active",0,1)</f>
        <v>0</v>
      </c>
    </row>
    <row r="1958" spans="1:25" ht="18" customHeight="1" x14ac:dyDescent="0.35">
      <c r="A1958" s="14" t="s">
        <v>513</v>
      </c>
      <c r="B1958" s="14" t="s">
        <v>514</v>
      </c>
      <c r="C1958" s="14" t="s">
        <v>34</v>
      </c>
      <c r="D1958" s="15">
        <v>42</v>
      </c>
      <c r="E1958" s="14" t="s">
        <v>67</v>
      </c>
      <c r="F1958" s="14" t="s">
        <v>43</v>
      </c>
      <c r="G1958" s="16">
        <v>45304</v>
      </c>
      <c r="H1958" s="14" t="s">
        <v>26</v>
      </c>
      <c r="I1958" s="14" t="s">
        <v>2267</v>
      </c>
      <c r="J1958" s="14" t="s">
        <v>2270</v>
      </c>
      <c r="K1958" s="14" t="s">
        <v>28</v>
      </c>
      <c r="L1958" s="14" t="s">
        <v>29</v>
      </c>
      <c r="M1958" s="14" t="s">
        <v>30</v>
      </c>
      <c r="N1958" s="17">
        <v>85546</v>
      </c>
      <c r="O1958" s="17">
        <v>28687</v>
      </c>
      <c r="P1958" s="18">
        <v>98.4</v>
      </c>
      <c r="Q1958" s="15">
        <v>0</v>
      </c>
      <c r="R1958" s="19">
        <v>28</v>
      </c>
      <c r="S1958" s="19">
        <v>1</v>
      </c>
      <c r="T1958" s="15">
        <v>19</v>
      </c>
      <c r="U1958" s="19">
        <v>94</v>
      </c>
      <c r="V1958" s="14" t="s">
        <v>31</v>
      </c>
      <c r="W1958" s="14"/>
      <c r="X1958" s="14">
        <f>IF(V1958="Yes",1,0)</f>
        <v>0</v>
      </c>
      <c r="Y1958" s="14">
        <f>IF(H1958="Active",0,1)</f>
        <v>0</v>
      </c>
    </row>
    <row r="1959" spans="1:25" ht="18" customHeight="1" x14ac:dyDescent="0.35">
      <c r="A1959" s="14" t="s">
        <v>2010</v>
      </c>
      <c r="B1959" s="14" t="s">
        <v>175</v>
      </c>
      <c r="C1959" s="14" t="s">
        <v>25</v>
      </c>
      <c r="D1959" s="15">
        <v>40</v>
      </c>
      <c r="E1959" s="14" t="s">
        <v>2304</v>
      </c>
      <c r="F1959" s="14" t="s">
        <v>12</v>
      </c>
      <c r="G1959" s="16">
        <v>45304</v>
      </c>
      <c r="H1959" s="14" t="s">
        <v>26</v>
      </c>
      <c r="I1959" s="14" t="s">
        <v>27</v>
      </c>
      <c r="J1959" s="14" t="s">
        <v>2270</v>
      </c>
      <c r="K1959" s="14" t="s">
        <v>28</v>
      </c>
      <c r="L1959" s="14" t="s">
        <v>87</v>
      </c>
      <c r="M1959" s="14" t="s">
        <v>64</v>
      </c>
      <c r="N1959" s="17">
        <v>214801</v>
      </c>
      <c r="O1959" s="17">
        <v>25720</v>
      </c>
      <c r="P1959" s="18">
        <v>91</v>
      </c>
      <c r="Q1959" s="15">
        <v>2</v>
      </c>
      <c r="R1959" s="19">
        <v>3</v>
      </c>
      <c r="S1959" s="19">
        <v>2</v>
      </c>
      <c r="T1959" s="15">
        <v>16</v>
      </c>
      <c r="U1959" s="19">
        <v>85</v>
      </c>
      <c r="V1959" s="14" t="s">
        <v>31</v>
      </c>
      <c r="W1959" s="14"/>
      <c r="X1959" s="14">
        <f>IF(V1959="Yes",1,0)</f>
        <v>0</v>
      </c>
      <c r="Y1959" s="14">
        <f>IF(H1959="Active",0,1)</f>
        <v>0</v>
      </c>
    </row>
    <row r="1960" spans="1:25" ht="18" customHeight="1" x14ac:dyDescent="0.35">
      <c r="A1960" s="14" t="s">
        <v>307</v>
      </c>
      <c r="B1960" s="14" t="s">
        <v>308</v>
      </c>
      <c r="C1960" s="14" t="s">
        <v>25</v>
      </c>
      <c r="D1960" s="15">
        <v>44</v>
      </c>
      <c r="E1960" s="14" t="s">
        <v>109</v>
      </c>
      <c r="F1960" s="14" t="s">
        <v>72</v>
      </c>
      <c r="G1960" s="16">
        <v>45303</v>
      </c>
      <c r="H1960" s="14" t="s">
        <v>26</v>
      </c>
      <c r="I1960" s="14" t="s">
        <v>36</v>
      </c>
      <c r="J1960" s="14" t="s">
        <v>48</v>
      </c>
      <c r="K1960" s="14" t="s">
        <v>2271</v>
      </c>
      <c r="L1960" s="14" t="s">
        <v>87</v>
      </c>
      <c r="M1960" s="14" t="s">
        <v>45</v>
      </c>
      <c r="N1960" s="17">
        <v>61320</v>
      </c>
      <c r="O1960" s="17">
        <v>31304</v>
      </c>
      <c r="P1960" s="18">
        <v>93</v>
      </c>
      <c r="Q1960" s="15">
        <v>1</v>
      </c>
      <c r="R1960" s="19">
        <v>17</v>
      </c>
      <c r="S1960" s="19">
        <v>4</v>
      </c>
      <c r="T1960" s="15">
        <v>24</v>
      </c>
      <c r="U1960" s="19">
        <v>91</v>
      </c>
      <c r="V1960" s="14" t="s">
        <v>31</v>
      </c>
      <c r="W1960" s="14"/>
      <c r="X1960" s="14">
        <f>IF(V1960="Yes",1,0)</f>
        <v>0</v>
      </c>
      <c r="Y1960" s="14">
        <f>IF(H1960="Active",0,1)</f>
        <v>0</v>
      </c>
    </row>
    <row r="1961" spans="1:25" ht="18" customHeight="1" x14ac:dyDescent="0.35">
      <c r="A1961" s="14" t="s">
        <v>850</v>
      </c>
      <c r="B1961" s="14" t="s">
        <v>318</v>
      </c>
      <c r="C1961" s="14" t="s">
        <v>34</v>
      </c>
      <c r="D1961" s="15">
        <v>55</v>
      </c>
      <c r="E1961" s="14" t="s">
        <v>42</v>
      </c>
      <c r="F1961" s="14" t="s">
        <v>76</v>
      </c>
      <c r="G1961" s="16">
        <v>45303</v>
      </c>
      <c r="H1961" s="14" t="s">
        <v>26</v>
      </c>
      <c r="I1961" s="14" t="s">
        <v>27</v>
      </c>
      <c r="J1961" s="14" t="s">
        <v>2268</v>
      </c>
      <c r="K1961" s="14" t="s">
        <v>55</v>
      </c>
      <c r="L1961" s="14" t="s">
        <v>116</v>
      </c>
      <c r="M1961" s="14" t="s">
        <v>64</v>
      </c>
      <c r="N1961" s="17">
        <v>90203</v>
      </c>
      <c r="O1961" s="17">
        <v>29858</v>
      </c>
      <c r="P1961" s="18">
        <v>89.3</v>
      </c>
      <c r="Q1961" s="15">
        <v>1</v>
      </c>
      <c r="R1961" s="19">
        <v>10</v>
      </c>
      <c r="S1961" s="19">
        <v>4</v>
      </c>
      <c r="T1961" s="15">
        <v>39</v>
      </c>
      <c r="U1961" s="19">
        <v>79</v>
      </c>
      <c r="V1961" s="14" t="s">
        <v>69</v>
      </c>
      <c r="W1961" s="14"/>
      <c r="X1961" s="14">
        <f>IF(V1961="Yes",1,0)</f>
        <v>1</v>
      </c>
      <c r="Y1961" s="14">
        <f>IF(H1961="Active",0,1)</f>
        <v>0</v>
      </c>
    </row>
    <row r="1962" spans="1:25" ht="18" customHeight="1" x14ac:dyDescent="0.35">
      <c r="A1962" s="14" t="s">
        <v>2132</v>
      </c>
      <c r="B1962" s="14" t="s">
        <v>295</v>
      </c>
      <c r="C1962" s="14" t="s">
        <v>34</v>
      </c>
      <c r="D1962" s="15">
        <v>42</v>
      </c>
      <c r="E1962" s="14" t="s">
        <v>93</v>
      </c>
      <c r="F1962" s="14" t="s">
        <v>43</v>
      </c>
      <c r="G1962" s="16">
        <v>45303</v>
      </c>
      <c r="H1962" s="14" t="s">
        <v>26</v>
      </c>
      <c r="I1962" s="14" t="s">
        <v>2267</v>
      </c>
      <c r="J1962" s="14" t="s">
        <v>2268</v>
      </c>
      <c r="K1962" s="14" t="s">
        <v>2271</v>
      </c>
      <c r="L1962" s="14" t="s">
        <v>87</v>
      </c>
      <c r="M1962" s="14" t="s">
        <v>60</v>
      </c>
      <c r="N1962" s="17">
        <v>149569</v>
      </c>
      <c r="O1962" s="17">
        <v>11316</v>
      </c>
      <c r="P1962" s="18">
        <v>93.7</v>
      </c>
      <c r="Q1962" s="15">
        <v>1</v>
      </c>
      <c r="R1962" s="19">
        <v>14</v>
      </c>
      <c r="S1962" s="19">
        <v>5</v>
      </c>
      <c r="T1962" s="15">
        <v>11</v>
      </c>
      <c r="U1962" s="19">
        <v>100</v>
      </c>
      <c r="V1962" s="14" t="s">
        <v>31</v>
      </c>
      <c r="W1962" s="14"/>
      <c r="X1962" s="14">
        <f>IF(V1962="Yes",1,0)</f>
        <v>0</v>
      </c>
      <c r="Y1962" s="14">
        <f>IF(H1962="Active",0,1)</f>
        <v>0</v>
      </c>
    </row>
    <row r="1963" spans="1:25" ht="18" customHeight="1" x14ac:dyDescent="0.35">
      <c r="A1963" s="14" t="s">
        <v>560</v>
      </c>
      <c r="B1963" s="14" t="s">
        <v>220</v>
      </c>
      <c r="C1963" s="14" t="s">
        <v>25</v>
      </c>
      <c r="D1963" s="15">
        <v>56</v>
      </c>
      <c r="E1963" s="14" t="s">
        <v>67</v>
      </c>
      <c r="F1963" s="14" t="s">
        <v>35</v>
      </c>
      <c r="G1963" s="16">
        <v>45302</v>
      </c>
      <c r="H1963" s="14" t="s">
        <v>26</v>
      </c>
      <c r="I1963" s="14" t="s">
        <v>27</v>
      </c>
      <c r="J1963" s="14" t="s">
        <v>2270</v>
      </c>
      <c r="K1963" s="14" t="s">
        <v>2271</v>
      </c>
      <c r="L1963" s="14" t="s">
        <v>56</v>
      </c>
      <c r="M1963" s="14" t="s">
        <v>45</v>
      </c>
      <c r="N1963" s="17">
        <v>224092</v>
      </c>
      <c r="O1963" s="17">
        <v>45924</v>
      </c>
      <c r="P1963" s="18">
        <v>98</v>
      </c>
      <c r="Q1963" s="15">
        <v>1</v>
      </c>
      <c r="R1963" s="19">
        <v>1</v>
      </c>
      <c r="S1963" s="19">
        <v>2</v>
      </c>
      <c r="T1963" s="15">
        <v>12</v>
      </c>
      <c r="U1963" s="19">
        <v>67</v>
      </c>
      <c r="V1963" s="14" t="s">
        <v>31</v>
      </c>
      <c r="W1963" s="14"/>
      <c r="X1963" s="14">
        <f>IF(V1963="Yes",1,0)</f>
        <v>0</v>
      </c>
      <c r="Y1963" s="14">
        <f>IF(H1963="Active",0,1)</f>
        <v>0</v>
      </c>
    </row>
    <row r="1964" spans="1:25" ht="18" customHeight="1" x14ac:dyDescent="0.35">
      <c r="A1964" s="14" t="s">
        <v>697</v>
      </c>
      <c r="B1964" s="14" t="s">
        <v>280</v>
      </c>
      <c r="C1964" s="14" t="s">
        <v>25</v>
      </c>
      <c r="D1964" s="15">
        <v>51</v>
      </c>
      <c r="E1964" s="14" t="s">
        <v>86</v>
      </c>
      <c r="F1964" s="14" t="s">
        <v>35</v>
      </c>
      <c r="G1964" s="16">
        <v>45302</v>
      </c>
      <c r="H1964" s="14" t="s">
        <v>26</v>
      </c>
      <c r="I1964" s="14" t="s">
        <v>36</v>
      </c>
      <c r="J1964" s="14" t="s">
        <v>48</v>
      </c>
      <c r="K1964" s="14" t="s">
        <v>2271</v>
      </c>
      <c r="L1964" s="14" t="s">
        <v>68</v>
      </c>
      <c r="M1964" s="14" t="s">
        <v>60</v>
      </c>
      <c r="N1964" s="17">
        <v>192392</v>
      </c>
      <c r="O1964" s="17">
        <v>9077</v>
      </c>
      <c r="P1964" s="18">
        <v>97.8</v>
      </c>
      <c r="Q1964" s="15">
        <v>10</v>
      </c>
      <c r="R1964" s="19">
        <v>17</v>
      </c>
      <c r="S1964" s="19">
        <v>4</v>
      </c>
      <c r="T1964" s="15">
        <v>9</v>
      </c>
      <c r="U1964" s="19">
        <v>90</v>
      </c>
      <c r="V1964" s="14" t="s">
        <v>31</v>
      </c>
      <c r="W1964" s="14"/>
      <c r="X1964" s="14">
        <f>IF(V1964="Yes",1,0)</f>
        <v>0</v>
      </c>
      <c r="Y1964" s="14">
        <f>IF(H1964="Active",0,1)</f>
        <v>0</v>
      </c>
    </row>
    <row r="1965" spans="1:25" ht="18" customHeight="1" x14ac:dyDescent="0.35">
      <c r="A1965" s="14" t="s">
        <v>988</v>
      </c>
      <c r="B1965" s="14" t="s">
        <v>261</v>
      </c>
      <c r="C1965" s="14" t="s">
        <v>34</v>
      </c>
      <c r="D1965" s="15">
        <v>28</v>
      </c>
      <c r="E1965" s="14" t="s">
        <v>42</v>
      </c>
      <c r="F1965" s="14" t="s">
        <v>72</v>
      </c>
      <c r="G1965" s="16">
        <v>45301</v>
      </c>
      <c r="H1965" s="14" t="s">
        <v>26</v>
      </c>
      <c r="I1965" s="14" t="s">
        <v>27</v>
      </c>
      <c r="J1965" s="14" t="s">
        <v>48</v>
      </c>
      <c r="K1965" s="14" t="s">
        <v>28</v>
      </c>
      <c r="L1965" s="14" t="s">
        <v>116</v>
      </c>
      <c r="M1965" s="14" t="s">
        <v>39</v>
      </c>
      <c r="N1965" s="17">
        <v>66887</v>
      </c>
      <c r="O1965" s="17">
        <v>26832</v>
      </c>
      <c r="P1965" s="18">
        <v>88.3</v>
      </c>
      <c r="Q1965" s="15">
        <v>8</v>
      </c>
      <c r="R1965" s="19">
        <v>13</v>
      </c>
      <c r="S1965" s="19">
        <v>4</v>
      </c>
      <c r="T1965" s="15">
        <v>39</v>
      </c>
      <c r="U1965" s="19">
        <v>81</v>
      </c>
      <c r="V1965" s="14" t="s">
        <v>31</v>
      </c>
      <c r="W1965" s="14"/>
      <c r="X1965" s="14">
        <f>IF(V1965="Yes",1,0)</f>
        <v>0</v>
      </c>
      <c r="Y1965" s="14">
        <f>IF(H1965="Active",0,1)</f>
        <v>0</v>
      </c>
    </row>
    <row r="1966" spans="1:25" ht="18" customHeight="1" x14ac:dyDescent="0.35">
      <c r="A1966" s="8" t="s">
        <v>1097</v>
      </c>
      <c r="B1966" s="8" t="s">
        <v>155</v>
      </c>
      <c r="C1966" s="8" t="s">
        <v>34</v>
      </c>
      <c r="D1966" s="9">
        <v>32</v>
      </c>
      <c r="E1966" s="8" t="s">
        <v>2303</v>
      </c>
      <c r="F1966" s="8" t="s">
        <v>53</v>
      </c>
      <c r="G1966" s="10">
        <v>45300</v>
      </c>
      <c r="H1966" s="8" t="s">
        <v>26</v>
      </c>
      <c r="I1966" s="8" t="s">
        <v>36</v>
      </c>
      <c r="J1966" s="8" t="s">
        <v>2269</v>
      </c>
      <c r="K1966" s="8" t="s">
        <v>28</v>
      </c>
      <c r="L1966" s="8" t="s">
        <v>56</v>
      </c>
      <c r="M1966" s="8" t="s">
        <v>45</v>
      </c>
      <c r="N1966" s="11">
        <v>223868</v>
      </c>
      <c r="O1966" s="11">
        <v>15586</v>
      </c>
      <c r="P1966" s="12">
        <v>91</v>
      </c>
      <c r="Q1966" s="9">
        <v>8</v>
      </c>
      <c r="R1966" s="13">
        <v>12</v>
      </c>
      <c r="S1966" s="13">
        <v>3</v>
      </c>
      <c r="T1966" s="9">
        <v>27</v>
      </c>
      <c r="U1966" s="13">
        <v>89</v>
      </c>
      <c r="V1966" s="8" t="s">
        <v>69</v>
      </c>
      <c r="W1966" s="8"/>
      <c r="X1966" s="22">
        <f>IF(V1966="Yes",1,0)</f>
        <v>1</v>
      </c>
      <c r="Y1966" s="22">
        <f>IF(H1966="Active",0,1)</f>
        <v>0</v>
      </c>
    </row>
    <row r="1967" spans="1:25" ht="18" customHeight="1" x14ac:dyDescent="0.35">
      <c r="A1967" s="8" t="s">
        <v>1837</v>
      </c>
      <c r="B1967" s="8" t="s">
        <v>261</v>
      </c>
      <c r="C1967" s="8" t="s">
        <v>34</v>
      </c>
      <c r="D1967" s="9">
        <v>56</v>
      </c>
      <c r="E1967" s="8" t="s">
        <v>67</v>
      </c>
      <c r="F1967" s="8" t="s">
        <v>76</v>
      </c>
      <c r="G1967" s="10">
        <v>45300</v>
      </c>
      <c r="H1967" s="8" t="s">
        <v>54</v>
      </c>
      <c r="I1967" s="8" t="s">
        <v>27</v>
      </c>
      <c r="J1967" s="8" t="s">
        <v>2270</v>
      </c>
      <c r="K1967" s="8" t="s">
        <v>37</v>
      </c>
      <c r="L1967" s="8" t="s">
        <v>49</v>
      </c>
      <c r="M1967" s="8" t="s">
        <v>64</v>
      </c>
      <c r="N1967" s="11">
        <v>93108</v>
      </c>
      <c r="O1967" s="11">
        <v>7865</v>
      </c>
      <c r="P1967" s="12">
        <v>89.4</v>
      </c>
      <c r="Q1967" s="9">
        <v>2</v>
      </c>
      <c r="R1967" s="13">
        <v>26</v>
      </c>
      <c r="S1967" s="13">
        <v>3</v>
      </c>
      <c r="T1967" s="9">
        <v>37</v>
      </c>
      <c r="U1967" s="13">
        <v>82</v>
      </c>
      <c r="V1967" s="8" t="s">
        <v>69</v>
      </c>
      <c r="W1967" s="8" t="s">
        <v>57</v>
      </c>
      <c r="X1967" s="22">
        <f>IF(V1967="Yes",1,0)</f>
        <v>1</v>
      </c>
      <c r="Y1967" s="22">
        <f>IF(H1967="Active",0,1)</f>
        <v>1</v>
      </c>
    </row>
    <row r="1968" spans="1:25" ht="18" customHeight="1" x14ac:dyDescent="0.35">
      <c r="A1968" s="14" t="s">
        <v>2134</v>
      </c>
      <c r="B1968" s="14" t="s">
        <v>789</v>
      </c>
      <c r="C1968" s="14" t="s">
        <v>25</v>
      </c>
      <c r="D1968" s="15">
        <v>24</v>
      </c>
      <c r="E1968" s="14" t="s">
        <v>42</v>
      </c>
      <c r="F1968" s="14" t="s">
        <v>76</v>
      </c>
      <c r="G1968" s="16">
        <v>45300</v>
      </c>
      <c r="H1968" s="14" t="s">
        <v>26</v>
      </c>
      <c r="I1968" s="14" t="s">
        <v>36</v>
      </c>
      <c r="J1968" s="14" t="s">
        <v>2269</v>
      </c>
      <c r="K1968" s="14" t="s">
        <v>2271</v>
      </c>
      <c r="L1968" s="14" t="s">
        <v>116</v>
      </c>
      <c r="M1968" s="14" t="s">
        <v>60</v>
      </c>
      <c r="N1968" s="17">
        <v>52044</v>
      </c>
      <c r="O1968" s="17">
        <v>42851</v>
      </c>
      <c r="P1968" s="18">
        <v>81.099999999999994</v>
      </c>
      <c r="Q1968" s="15">
        <v>10</v>
      </c>
      <c r="R1968" s="19">
        <v>2</v>
      </c>
      <c r="S1968" s="19">
        <v>2</v>
      </c>
      <c r="T1968" s="15">
        <v>20</v>
      </c>
      <c r="U1968" s="19">
        <v>71</v>
      </c>
      <c r="V1968" s="14" t="s">
        <v>31</v>
      </c>
      <c r="W1968" s="14"/>
      <c r="X1968" s="14">
        <f>IF(V1968="Yes",1,0)</f>
        <v>0</v>
      </c>
      <c r="Y1968" s="14">
        <f>IF(H1968="Active",0,1)</f>
        <v>0</v>
      </c>
    </row>
    <row r="1969" spans="1:25" ht="18" customHeight="1" x14ac:dyDescent="0.35">
      <c r="A1969" s="8" t="s">
        <v>296</v>
      </c>
      <c r="B1969" s="8" t="s">
        <v>297</v>
      </c>
      <c r="C1969" s="8" t="s">
        <v>34</v>
      </c>
      <c r="D1969" s="9">
        <v>23</v>
      </c>
      <c r="E1969" s="8" t="s">
        <v>2304</v>
      </c>
      <c r="F1969" s="8" t="s">
        <v>76</v>
      </c>
      <c r="G1969" s="10">
        <v>45299</v>
      </c>
      <c r="H1969" s="8" t="s">
        <v>26</v>
      </c>
      <c r="I1969" s="8" t="s">
        <v>2267</v>
      </c>
      <c r="J1969" s="8" t="s">
        <v>80</v>
      </c>
      <c r="K1969" s="8" t="s">
        <v>73</v>
      </c>
      <c r="L1969" s="8" t="s">
        <v>29</v>
      </c>
      <c r="M1969" s="8" t="s">
        <v>30</v>
      </c>
      <c r="N1969" s="11">
        <v>157342</v>
      </c>
      <c r="O1969" s="11">
        <v>44301</v>
      </c>
      <c r="P1969" s="12">
        <v>80.8</v>
      </c>
      <c r="Q1969" s="9">
        <v>10</v>
      </c>
      <c r="R1969" s="13">
        <v>18</v>
      </c>
      <c r="S1969" s="13">
        <v>5</v>
      </c>
      <c r="T1969" s="9">
        <v>4</v>
      </c>
      <c r="U1969" s="13">
        <v>95</v>
      </c>
      <c r="V1969" s="8" t="s">
        <v>31</v>
      </c>
      <c r="W1969" s="8"/>
      <c r="X1969" s="22">
        <f>IF(V1969="Yes",1,0)</f>
        <v>0</v>
      </c>
      <c r="Y1969" s="22">
        <f>IF(H1969="Active",0,1)</f>
        <v>0</v>
      </c>
    </row>
    <row r="1970" spans="1:25" ht="18" customHeight="1" x14ac:dyDescent="0.35">
      <c r="A1970" s="8" t="s">
        <v>1035</v>
      </c>
      <c r="B1970" s="8" t="s">
        <v>144</v>
      </c>
      <c r="C1970" s="8" t="s">
        <v>25</v>
      </c>
      <c r="D1970" s="9">
        <v>52</v>
      </c>
      <c r="E1970" s="8" t="s">
        <v>67</v>
      </c>
      <c r="F1970" s="8" t="s">
        <v>90</v>
      </c>
      <c r="G1970" s="10">
        <v>45299</v>
      </c>
      <c r="H1970" s="8" t="s">
        <v>54</v>
      </c>
      <c r="I1970" s="8" t="s">
        <v>2267</v>
      </c>
      <c r="J1970" s="8" t="s">
        <v>2270</v>
      </c>
      <c r="K1970" s="8" t="s">
        <v>28</v>
      </c>
      <c r="L1970" s="8" t="s">
        <v>49</v>
      </c>
      <c r="M1970" s="8" t="s">
        <v>64</v>
      </c>
      <c r="N1970" s="11">
        <v>199953</v>
      </c>
      <c r="O1970" s="11">
        <v>40665</v>
      </c>
      <c r="P1970" s="12">
        <v>81.099999999999994</v>
      </c>
      <c r="Q1970" s="9">
        <v>0</v>
      </c>
      <c r="R1970" s="13">
        <v>13</v>
      </c>
      <c r="S1970" s="13">
        <v>1</v>
      </c>
      <c r="T1970" s="9">
        <v>38</v>
      </c>
      <c r="U1970" s="13">
        <v>62</v>
      </c>
      <c r="V1970" s="8" t="s">
        <v>31</v>
      </c>
      <c r="W1970" s="8" t="s">
        <v>57</v>
      </c>
      <c r="X1970" s="22">
        <f>IF(V1970="Yes",1,0)</f>
        <v>0</v>
      </c>
      <c r="Y1970" s="22">
        <f>IF(H1970="Active",0,1)</f>
        <v>1</v>
      </c>
    </row>
    <row r="1971" spans="1:25" ht="18" customHeight="1" x14ac:dyDescent="0.35">
      <c r="A1971" s="14" t="s">
        <v>1191</v>
      </c>
      <c r="B1971" s="14" t="s">
        <v>327</v>
      </c>
      <c r="C1971" s="14" t="s">
        <v>25</v>
      </c>
      <c r="D1971" s="15">
        <v>37</v>
      </c>
      <c r="E1971" s="14" t="s">
        <v>67</v>
      </c>
      <c r="F1971" s="14" t="s">
        <v>90</v>
      </c>
      <c r="G1971" s="16">
        <v>45299</v>
      </c>
      <c r="H1971" s="14" t="s">
        <v>26</v>
      </c>
      <c r="I1971" s="14" t="s">
        <v>27</v>
      </c>
      <c r="J1971" s="14" t="s">
        <v>2270</v>
      </c>
      <c r="K1971" s="14" t="s">
        <v>55</v>
      </c>
      <c r="L1971" s="14" t="s">
        <v>116</v>
      </c>
      <c r="M1971" s="14" t="s">
        <v>64</v>
      </c>
      <c r="N1971" s="17">
        <v>180046</v>
      </c>
      <c r="O1971" s="17">
        <v>47502</v>
      </c>
      <c r="P1971" s="18">
        <v>81.900000000000006</v>
      </c>
      <c r="Q1971" s="15">
        <v>7</v>
      </c>
      <c r="R1971" s="19">
        <v>22</v>
      </c>
      <c r="S1971" s="19">
        <v>2</v>
      </c>
      <c r="T1971" s="15">
        <v>39</v>
      </c>
      <c r="U1971" s="19">
        <v>83</v>
      </c>
      <c r="V1971" s="14" t="s">
        <v>31</v>
      </c>
      <c r="W1971" s="14"/>
      <c r="X1971" s="14">
        <f>IF(V1971="Yes",1,0)</f>
        <v>0</v>
      </c>
      <c r="Y1971" s="14">
        <f>IF(H1971="Active",0,1)</f>
        <v>0</v>
      </c>
    </row>
    <row r="1972" spans="1:25" ht="18" customHeight="1" x14ac:dyDescent="0.35">
      <c r="A1972" s="8" t="s">
        <v>1287</v>
      </c>
      <c r="B1972" s="8" t="s">
        <v>556</v>
      </c>
      <c r="C1972" s="8" t="s">
        <v>34</v>
      </c>
      <c r="D1972" s="9">
        <v>51</v>
      </c>
      <c r="E1972" s="8" t="s">
        <v>52</v>
      </c>
      <c r="F1972" s="8" t="s">
        <v>35</v>
      </c>
      <c r="G1972" s="10">
        <v>45299</v>
      </c>
      <c r="H1972" s="8" t="s">
        <v>26</v>
      </c>
      <c r="I1972" s="8" t="s">
        <v>2267</v>
      </c>
      <c r="J1972" s="8" t="s">
        <v>80</v>
      </c>
      <c r="K1972" s="8" t="s">
        <v>55</v>
      </c>
      <c r="L1972" s="8" t="s">
        <v>68</v>
      </c>
      <c r="M1972" s="8" t="s">
        <v>64</v>
      </c>
      <c r="N1972" s="11">
        <v>236762</v>
      </c>
      <c r="O1972" s="11">
        <v>21146</v>
      </c>
      <c r="P1972" s="12">
        <v>91.3</v>
      </c>
      <c r="Q1972" s="9">
        <v>3</v>
      </c>
      <c r="R1972" s="13">
        <v>0</v>
      </c>
      <c r="S1972" s="13">
        <v>5</v>
      </c>
      <c r="T1972" s="9">
        <v>9</v>
      </c>
      <c r="U1972" s="13">
        <v>100</v>
      </c>
      <c r="V1972" s="8" t="s">
        <v>69</v>
      </c>
      <c r="W1972" s="8"/>
      <c r="X1972" s="22">
        <f>IF(V1972="Yes",1,0)</f>
        <v>1</v>
      </c>
      <c r="Y1972" s="22">
        <f>IF(H1972="Active",0,1)</f>
        <v>0</v>
      </c>
    </row>
    <row r="1973" spans="1:25" ht="18" customHeight="1" x14ac:dyDescent="0.35">
      <c r="A1973" s="14" t="s">
        <v>1576</v>
      </c>
      <c r="B1973" s="14" t="s">
        <v>98</v>
      </c>
      <c r="C1973" s="14" t="s">
        <v>34</v>
      </c>
      <c r="D1973" s="15">
        <v>45</v>
      </c>
      <c r="E1973" s="14" t="s">
        <v>42</v>
      </c>
      <c r="F1973" s="14" t="s">
        <v>76</v>
      </c>
      <c r="G1973" s="16">
        <v>45299</v>
      </c>
      <c r="H1973" s="14" t="s">
        <v>26</v>
      </c>
      <c r="I1973" s="14" t="s">
        <v>2267</v>
      </c>
      <c r="J1973" s="14" t="s">
        <v>48</v>
      </c>
      <c r="K1973" s="14" t="s">
        <v>28</v>
      </c>
      <c r="L1973" s="14" t="s">
        <v>49</v>
      </c>
      <c r="M1973" s="14" t="s">
        <v>45</v>
      </c>
      <c r="N1973" s="17">
        <v>105963</v>
      </c>
      <c r="O1973" s="17">
        <v>21133</v>
      </c>
      <c r="P1973" s="18">
        <v>88</v>
      </c>
      <c r="Q1973" s="15">
        <v>10</v>
      </c>
      <c r="R1973" s="19">
        <v>11</v>
      </c>
      <c r="S1973" s="19">
        <v>3</v>
      </c>
      <c r="T1973" s="15">
        <v>25</v>
      </c>
      <c r="U1973" s="19">
        <v>92</v>
      </c>
      <c r="V1973" s="14" t="s">
        <v>31</v>
      </c>
      <c r="W1973" s="14"/>
      <c r="X1973" s="14">
        <f>IF(V1973="Yes",1,0)</f>
        <v>0</v>
      </c>
      <c r="Y1973" s="14">
        <f>IF(H1973="Active",0,1)</f>
        <v>0</v>
      </c>
    </row>
    <row r="1974" spans="1:25" ht="18" customHeight="1" x14ac:dyDescent="0.35">
      <c r="A1974" s="8" t="s">
        <v>1627</v>
      </c>
      <c r="B1974" s="8" t="s">
        <v>207</v>
      </c>
      <c r="C1974" s="8" t="s">
        <v>25</v>
      </c>
      <c r="D1974" s="9">
        <v>45</v>
      </c>
      <c r="E1974" s="8" t="s">
        <v>109</v>
      </c>
      <c r="F1974" s="8" t="s">
        <v>53</v>
      </c>
      <c r="G1974" s="10">
        <v>45299</v>
      </c>
      <c r="H1974" s="8" t="s">
        <v>26</v>
      </c>
      <c r="I1974" s="8" t="s">
        <v>2267</v>
      </c>
      <c r="J1974" s="8" t="s">
        <v>2269</v>
      </c>
      <c r="K1974" s="8" t="s">
        <v>2271</v>
      </c>
      <c r="L1974" s="8" t="s">
        <v>49</v>
      </c>
      <c r="M1974" s="8" t="s">
        <v>30</v>
      </c>
      <c r="N1974" s="11">
        <v>249873</v>
      </c>
      <c r="O1974" s="11">
        <v>15701</v>
      </c>
      <c r="P1974" s="12">
        <v>86.8</v>
      </c>
      <c r="Q1974" s="9">
        <v>3</v>
      </c>
      <c r="R1974" s="13">
        <v>30</v>
      </c>
      <c r="S1974" s="13">
        <v>2</v>
      </c>
      <c r="T1974" s="9">
        <v>2</v>
      </c>
      <c r="U1974" s="13">
        <v>71</v>
      </c>
      <c r="V1974" s="8" t="s">
        <v>31</v>
      </c>
      <c r="W1974" s="8"/>
      <c r="X1974" s="22">
        <f>IF(V1974="Yes",1,0)</f>
        <v>0</v>
      </c>
      <c r="Y1974" s="22">
        <f>IF(H1974="Active",0,1)</f>
        <v>0</v>
      </c>
    </row>
    <row r="1975" spans="1:25" ht="18" customHeight="1" x14ac:dyDescent="0.35">
      <c r="A1975" s="8" t="s">
        <v>1813</v>
      </c>
      <c r="B1975" s="8" t="s">
        <v>169</v>
      </c>
      <c r="C1975" s="8" t="s">
        <v>25</v>
      </c>
      <c r="D1975" s="9">
        <v>45</v>
      </c>
      <c r="E1975" s="8" t="s">
        <v>109</v>
      </c>
      <c r="F1975" s="8" t="s">
        <v>35</v>
      </c>
      <c r="G1975" s="10">
        <v>45299</v>
      </c>
      <c r="H1975" s="8" t="s">
        <v>26</v>
      </c>
      <c r="I1975" s="8" t="s">
        <v>27</v>
      </c>
      <c r="J1975" s="8" t="s">
        <v>2269</v>
      </c>
      <c r="K1975" s="8" t="s">
        <v>55</v>
      </c>
      <c r="L1975" s="8" t="s">
        <v>44</v>
      </c>
      <c r="M1975" s="8" t="s">
        <v>45</v>
      </c>
      <c r="N1975" s="11">
        <v>44030</v>
      </c>
      <c r="O1975" s="11">
        <v>29534</v>
      </c>
      <c r="P1975" s="12">
        <v>84.3</v>
      </c>
      <c r="Q1975" s="9">
        <v>5</v>
      </c>
      <c r="R1975" s="13">
        <v>6</v>
      </c>
      <c r="S1975" s="13">
        <v>4</v>
      </c>
      <c r="T1975" s="9">
        <v>14</v>
      </c>
      <c r="U1975" s="13">
        <v>70</v>
      </c>
      <c r="V1975" s="8" t="s">
        <v>31</v>
      </c>
      <c r="W1975" s="8"/>
      <c r="X1975" s="22">
        <f>IF(V1975="Yes",1,0)</f>
        <v>0</v>
      </c>
      <c r="Y1975" s="22">
        <f>IF(H1975="Active",0,1)</f>
        <v>0</v>
      </c>
    </row>
    <row r="1976" spans="1:25" ht="18" customHeight="1" x14ac:dyDescent="0.35">
      <c r="A1976" s="8" t="s">
        <v>1941</v>
      </c>
      <c r="B1976" s="8" t="s">
        <v>540</v>
      </c>
      <c r="C1976" s="8" t="s">
        <v>34</v>
      </c>
      <c r="D1976" s="9">
        <v>51</v>
      </c>
      <c r="E1976" s="8" t="s">
        <v>93</v>
      </c>
      <c r="F1976" s="8" t="s">
        <v>76</v>
      </c>
      <c r="G1976" s="10">
        <v>45299</v>
      </c>
      <c r="H1976" s="8" t="s">
        <v>26</v>
      </c>
      <c r="I1976" s="8" t="s">
        <v>2267</v>
      </c>
      <c r="J1976" s="8" t="s">
        <v>48</v>
      </c>
      <c r="K1976" s="8" t="s">
        <v>37</v>
      </c>
      <c r="L1976" s="8" t="s">
        <v>49</v>
      </c>
      <c r="M1976" s="8" t="s">
        <v>39</v>
      </c>
      <c r="N1976" s="11">
        <v>39846</v>
      </c>
      <c r="O1976" s="11">
        <v>40691</v>
      </c>
      <c r="P1976" s="12">
        <v>89.3</v>
      </c>
      <c r="Q1976" s="9">
        <v>5</v>
      </c>
      <c r="R1976" s="13">
        <v>25</v>
      </c>
      <c r="S1976" s="13">
        <v>2</v>
      </c>
      <c r="T1976" s="9">
        <v>23</v>
      </c>
      <c r="U1976" s="13">
        <v>80</v>
      </c>
      <c r="V1976" s="8" t="s">
        <v>31</v>
      </c>
      <c r="W1976" s="8"/>
      <c r="X1976" s="22">
        <f>IF(V1976="Yes",1,0)</f>
        <v>0</v>
      </c>
      <c r="Y1976" s="22">
        <f>IF(H1976="Active",0,1)</f>
        <v>0</v>
      </c>
    </row>
    <row r="1977" spans="1:25" ht="18" customHeight="1" x14ac:dyDescent="0.35">
      <c r="A1977" s="14" t="s">
        <v>139</v>
      </c>
      <c r="B1977" s="14" t="s">
        <v>140</v>
      </c>
      <c r="C1977" s="14" t="s">
        <v>25</v>
      </c>
      <c r="D1977" s="15">
        <v>30</v>
      </c>
      <c r="E1977" s="14" t="s">
        <v>2303</v>
      </c>
      <c r="F1977" s="14" t="s">
        <v>53</v>
      </c>
      <c r="G1977" s="16">
        <v>45298</v>
      </c>
      <c r="H1977" s="14" t="s">
        <v>26</v>
      </c>
      <c r="I1977" s="14" t="s">
        <v>36</v>
      </c>
      <c r="J1977" s="14" t="s">
        <v>2270</v>
      </c>
      <c r="K1977" s="14" t="s">
        <v>37</v>
      </c>
      <c r="L1977" s="14" t="s">
        <v>116</v>
      </c>
      <c r="M1977" s="14" t="s">
        <v>30</v>
      </c>
      <c r="N1977" s="17">
        <v>147081</v>
      </c>
      <c r="O1977" s="17">
        <v>38162</v>
      </c>
      <c r="P1977" s="18">
        <v>95</v>
      </c>
      <c r="Q1977" s="15">
        <v>7</v>
      </c>
      <c r="R1977" s="19">
        <v>9</v>
      </c>
      <c r="S1977" s="19">
        <v>4</v>
      </c>
      <c r="T1977" s="15">
        <v>21</v>
      </c>
      <c r="U1977" s="19">
        <v>96</v>
      </c>
      <c r="V1977" s="14" t="s">
        <v>31</v>
      </c>
      <c r="W1977" s="14"/>
      <c r="X1977" s="14">
        <f>IF(V1977="Yes",1,0)</f>
        <v>0</v>
      </c>
      <c r="Y1977" s="14">
        <f>IF(H1977="Active",0,1)</f>
        <v>0</v>
      </c>
    </row>
    <row r="1978" spans="1:25" ht="18" customHeight="1" x14ac:dyDescent="0.35">
      <c r="A1978" s="8" t="s">
        <v>410</v>
      </c>
      <c r="B1978" s="8" t="s">
        <v>64</v>
      </c>
      <c r="C1978" s="8" t="s">
        <v>34</v>
      </c>
      <c r="D1978" s="9">
        <v>22</v>
      </c>
      <c r="E1978" s="8" t="s">
        <v>86</v>
      </c>
      <c r="F1978" s="8" t="s">
        <v>76</v>
      </c>
      <c r="G1978" s="10">
        <v>45298</v>
      </c>
      <c r="H1978" s="8" t="s">
        <v>26</v>
      </c>
      <c r="I1978" s="8" t="s">
        <v>2267</v>
      </c>
      <c r="J1978" s="8" t="s">
        <v>80</v>
      </c>
      <c r="K1978" s="8" t="s">
        <v>73</v>
      </c>
      <c r="L1978" s="8" t="s">
        <v>44</v>
      </c>
      <c r="M1978" s="8" t="s">
        <v>39</v>
      </c>
      <c r="N1978" s="11">
        <v>214667</v>
      </c>
      <c r="O1978" s="11">
        <v>14566</v>
      </c>
      <c r="P1978" s="12">
        <v>88.9</v>
      </c>
      <c r="Q1978" s="9">
        <v>0</v>
      </c>
      <c r="R1978" s="13">
        <v>26</v>
      </c>
      <c r="S1978" s="13">
        <v>5</v>
      </c>
      <c r="T1978" s="9">
        <v>34</v>
      </c>
      <c r="U1978" s="13">
        <v>92</v>
      </c>
      <c r="V1978" s="8" t="s">
        <v>31</v>
      </c>
      <c r="W1978" s="8"/>
      <c r="X1978" s="22">
        <f>IF(V1978="Yes",1,0)</f>
        <v>0</v>
      </c>
      <c r="Y1978" s="22">
        <f>IF(H1978="Active",0,1)</f>
        <v>0</v>
      </c>
    </row>
    <row r="1979" spans="1:25" ht="18" customHeight="1" x14ac:dyDescent="0.35">
      <c r="A1979" s="14" t="s">
        <v>1072</v>
      </c>
      <c r="B1979" s="14" t="s">
        <v>399</v>
      </c>
      <c r="C1979" s="14" t="s">
        <v>34</v>
      </c>
      <c r="D1979" s="15">
        <v>22</v>
      </c>
      <c r="E1979" s="14" t="s">
        <v>2303</v>
      </c>
      <c r="F1979" s="14" t="s">
        <v>53</v>
      </c>
      <c r="G1979" s="16">
        <v>45298</v>
      </c>
      <c r="H1979" s="14" t="s">
        <v>26</v>
      </c>
      <c r="I1979" s="14" t="s">
        <v>36</v>
      </c>
      <c r="J1979" s="14" t="s">
        <v>2268</v>
      </c>
      <c r="K1979" s="14" t="s">
        <v>55</v>
      </c>
      <c r="L1979" s="14" t="s">
        <v>29</v>
      </c>
      <c r="M1979" s="14" t="s">
        <v>60</v>
      </c>
      <c r="N1979" s="17">
        <v>199528</v>
      </c>
      <c r="O1979" s="17">
        <v>39986</v>
      </c>
      <c r="P1979" s="18">
        <v>93</v>
      </c>
      <c r="Q1979" s="15">
        <v>4</v>
      </c>
      <c r="R1979" s="19">
        <v>6</v>
      </c>
      <c r="S1979" s="19">
        <v>1</v>
      </c>
      <c r="T1979" s="15">
        <v>23</v>
      </c>
      <c r="U1979" s="19">
        <v>78</v>
      </c>
      <c r="V1979" s="14" t="s">
        <v>31</v>
      </c>
      <c r="W1979" s="14"/>
      <c r="X1979" s="14">
        <f>IF(V1979="Yes",1,0)</f>
        <v>0</v>
      </c>
      <c r="Y1979" s="14">
        <f>IF(H1979="Active",0,1)</f>
        <v>0</v>
      </c>
    </row>
    <row r="1980" spans="1:25" ht="18" customHeight="1" x14ac:dyDescent="0.35">
      <c r="A1980" s="8" t="s">
        <v>450</v>
      </c>
      <c r="B1980" s="8" t="s">
        <v>362</v>
      </c>
      <c r="C1980" s="8" t="s">
        <v>25</v>
      </c>
      <c r="D1980" s="9">
        <v>43</v>
      </c>
      <c r="E1980" s="8" t="s">
        <v>63</v>
      </c>
      <c r="F1980" s="8" t="s">
        <v>35</v>
      </c>
      <c r="G1980" s="10">
        <v>45297</v>
      </c>
      <c r="H1980" s="8" t="s">
        <v>26</v>
      </c>
      <c r="I1980" s="8" t="s">
        <v>27</v>
      </c>
      <c r="J1980" s="8" t="s">
        <v>2270</v>
      </c>
      <c r="K1980" s="8" t="s">
        <v>73</v>
      </c>
      <c r="L1980" s="8" t="s">
        <v>38</v>
      </c>
      <c r="M1980" s="8" t="s">
        <v>60</v>
      </c>
      <c r="N1980" s="11">
        <v>142417</v>
      </c>
      <c r="O1980" s="11">
        <v>12071</v>
      </c>
      <c r="P1980" s="12">
        <v>86.9</v>
      </c>
      <c r="Q1980" s="9">
        <v>10</v>
      </c>
      <c r="R1980" s="13">
        <v>17</v>
      </c>
      <c r="S1980" s="13">
        <v>5</v>
      </c>
      <c r="T1980" s="9">
        <v>25</v>
      </c>
      <c r="U1980" s="13">
        <v>84</v>
      </c>
      <c r="V1980" s="8" t="s">
        <v>69</v>
      </c>
      <c r="W1980" s="8"/>
      <c r="X1980" s="22">
        <f>IF(V1980="Yes",1,0)</f>
        <v>1</v>
      </c>
      <c r="Y1980" s="22">
        <f>IF(H1980="Active",0,1)</f>
        <v>0</v>
      </c>
    </row>
    <row r="1981" spans="1:25" ht="18" customHeight="1" x14ac:dyDescent="0.35">
      <c r="A1981" s="14" t="s">
        <v>825</v>
      </c>
      <c r="B1981" s="14" t="s">
        <v>339</v>
      </c>
      <c r="C1981" s="14" t="s">
        <v>34</v>
      </c>
      <c r="D1981" s="15">
        <v>27</v>
      </c>
      <c r="E1981" s="14" t="s">
        <v>52</v>
      </c>
      <c r="F1981" s="14" t="s">
        <v>35</v>
      </c>
      <c r="G1981" s="16">
        <v>45297</v>
      </c>
      <c r="H1981" s="14" t="s">
        <v>26</v>
      </c>
      <c r="I1981" s="14" t="s">
        <v>2267</v>
      </c>
      <c r="J1981" s="14" t="s">
        <v>2268</v>
      </c>
      <c r="K1981" s="14" t="s">
        <v>2271</v>
      </c>
      <c r="L1981" s="14" t="s">
        <v>44</v>
      </c>
      <c r="M1981" s="14" t="s">
        <v>30</v>
      </c>
      <c r="N1981" s="17">
        <v>136286</v>
      </c>
      <c r="O1981" s="17">
        <v>40991</v>
      </c>
      <c r="P1981" s="18">
        <v>98.7</v>
      </c>
      <c r="Q1981" s="15">
        <v>3</v>
      </c>
      <c r="R1981" s="19">
        <v>29</v>
      </c>
      <c r="S1981" s="19">
        <v>1</v>
      </c>
      <c r="T1981" s="15">
        <v>6</v>
      </c>
      <c r="U1981" s="19">
        <v>83</v>
      </c>
      <c r="V1981" s="14" t="s">
        <v>31</v>
      </c>
      <c r="W1981" s="14"/>
      <c r="X1981" s="14">
        <f>IF(V1981="Yes",1,0)</f>
        <v>0</v>
      </c>
      <c r="Y1981" s="14">
        <f>IF(H1981="Active",0,1)</f>
        <v>0</v>
      </c>
    </row>
    <row r="1982" spans="1:25" ht="18" customHeight="1" x14ac:dyDescent="0.35">
      <c r="A1982" s="14" t="s">
        <v>1150</v>
      </c>
      <c r="B1982" s="14" t="s">
        <v>548</v>
      </c>
      <c r="C1982" s="14" t="s">
        <v>25</v>
      </c>
      <c r="D1982" s="15">
        <v>45</v>
      </c>
      <c r="E1982" s="14" t="s">
        <v>2304</v>
      </c>
      <c r="F1982" s="14" t="s">
        <v>53</v>
      </c>
      <c r="G1982" s="16">
        <v>45297</v>
      </c>
      <c r="H1982" s="14" t="s">
        <v>26</v>
      </c>
      <c r="I1982" s="14" t="s">
        <v>27</v>
      </c>
      <c r="J1982" s="14" t="s">
        <v>80</v>
      </c>
      <c r="K1982" s="14" t="s">
        <v>28</v>
      </c>
      <c r="L1982" s="14" t="s">
        <v>44</v>
      </c>
      <c r="M1982" s="14" t="s">
        <v>60</v>
      </c>
      <c r="N1982" s="17">
        <v>42305</v>
      </c>
      <c r="O1982" s="17">
        <v>22823</v>
      </c>
      <c r="P1982" s="18">
        <v>82.7</v>
      </c>
      <c r="Q1982" s="15">
        <v>0</v>
      </c>
      <c r="R1982" s="19">
        <v>20</v>
      </c>
      <c r="S1982" s="19">
        <v>5</v>
      </c>
      <c r="T1982" s="15">
        <v>7</v>
      </c>
      <c r="U1982" s="19">
        <v>75</v>
      </c>
      <c r="V1982" s="14" t="s">
        <v>31</v>
      </c>
      <c r="W1982" s="14"/>
      <c r="X1982" s="14">
        <f>IF(V1982="Yes",1,0)</f>
        <v>0</v>
      </c>
      <c r="Y1982" s="14">
        <f>IF(H1982="Active",0,1)</f>
        <v>0</v>
      </c>
    </row>
    <row r="1983" spans="1:25" ht="18" customHeight="1" x14ac:dyDescent="0.35">
      <c r="A1983" s="14" t="s">
        <v>1520</v>
      </c>
      <c r="B1983" s="14" t="s">
        <v>974</v>
      </c>
      <c r="C1983" s="14" t="s">
        <v>34</v>
      </c>
      <c r="D1983" s="15">
        <v>28</v>
      </c>
      <c r="E1983" s="14" t="s">
        <v>93</v>
      </c>
      <c r="F1983" s="14" t="s">
        <v>35</v>
      </c>
      <c r="G1983" s="16">
        <v>45297</v>
      </c>
      <c r="H1983" s="14" t="s">
        <v>26</v>
      </c>
      <c r="I1983" s="14" t="s">
        <v>2267</v>
      </c>
      <c r="J1983" s="14" t="s">
        <v>80</v>
      </c>
      <c r="K1983" s="14" t="s">
        <v>73</v>
      </c>
      <c r="L1983" s="14" t="s">
        <v>56</v>
      </c>
      <c r="M1983" s="14" t="s">
        <v>64</v>
      </c>
      <c r="N1983" s="17">
        <v>192860</v>
      </c>
      <c r="O1983" s="17">
        <v>14696</v>
      </c>
      <c r="P1983" s="18">
        <v>88</v>
      </c>
      <c r="Q1983" s="15">
        <v>4</v>
      </c>
      <c r="R1983" s="19">
        <v>29</v>
      </c>
      <c r="S1983" s="19">
        <v>3</v>
      </c>
      <c r="T1983" s="15">
        <v>19</v>
      </c>
      <c r="U1983" s="19">
        <v>88</v>
      </c>
      <c r="V1983" s="14" t="s">
        <v>31</v>
      </c>
      <c r="W1983" s="14"/>
      <c r="X1983" s="14">
        <f>IF(V1983="Yes",1,0)</f>
        <v>0</v>
      </c>
      <c r="Y1983" s="14">
        <f>IF(H1983="Active",0,1)</f>
        <v>0</v>
      </c>
    </row>
    <row r="1984" spans="1:25" ht="18" customHeight="1" x14ac:dyDescent="0.35">
      <c r="A1984" s="14" t="s">
        <v>253</v>
      </c>
      <c r="B1984" s="14" t="s">
        <v>254</v>
      </c>
      <c r="C1984" s="14" t="s">
        <v>34</v>
      </c>
      <c r="D1984" s="15">
        <v>53</v>
      </c>
      <c r="E1984" s="14" t="s">
        <v>2303</v>
      </c>
      <c r="F1984" s="14" t="s">
        <v>12</v>
      </c>
      <c r="G1984" s="16">
        <v>45296</v>
      </c>
      <c r="H1984" s="14" t="s">
        <v>26</v>
      </c>
      <c r="I1984" s="14" t="s">
        <v>36</v>
      </c>
      <c r="J1984" s="14" t="s">
        <v>80</v>
      </c>
      <c r="K1984" s="14" t="s">
        <v>73</v>
      </c>
      <c r="L1984" s="14" t="s">
        <v>56</v>
      </c>
      <c r="M1984" s="14" t="s">
        <v>45</v>
      </c>
      <c r="N1984" s="17">
        <v>42159</v>
      </c>
      <c r="O1984" s="17">
        <v>21179</v>
      </c>
      <c r="P1984" s="18">
        <v>91.3</v>
      </c>
      <c r="Q1984" s="15">
        <v>6</v>
      </c>
      <c r="R1984" s="19">
        <v>3</v>
      </c>
      <c r="S1984" s="19">
        <v>4</v>
      </c>
      <c r="T1984" s="15">
        <v>30</v>
      </c>
      <c r="U1984" s="19">
        <v>75</v>
      </c>
      <c r="V1984" s="14" t="s">
        <v>31</v>
      </c>
      <c r="W1984" s="14"/>
      <c r="X1984" s="14">
        <f>IF(V1984="Yes",1,0)</f>
        <v>0</v>
      </c>
      <c r="Y1984" s="14">
        <f>IF(H1984="Active",0,1)</f>
        <v>0</v>
      </c>
    </row>
    <row r="1985" spans="1:25" ht="18" customHeight="1" x14ac:dyDescent="0.35">
      <c r="A1985" s="8" t="s">
        <v>761</v>
      </c>
      <c r="B1985" s="8" t="s">
        <v>232</v>
      </c>
      <c r="C1985" s="8" t="s">
        <v>25</v>
      </c>
      <c r="D1985" s="9">
        <v>22</v>
      </c>
      <c r="E1985" s="8" t="s">
        <v>86</v>
      </c>
      <c r="F1985" s="8" t="s">
        <v>72</v>
      </c>
      <c r="G1985" s="10">
        <v>45296</v>
      </c>
      <c r="H1985" s="8" t="s">
        <v>26</v>
      </c>
      <c r="I1985" s="8" t="s">
        <v>2267</v>
      </c>
      <c r="J1985" s="8" t="s">
        <v>2269</v>
      </c>
      <c r="K1985" s="8" t="s">
        <v>73</v>
      </c>
      <c r="L1985" s="8" t="s">
        <v>68</v>
      </c>
      <c r="M1985" s="8" t="s">
        <v>45</v>
      </c>
      <c r="N1985" s="11">
        <v>59323</v>
      </c>
      <c r="O1985" s="11">
        <v>43982</v>
      </c>
      <c r="P1985" s="12">
        <v>97.9</v>
      </c>
      <c r="Q1985" s="9">
        <v>10</v>
      </c>
      <c r="R1985" s="13">
        <v>20</v>
      </c>
      <c r="S1985" s="13">
        <v>1</v>
      </c>
      <c r="T1985" s="9">
        <v>8</v>
      </c>
      <c r="U1985" s="13">
        <v>86</v>
      </c>
      <c r="V1985" s="8" t="s">
        <v>31</v>
      </c>
      <c r="W1985" s="8"/>
      <c r="X1985" s="22">
        <f>IF(V1985="Yes",1,0)</f>
        <v>0</v>
      </c>
      <c r="Y1985" s="22">
        <f>IF(H1985="Active",0,1)</f>
        <v>0</v>
      </c>
    </row>
    <row r="1986" spans="1:25" ht="18" customHeight="1" x14ac:dyDescent="0.35">
      <c r="A1986" s="8" t="s">
        <v>922</v>
      </c>
      <c r="B1986" s="8" t="s">
        <v>792</v>
      </c>
      <c r="C1986" s="8" t="s">
        <v>25</v>
      </c>
      <c r="D1986" s="9">
        <v>22</v>
      </c>
      <c r="E1986" s="8" t="s">
        <v>86</v>
      </c>
      <c r="F1986" s="8" t="s">
        <v>90</v>
      </c>
      <c r="G1986" s="10">
        <v>45296</v>
      </c>
      <c r="H1986" s="8" t="s">
        <v>26</v>
      </c>
      <c r="I1986" s="8" t="s">
        <v>2267</v>
      </c>
      <c r="J1986" s="8" t="s">
        <v>2270</v>
      </c>
      <c r="K1986" s="8" t="s">
        <v>28</v>
      </c>
      <c r="L1986" s="8" t="s">
        <v>87</v>
      </c>
      <c r="M1986" s="8" t="s">
        <v>39</v>
      </c>
      <c r="N1986" s="11">
        <v>68979</v>
      </c>
      <c r="O1986" s="11">
        <v>28443</v>
      </c>
      <c r="P1986" s="12">
        <v>92.4</v>
      </c>
      <c r="Q1986" s="9">
        <v>9</v>
      </c>
      <c r="R1986" s="13">
        <v>29</v>
      </c>
      <c r="S1986" s="13">
        <v>3</v>
      </c>
      <c r="T1986" s="9">
        <v>20</v>
      </c>
      <c r="U1986" s="13">
        <v>71</v>
      </c>
      <c r="V1986" s="8" t="s">
        <v>31</v>
      </c>
      <c r="W1986" s="8"/>
      <c r="X1986" s="22">
        <f>IF(V1986="Yes",1,0)</f>
        <v>0</v>
      </c>
      <c r="Y1986" s="22">
        <f>IF(H1986="Active",0,1)</f>
        <v>0</v>
      </c>
    </row>
    <row r="1987" spans="1:25" ht="18" customHeight="1" x14ac:dyDescent="0.35">
      <c r="A1987" s="14" t="s">
        <v>1816</v>
      </c>
      <c r="B1987" s="14" t="s">
        <v>167</v>
      </c>
      <c r="C1987" s="14" t="s">
        <v>25</v>
      </c>
      <c r="D1987" s="15">
        <v>52</v>
      </c>
      <c r="E1987" s="14" t="s">
        <v>63</v>
      </c>
      <c r="F1987" s="14" t="s">
        <v>43</v>
      </c>
      <c r="G1987" s="16">
        <v>45296</v>
      </c>
      <c r="H1987" s="14" t="s">
        <v>26</v>
      </c>
      <c r="I1987" s="14" t="s">
        <v>36</v>
      </c>
      <c r="J1987" s="14" t="s">
        <v>2268</v>
      </c>
      <c r="K1987" s="14" t="s">
        <v>2271</v>
      </c>
      <c r="L1987" s="14" t="s">
        <v>68</v>
      </c>
      <c r="M1987" s="14" t="s">
        <v>39</v>
      </c>
      <c r="N1987" s="17">
        <v>215639</v>
      </c>
      <c r="O1987" s="17">
        <v>24533</v>
      </c>
      <c r="P1987" s="18">
        <v>95.3</v>
      </c>
      <c r="Q1987" s="15">
        <v>1</v>
      </c>
      <c r="R1987" s="19">
        <v>16</v>
      </c>
      <c r="S1987" s="19">
        <v>5</v>
      </c>
      <c r="T1987" s="15">
        <v>5</v>
      </c>
      <c r="U1987" s="19">
        <v>70</v>
      </c>
      <c r="V1987" s="14" t="s">
        <v>31</v>
      </c>
      <c r="W1987" s="14"/>
      <c r="X1987" s="14">
        <f>IF(V1987="Yes",1,0)</f>
        <v>0</v>
      </c>
      <c r="Y1987" s="14">
        <f>IF(H1987="Active",0,1)</f>
        <v>0</v>
      </c>
    </row>
    <row r="1988" spans="1:25" ht="18" customHeight="1" x14ac:dyDescent="0.35">
      <c r="A1988" s="14" t="s">
        <v>2020</v>
      </c>
      <c r="B1988" s="14" t="s">
        <v>186</v>
      </c>
      <c r="C1988" s="14" t="s">
        <v>34</v>
      </c>
      <c r="D1988" s="15">
        <v>22</v>
      </c>
      <c r="E1988" s="14" t="s">
        <v>2304</v>
      </c>
      <c r="F1988" s="14" t="s">
        <v>90</v>
      </c>
      <c r="G1988" s="16">
        <v>45296</v>
      </c>
      <c r="H1988" s="14" t="s">
        <v>26</v>
      </c>
      <c r="I1988" s="14" t="s">
        <v>27</v>
      </c>
      <c r="J1988" s="14" t="s">
        <v>80</v>
      </c>
      <c r="K1988" s="14" t="s">
        <v>55</v>
      </c>
      <c r="L1988" s="14" t="s">
        <v>29</v>
      </c>
      <c r="M1988" s="14" t="s">
        <v>45</v>
      </c>
      <c r="N1988" s="17">
        <v>200953</v>
      </c>
      <c r="O1988" s="17">
        <v>16589</v>
      </c>
      <c r="P1988" s="18">
        <v>85.1</v>
      </c>
      <c r="Q1988" s="15">
        <v>9</v>
      </c>
      <c r="R1988" s="19">
        <v>28</v>
      </c>
      <c r="S1988" s="19">
        <v>4</v>
      </c>
      <c r="T1988" s="15">
        <v>15</v>
      </c>
      <c r="U1988" s="19">
        <v>61</v>
      </c>
      <c r="V1988" s="14" t="s">
        <v>31</v>
      </c>
      <c r="W1988" s="14"/>
      <c r="X1988" s="14">
        <f>IF(V1988="Yes",1,0)</f>
        <v>0</v>
      </c>
      <c r="Y1988" s="14">
        <f>IF(H1988="Active",0,1)</f>
        <v>0</v>
      </c>
    </row>
    <row r="1989" spans="1:25" ht="18" customHeight="1" x14ac:dyDescent="0.35">
      <c r="A1989" s="8" t="s">
        <v>2177</v>
      </c>
      <c r="B1989" s="8" t="s">
        <v>520</v>
      </c>
      <c r="C1989" s="8" t="s">
        <v>25</v>
      </c>
      <c r="D1989" s="9">
        <v>22</v>
      </c>
      <c r="E1989" s="8" t="s">
        <v>42</v>
      </c>
      <c r="F1989" s="8" t="s">
        <v>72</v>
      </c>
      <c r="G1989" s="10">
        <v>45296</v>
      </c>
      <c r="H1989" s="8" t="s">
        <v>26</v>
      </c>
      <c r="I1989" s="8" t="s">
        <v>36</v>
      </c>
      <c r="J1989" s="8" t="s">
        <v>2268</v>
      </c>
      <c r="K1989" s="8" t="s">
        <v>55</v>
      </c>
      <c r="L1989" s="8" t="s">
        <v>29</v>
      </c>
      <c r="M1989" s="8" t="s">
        <v>64</v>
      </c>
      <c r="N1989" s="11">
        <v>126538</v>
      </c>
      <c r="O1989" s="11">
        <v>26661</v>
      </c>
      <c r="P1989" s="12">
        <v>98.5</v>
      </c>
      <c r="Q1989" s="9">
        <v>9</v>
      </c>
      <c r="R1989" s="13">
        <v>30</v>
      </c>
      <c r="S1989" s="13">
        <v>4</v>
      </c>
      <c r="T1989" s="9">
        <v>26</v>
      </c>
      <c r="U1989" s="13">
        <v>61</v>
      </c>
      <c r="V1989" s="8" t="s">
        <v>31</v>
      </c>
      <c r="W1989" s="8"/>
      <c r="X1989" s="22">
        <f>IF(V1989="Yes",1,0)</f>
        <v>0</v>
      </c>
      <c r="Y1989" s="22">
        <f>IF(H1989="Active",0,1)</f>
        <v>0</v>
      </c>
    </row>
    <row r="1990" spans="1:25" ht="18" customHeight="1" x14ac:dyDescent="0.35">
      <c r="A1990" s="8" t="s">
        <v>1103</v>
      </c>
      <c r="B1990" s="8" t="s">
        <v>339</v>
      </c>
      <c r="C1990" s="8" t="s">
        <v>25</v>
      </c>
      <c r="D1990" s="9">
        <v>40</v>
      </c>
      <c r="E1990" s="8" t="s">
        <v>63</v>
      </c>
      <c r="F1990" s="8" t="s">
        <v>35</v>
      </c>
      <c r="G1990" s="10">
        <v>45295</v>
      </c>
      <c r="H1990" s="8" t="s">
        <v>26</v>
      </c>
      <c r="I1990" s="8" t="s">
        <v>2267</v>
      </c>
      <c r="J1990" s="8" t="s">
        <v>48</v>
      </c>
      <c r="K1990" s="8" t="s">
        <v>28</v>
      </c>
      <c r="L1990" s="8" t="s">
        <v>29</v>
      </c>
      <c r="M1990" s="8" t="s">
        <v>64</v>
      </c>
      <c r="N1990" s="11">
        <v>203145</v>
      </c>
      <c r="O1990" s="11">
        <v>10013</v>
      </c>
      <c r="P1990" s="12">
        <v>89.4</v>
      </c>
      <c r="Q1990" s="9">
        <v>0</v>
      </c>
      <c r="R1990" s="13">
        <v>22</v>
      </c>
      <c r="S1990" s="13">
        <v>3</v>
      </c>
      <c r="T1990" s="9">
        <v>35</v>
      </c>
      <c r="U1990" s="13">
        <v>87</v>
      </c>
      <c r="V1990" s="8" t="s">
        <v>31</v>
      </c>
      <c r="W1990" s="8"/>
      <c r="X1990" s="22">
        <f>IF(V1990="Yes",1,0)</f>
        <v>0</v>
      </c>
      <c r="Y1990" s="22">
        <f>IF(H1990="Active",0,1)</f>
        <v>0</v>
      </c>
    </row>
    <row r="1991" spans="1:25" ht="18" customHeight="1" x14ac:dyDescent="0.35">
      <c r="A1991" s="14" t="s">
        <v>1518</v>
      </c>
      <c r="B1991" s="14" t="s">
        <v>41</v>
      </c>
      <c r="C1991" s="14" t="s">
        <v>34</v>
      </c>
      <c r="D1991" s="15">
        <v>26</v>
      </c>
      <c r="E1991" s="14" t="s">
        <v>42</v>
      </c>
      <c r="F1991" s="14" t="s">
        <v>79</v>
      </c>
      <c r="G1991" s="16">
        <v>45295</v>
      </c>
      <c r="H1991" s="14" t="s">
        <v>26</v>
      </c>
      <c r="I1991" s="14" t="s">
        <v>2267</v>
      </c>
      <c r="J1991" s="14" t="s">
        <v>2268</v>
      </c>
      <c r="K1991" s="14" t="s">
        <v>55</v>
      </c>
      <c r="L1991" s="14" t="s">
        <v>87</v>
      </c>
      <c r="M1991" s="14" t="s">
        <v>39</v>
      </c>
      <c r="N1991" s="17">
        <v>37824</v>
      </c>
      <c r="O1991" s="17">
        <v>30605</v>
      </c>
      <c r="P1991" s="18">
        <v>98.8</v>
      </c>
      <c r="Q1991" s="15">
        <v>6</v>
      </c>
      <c r="R1991" s="19">
        <v>15</v>
      </c>
      <c r="S1991" s="19">
        <v>2</v>
      </c>
      <c r="T1991" s="15">
        <v>7</v>
      </c>
      <c r="U1991" s="19">
        <v>90</v>
      </c>
      <c r="V1991" s="14" t="s">
        <v>31</v>
      </c>
      <c r="W1991" s="14"/>
      <c r="X1991" s="14">
        <f>IF(V1991="Yes",1,0)</f>
        <v>0</v>
      </c>
      <c r="Y1991" s="14">
        <f>IF(H1991="Active",0,1)</f>
        <v>0</v>
      </c>
    </row>
    <row r="1992" spans="1:25" ht="18" customHeight="1" x14ac:dyDescent="0.35">
      <c r="A1992" s="8" t="s">
        <v>2257</v>
      </c>
      <c r="B1992" s="8" t="s">
        <v>520</v>
      </c>
      <c r="C1992" s="8" t="s">
        <v>34</v>
      </c>
      <c r="D1992" s="9">
        <v>53</v>
      </c>
      <c r="E1992" s="8" t="s">
        <v>2304</v>
      </c>
      <c r="F1992" s="8" t="s">
        <v>12</v>
      </c>
      <c r="G1992" s="10">
        <v>45295</v>
      </c>
      <c r="H1992" s="8" t="s">
        <v>26</v>
      </c>
      <c r="I1992" s="8" t="s">
        <v>2267</v>
      </c>
      <c r="J1992" s="8" t="s">
        <v>80</v>
      </c>
      <c r="K1992" s="8" t="s">
        <v>2271</v>
      </c>
      <c r="L1992" s="8" t="s">
        <v>68</v>
      </c>
      <c r="M1992" s="8" t="s">
        <v>60</v>
      </c>
      <c r="N1992" s="11">
        <v>98653</v>
      </c>
      <c r="O1992" s="11">
        <v>43135</v>
      </c>
      <c r="P1992" s="12">
        <v>97.1</v>
      </c>
      <c r="Q1992" s="9">
        <v>2</v>
      </c>
      <c r="R1992" s="13">
        <v>6</v>
      </c>
      <c r="S1992" s="13">
        <v>1</v>
      </c>
      <c r="T1992" s="9">
        <v>5</v>
      </c>
      <c r="U1992" s="13">
        <v>80</v>
      </c>
      <c r="V1992" s="8" t="s">
        <v>31</v>
      </c>
      <c r="W1992" s="8"/>
      <c r="X1992" s="22">
        <f>IF(V1992="Yes",1,0)</f>
        <v>0</v>
      </c>
      <c r="Y1992" s="22">
        <f>IF(H1992="Active",0,1)</f>
        <v>0</v>
      </c>
    </row>
    <row r="1993" spans="1:25" ht="18" customHeight="1" x14ac:dyDescent="0.35">
      <c r="A1993" s="14" t="s">
        <v>364</v>
      </c>
      <c r="B1993" s="14" t="s">
        <v>155</v>
      </c>
      <c r="C1993" s="14" t="s">
        <v>25</v>
      </c>
      <c r="D1993" s="15">
        <v>48</v>
      </c>
      <c r="E1993" s="14" t="s">
        <v>2304</v>
      </c>
      <c r="F1993" s="14" t="s">
        <v>12</v>
      </c>
      <c r="G1993" s="16">
        <v>45294</v>
      </c>
      <c r="H1993" s="14" t="s">
        <v>26</v>
      </c>
      <c r="I1993" s="14" t="s">
        <v>36</v>
      </c>
      <c r="J1993" s="14" t="s">
        <v>2268</v>
      </c>
      <c r="K1993" s="14" t="s">
        <v>55</v>
      </c>
      <c r="L1993" s="14" t="s">
        <v>116</v>
      </c>
      <c r="M1993" s="14" t="s">
        <v>30</v>
      </c>
      <c r="N1993" s="17">
        <v>209456</v>
      </c>
      <c r="O1993" s="17">
        <v>37261</v>
      </c>
      <c r="P1993" s="18">
        <v>87.9</v>
      </c>
      <c r="Q1993" s="15">
        <v>6</v>
      </c>
      <c r="R1993" s="19">
        <v>7</v>
      </c>
      <c r="S1993" s="19">
        <v>3</v>
      </c>
      <c r="T1993" s="15">
        <v>21</v>
      </c>
      <c r="U1993" s="19">
        <v>79</v>
      </c>
      <c r="V1993" s="14" t="s">
        <v>31</v>
      </c>
      <c r="W1993" s="14"/>
      <c r="X1993" s="14">
        <f>IF(V1993="Yes",1,0)</f>
        <v>0</v>
      </c>
      <c r="Y1993" s="14">
        <f>IF(H1993="Active",0,1)</f>
        <v>0</v>
      </c>
    </row>
    <row r="1994" spans="1:25" ht="18" customHeight="1" x14ac:dyDescent="0.35">
      <c r="A1994" s="14" t="s">
        <v>1268</v>
      </c>
      <c r="B1994" s="14" t="s">
        <v>220</v>
      </c>
      <c r="C1994" s="14" t="s">
        <v>25</v>
      </c>
      <c r="D1994" s="15">
        <v>26</v>
      </c>
      <c r="E1994" s="14" t="s">
        <v>2303</v>
      </c>
      <c r="F1994" s="14" t="s">
        <v>79</v>
      </c>
      <c r="G1994" s="16">
        <v>45294</v>
      </c>
      <c r="H1994" s="14" t="s">
        <v>26</v>
      </c>
      <c r="I1994" s="14" t="s">
        <v>27</v>
      </c>
      <c r="J1994" s="14" t="s">
        <v>2268</v>
      </c>
      <c r="K1994" s="14" t="s">
        <v>28</v>
      </c>
      <c r="L1994" s="14" t="s">
        <v>29</v>
      </c>
      <c r="M1994" s="14" t="s">
        <v>64</v>
      </c>
      <c r="N1994" s="17">
        <v>40509</v>
      </c>
      <c r="O1994" s="17">
        <v>41600</v>
      </c>
      <c r="P1994" s="18">
        <v>94.3</v>
      </c>
      <c r="Q1994" s="15">
        <v>7</v>
      </c>
      <c r="R1994" s="19">
        <v>0</v>
      </c>
      <c r="S1994" s="19">
        <v>2</v>
      </c>
      <c r="T1994" s="15">
        <v>36</v>
      </c>
      <c r="U1994" s="19">
        <v>70</v>
      </c>
      <c r="V1994" s="14" t="s">
        <v>31</v>
      </c>
      <c r="W1994" s="14"/>
      <c r="X1994" s="14">
        <f>IF(V1994="Yes",1,0)</f>
        <v>0</v>
      </c>
      <c r="Y1994" s="14">
        <f>IF(H1994="Active",0,1)</f>
        <v>0</v>
      </c>
    </row>
    <row r="1995" spans="1:25" ht="18" customHeight="1" x14ac:dyDescent="0.35">
      <c r="A1995" s="8" t="s">
        <v>2159</v>
      </c>
      <c r="B1995" s="8" t="s">
        <v>82</v>
      </c>
      <c r="C1995" s="8" t="s">
        <v>34</v>
      </c>
      <c r="D1995" s="9">
        <v>59</v>
      </c>
      <c r="E1995" s="8" t="s">
        <v>86</v>
      </c>
      <c r="F1995" s="8" t="s">
        <v>90</v>
      </c>
      <c r="G1995" s="10">
        <v>45294</v>
      </c>
      <c r="H1995" s="8" t="s">
        <v>26</v>
      </c>
      <c r="I1995" s="8" t="s">
        <v>27</v>
      </c>
      <c r="J1995" s="8" t="s">
        <v>2270</v>
      </c>
      <c r="K1995" s="8" t="s">
        <v>28</v>
      </c>
      <c r="L1995" s="8" t="s">
        <v>38</v>
      </c>
      <c r="M1995" s="8" t="s">
        <v>60</v>
      </c>
      <c r="N1995" s="11">
        <v>101507</v>
      </c>
      <c r="O1995" s="11">
        <v>47322</v>
      </c>
      <c r="P1995" s="12">
        <v>85.1</v>
      </c>
      <c r="Q1995" s="9">
        <v>10</v>
      </c>
      <c r="R1995" s="13">
        <v>11</v>
      </c>
      <c r="S1995" s="13">
        <v>5</v>
      </c>
      <c r="T1995" s="9">
        <v>22</v>
      </c>
      <c r="U1995" s="13">
        <v>83</v>
      </c>
      <c r="V1995" s="8" t="s">
        <v>31</v>
      </c>
      <c r="W1995" s="8"/>
      <c r="X1995" s="22">
        <f>IF(V1995="Yes",1,0)</f>
        <v>0</v>
      </c>
      <c r="Y1995" s="22">
        <f>IF(H1995="Active",0,1)</f>
        <v>0</v>
      </c>
    </row>
    <row r="1996" spans="1:25" ht="18" customHeight="1" x14ac:dyDescent="0.35">
      <c r="A1996" s="8" t="s">
        <v>371</v>
      </c>
      <c r="B1996" s="8" t="s">
        <v>372</v>
      </c>
      <c r="C1996" s="8" t="s">
        <v>25</v>
      </c>
      <c r="D1996" s="9">
        <v>42</v>
      </c>
      <c r="E1996" s="8" t="s">
        <v>42</v>
      </c>
      <c r="F1996" s="8" t="s">
        <v>72</v>
      </c>
      <c r="G1996" s="10">
        <v>45293</v>
      </c>
      <c r="H1996" s="8" t="s">
        <v>26</v>
      </c>
      <c r="I1996" s="8" t="s">
        <v>36</v>
      </c>
      <c r="J1996" s="8" t="s">
        <v>2270</v>
      </c>
      <c r="K1996" s="8" t="s">
        <v>2271</v>
      </c>
      <c r="L1996" s="8" t="s">
        <v>87</v>
      </c>
      <c r="M1996" s="8" t="s">
        <v>60</v>
      </c>
      <c r="N1996" s="11">
        <v>40050</v>
      </c>
      <c r="O1996" s="11">
        <v>31201</v>
      </c>
      <c r="P1996" s="12">
        <v>92.3</v>
      </c>
      <c r="Q1996" s="9">
        <v>6</v>
      </c>
      <c r="R1996" s="13">
        <v>16</v>
      </c>
      <c r="S1996" s="13">
        <v>4</v>
      </c>
      <c r="T1996" s="9">
        <v>32</v>
      </c>
      <c r="U1996" s="13">
        <v>89</v>
      </c>
      <c r="V1996" s="8" t="s">
        <v>69</v>
      </c>
      <c r="W1996" s="8"/>
      <c r="X1996" s="22">
        <f>IF(V1996="Yes",1,0)</f>
        <v>1</v>
      </c>
      <c r="Y1996" s="22">
        <f>IF(H1996="Active",0,1)</f>
        <v>0</v>
      </c>
    </row>
    <row r="1997" spans="1:25" ht="18" customHeight="1" x14ac:dyDescent="0.35">
      <c r="A1997" s="8" t="s">
        <v>787</v>
      </c>
      <c r="B1997" s="8" t="s">
        <v>191</v>
      </c>
      <c r="C1997" s="8" t="s">
        <v>25</v>
      </c>
      <c r="D1997" s="9">
        <v>28</v>
      </c>
      <c r="E1997" s="8" t="s">
        <v>52</v>
      </c>
      <c r="F1997" s="8" t="s">
        <v>53</v>
      </c>
      <c r="G1997" s="10">
        <v>45293</v>
      </c>
      <c r="H1997" s="8" t="s">
        <v>26</v>
      </c>
      <c r="I1997" s="8" t="s">
        <v>27</v>
      </c>
      <c r="J1997" s="8" t="s">
        <v>48</v>
      </c>
      <c r="K1997" s="8" t="s">
        <v>2271</v>
      </c>
      <c r="L1997" s="8" t="s">
        <v>56</v>
      </c>
      <c r="M1997" s="8" t="s">
        <v>60</v>
      </c>
      <c r="N1997" s="11">
        <v>58938</v>
      </c>
      <c r="O1997" s="11">
        <v>30781</v>
      </c>
      <c r="P1997" s="12">
        <v>90.1</v>
      </c>
      <c r="Q1997" s="9">
        <v>2</v>
      </c>
      <c r="R1997" s="13">
        <v>21</v>
      </c>
      <c r="S1997" s="13">
        <v>4</v>
      </c>
      <c r="T1997" s="9">
        <v>32</v>
      </c>
      <c r="U1997" s="13">
        <v>77</v>
      </c>
      <c r="V1997" s="8" t="s">
        <v>31</v>
      </c>
      <c r="W1997" s="8"/>
      <c r="X1997" s="22">
        <f>IF(V1997="Yes",1,0)</f>
        <v>0</v>
      </c>
      <c r="Y1997" s="22">
        <f>IF(H1997="Active",0,1)</f>
        <v>0</v>
      </c>
    </row>
    <row r="1998" spans="1:25" ht="18" customHeight="1" x14ac:dyDescent="0.35">
      <c r="A1998" s="14" t="s">
        <v>437</v>
      </c>
      <c r="B1998" s="14" t="s">
        <v>222</v>
      </c>
      <c r="C1998" s="14" t="s">
        <v>34</v>
      </c>
      <c r="D1998" s="15">
        <v>23</v>
      </c>
      <c r="E1998" s="14" t="s">
        <v>93</v>
      </c>
      <c r="F1998" s="14" t="s">
        <v>72</v>
      </c>
      <c r="G1998" s="16">
        <v>45292</v>
      </c>
      <c r="H1998" s="14" t="s">
        <v>26</v>
      </c>
      <c r="I1998" s="14" t="s">
        <v>27</v>
      </c>
      <c r="J1998" s="14" t="s">
        <v>2270</v>
      </c>
      <c r="K1998" s="14" t="s">
        <v>37</v>
      </c>
      <c r="L1998" s="14" t="s">
        <v>49</v>
      </c>
      <c r="M1998" s="14" t="s">
        <v>64</v>
      </c>
      <c r="N1998" s="17">
        <v>41380</v>
      </c>
      <c r="O1998" s="17">
        <v>32744</v>
      </c>
      <c r="P1998" s="18">
        <v>81.8</v>
      </c>
      <c r="Q1998" s="15">
        <v>2</v>
      </c>
      <c r="R1998" s="19">
        <v>25</v>
      </c>
      <c r="S1998" s="19">
        <v>2</v>
      </c>
      <c r="T1998" s="15">
        <v>18</v>
      </c>
      <c r="U1998" s="19">
        <v>89</v>
      </c>
      <c r="V1998" s="14" t="s">
        <v>31</v>
      </c>
      <c r="W1998" s="14"/>
      <c r="X1998" s="14">
        <f>IF(V1998="Yes",1,0)</f>
        <v>0</v>
      </c>
      <c r="Y1998" s="14">
        <f>IF(H1998="Active",0,1)</f>
        <v>0</v>
      </c>
    </row>
    <row r="1999" spans="1:25" ht="18" customHeight="1" x14ac:dyDescent="0.35">
      <c r="A1999" s="8" t="s">
        <v>492</v>
      </c>
      <c r="B1999" s="8" t="s">
        <v>189</v>
      </c>
      <c r="C1999" s="8" t="s">
        <v>25</v>
      </c>
      <c r="D1999" s="9">
        <v>37</v>
      </c>
      <c r="E1999" s="8" t="s">
        <v>86</v>
      </c>
      <c r="F1999" s="8" t="s">
        <v>12</v>
      </c>
      <c r="G1999" s="10">
        <v>45292</v>
      </c>
      <c r="H1999" s="8" t="s">
        <v>26</v>
      </c>
      <c r="I1999" s="8" t="s">
        <v>2267</v>
      </c>
      <c r="J1999" s="8" t="s">
        <v>2270</v>
      </c>
      <c r="K1999" s="8" t="s">
        <v>73</v>
      </c>
      <c r="L1999" s="8" t="s">
        <v>87</v>
      </c>
      <c r="M1999" s="8" t="s">
        <v>45</v>
      </c>
      <c r="N1999" s="11">
        <v>150956</v>
      </c>
      <c r="O1999" s="11">
        <v>22317</v>
      </c>
      <c r="P1999" s="12">
        <v>93.4</v>
      </c>
      <c r="Q1999" s="9">
        <v>5</v>
      </c>
      <c r="R1999" s="13">
        <v>12</v>
      </c>
      <c r="S1999" s="13">
        <v>1</v>
      </c>
      <c r="T1999" s="9">
        <v>28</v>
      </c>
      <c r="U1999" s="13">
        <v>62</v>
      </c>
      <c r="V1999" s="8" t="s">
        <v>31</v>
      </c>
      <c r="W1999" s="8"/>
      <c r="X1999" s="22">
        <f>IF(V1999="Yes",1,0)</f>
        <v>0</v>
      </c>
      <c r="Y1999" s="22">
        <f>IF(H1999="Active",0,1)</f>
        <v>0</v>
      </c>
    </row>
    <row r="2000" spans="1:25" ht="18" customHeight="1" x14ac:dyDescent="0.35">
      <c r="A2000" s="14" t="s">
        <v>613</v>
      </c>
      <c r="B2000" s="14" t="s">
        <v>24</v>
      </c>
      <c r="C2000" s="14" t="s">
        <v>25</v>
      </c>
      <c r="D2000" s="15">
        <v>40</v>
      </c>
      <c r="E2000" s="14" t="s">
        <v>86</v>
      </c>
      <c r="F2000" s="14" t="s">
        <v>90</v>
      </c>
      <c r="G2000" s="16">
        <v>45292</v>
      </c>
      <c r="H2000" s="14" t="s">
        <v>26</v>
      </c>
      <c r="I2000" s="14" t="s">
        <v>27</v>
      </c>
      <c r="J2000" s="14" t="s">
        <v>48</v>
      </c>
      <c r="K2000" s="14" t="s">
        <v>73</v>
      </c>
      <c r="L2000" s="14" t="s">
        <v>116</v>
      </c>
      <c r="M2000" s="14" t="s">
        <v>39</v>
      </c>
      <c r="N2000" s="17">
        <v>247565</v>
      </c>
      <c r="O2000" s="17">
        <v>44532</v>
      </c>
      <c r="P2000" s="18">
        <v>81.7</v>
      </c>
      <c r="Q2000" s="15">
        <v>0</v>
      </c>
      <c r="R2000" s="19">
        <v>26</v>
      </c>
      <c r="S2000" s="19">
        <v>1</v>
      </c>
      <c r="T2000" s="15">
        <v>27</v>
      </c>
      <c r="U2000" s="19">
        <v>81</v>
      </c>
      <c r="V2000" s="14" t="s">
        <v>69</v>
      </c>
      <c r="W2000" s="14"/>
      <c r="X2000" s="14">
        <f>IF(V2000="Yes",1,0)</f>
        <v>1</v>
      </c>
      <c r="Y2000" s="14">
        <f>IF(H2000="Active",0,1)</f>
        <v>0</v>
      </c>
    </row>
    <row r="2001" spans="1:25" ht="18" customHeight="1" x14ac:dyDescent="0.35">
      <c r="A2001" s="14" t="s">
        <v>1472</v>
      </c>
      <c r="B2001" s="14" t="s">
        <v>293</v>
      </c>
      <c r="C2001" s="14" t="s">
        <v>34</v>
      </c>
      <c r="D2001" s="15">
        <v>42</v>
      </c>
      <c r="E2001" s="14" t="s">
        <v>86</v>
      </c>
      <c r="F2001" s="14" t="s">
        <v>53</v>
      </c>
      <c r="G2001" s="16">
        <v>45292</v>
      </c>
      <c r="H2001" s="14" t="s">
        <v>26</v>
      </c>
      <c r="I2001" s="14" t="s">
        <v>27</v>
      </c>
      <c r="J2001" s="14" t="s">
        <v>80</v>
      </c>
      <c r="K2001" s="14" t="s">
        <v>28</v>
      </c>
      <c r="L2001" s="14" t="s">
        <v>49</v>
      </c>
      <c r="M2001" s="14" t="s">
        <v>45</v>
      </c>
      <c r="N2001" s="17">
        <v>78079</v>
      </c>
      <c r="O2001" s="17">
        <v>40754</v>
      </c>
      <c r="P2001" s="18">
        <v>88.7</v>
      </c>
      <c r="Q2001" s="15">
        <v>0</v>
      </c>
      <c r="R2001" s="19">
        <v>11</v>
      </c>
      <c r="S2001" s="19">
        <v>4</v>
      </c>
      <c r="T2001" s="15">
        <v>38</v>
      </c>
      <c r="U2001" s="19">
        <v>63</v>
      </c>
      <c r="V2001" s="14" t="s">
        <v>31</v>
      </c>
      <c r="W2001" s="14"/>
      <c r="X2001" s="14">
        <f>IF(V2001="Yes",1,0)</f>
        <v>0</v>
      </c>
      <c r="Y2001" s="14">
        <f>IF(H2001="Active",0,1)</f>
        <v>0</v>
      </c>
    </row>
  </sheetData>
  <pageMargins left="0.75" right="0.75" top="1" bottom="1" header="0.5" footer="0.5"/>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73CD3-A100-4F83-A7E3-C533DD3F3D83}">
  <sheetPr codeName="Sheet2"/>
  <dimension ref="A1:AM203"/>
  <sheetViews>
    <sheetView workbookViewId="0">
      <pane ySplit="2" topLeftCell="A3" activePane="bottomLeft" state="frozen"/>
      <selection pane="bottomLeft" activeCell="H3" sqref="H3:H6"/>
    </sheetView>
  </sheetViews>
  <sheetFormatPr defaultRowHeight="14.5" x14ac:dyDescent="0.35"/>
  <cols>
    <col min="1" max="1" width="13.26953125" bestFit="1" customWidth="1"/>
    <col min="2" max="2" width="10" bestFit="1" customWidth="1"/>
    <col min="3" max="3" width="12.7265625" customWidth="1"/>
    <col min="4" max="4" width="0.7265625" hidden="1" customWidth="1"/>
    <col min="5" max="5" width="12.36328125" bestFit="1" customWidth="1"/>
    <col min="6" max="6" width="10" bestFit="1" customWidth="1"/>
    <col min="8" max="8" width="12.36328125" bestFit="1" customWidth="1"/>
    <col min="9" max="9" width="10" bestFit="1" customWidth="1"/>
    <col min="11" max="11" width="12.36328125" bestFit="1" customWidth="1"/>
    <col min="12" max="12" width="10" bestFit="1" customWidth="1"/>
    <col min="14" max="14" width="12.36328125" bestFit="1" customWidth="1"/>
    <col min="15" max="15" width="10" bestFit="1" customWidth="1"/>
    <col min="17" max="17" width="12.36328125" bestFit="1" customWidth="1"/>
    <col min="18" max="18" width="9.90625" bestFit="1" customWidth="1"/>
    <col min="19" max="19" width="9.453125" bestFit="1" customWidth="1"/>
    <col min="21" max="21" width="12.36328125" bestFit="1" customWidth="1"/>
    <col min="22" max="22" width="10" bestFit="1" customWidth="1"/>
    <col min="24" max="24" width="12.36328125" bestFit="1" customWidth="1"/>
    <col min="25" max="25" width="10" bestFit="1" customWidth="1"/>
    <col min="27" max="27" width="16.6328125" bestFit="1" customWidth="1"/>
    <col min="28" max="28" width="10" bestFit="1" customWidth="1"/>
    <col min="30" max="30" width="12.36328125" bestFit="1" customWidth="1"/>
    <col min="31" max="31" width="10" bestFit="1" customWidth="1"/>
    <col min="33" max="33" width="13.26953125" bestFit="1" customWidth="1"/>
    <col min="34" max="34" width="15.1796875" bestFit="1" customWidth="1"/>
    <col min="35" max="36" width="14.08984375" bestFit="1" customWidth="1"/>
    <col min="38" max="38" width="14.90625" bestFit="1" customWidth="1"/>
    <col min="39" max="39" width="13.54296875" bestFit="1" customWidth="1"/>
    <col min="53" max="53" width="14.6328125" bestFit="1" customWidth="1"/>
    <col min="54" max="54" width="9.26953125" bestFit="1" customWidth="1"/>
    <col min="55" max="55" width="15.1796875" bestFit="1" customWidth="1"/>
    <col min="56" max="56" width="14.08984375" bestFit="1" customWidth="1"/>
  </cols>
  <sheetData>
    <row r="1" spans="1:39" ht="20" customHeight="1" x14ac:dyDescent="0.35">
      <c r="A1" s="36" t="s">
        <v>2305</v>
      </c>
      <c r="B1" s="36"/>
      <c r="E1" s="36" t="s">
        <v>2281</v>
      </c>
      <c r="F1" s="36"/>
      <c r="H1" s="36" t="s">
        <v>2282</v>
      </c>
      <c r="I1" s="36"/>
      <c r="K1" s="36" t="s">
        <v>2283</v>
      </c>
      <c r="L1" s="36"/>
      <c r="N1" s="36" t="s">
        <v>2284</v>
      </c>
      <c r="O1" s="36"/>
      <c r="Q1" s="36" t="s">
        <v>2285</v>
      </c>
      <c r="R1" s="36"/>
      <c r="S1" s="36"/>
      <c r="U1" s="36" t="s">
        <v>2286</v>
      </c>
      <c r="V1" s="36"/>
      <c r="X1" s="36" t="s">
        <v>2287</v>
      </c>
      <c r="Y1" s="36"/>
      <c r="AA1" s="36" t="s">
        <v>2288</v>
      </c>
      <c r="AB1" s="36"/>
      <c r="AD1" s="36" t="s">
        <v>2289</v>
      </c>
      <c r="AE1" s="36"/>
      <c r="AG1" s="36" t="s">
        <v>2290</v>
      </c>
      <c r="AH1" s="36"/>
      <c r="AI1" s="36"/>
      <c r="AJ1" s="36"/>
      <c r="AL1" s="36" t="s">
        <v>2291</v>
      </c>
      <c r="AM1" s="36"/>
    </row>
    <row r="2" spans="1:39" x14ac:dyDescent="0.35">
      <c r="A2" s="4" t="s">
        <v>2272</v>
      </c>
      <c r="B2" t="s">
        <v>2274</v>
      </c>
      <c r="E2" s="4" t="s">
        <v>2272</v>
      </c>
      <c r="F2" t="s">
        <v>2274</v>
      </c>
      <c r="H2" s="4" t="s">
        <v>2272</v>
      </c>
      <c r="I2" t="s">
        <v>2274</v>
      </c>
      <c r="K2" s="4" t="s">
        <v>2272</v>
      </c>
      <c r="L2" t="s">
        <v>2274</v>
      </c>
      <c r="N2" s="4" t="s">
        <v>2272</v>
      </c>
      <c r="O2" t="s">
        <v>2274</v>
      </c>
      <c r="Q2" s="4" t="s">
        <v>2272</v>
      </c>
      <c r="R2" t="s">
        <v>2275</v>
      </c>
      <c r="S2" t="s">
        <v>2276</v>
      </c>
      <c r="U2" s="4" t="s">
        <v>2272</v>
      </c>
      <c r="V2" t="s">
        <v>2274</v>
      </c>
      <c r="X2" s="4" t="s">
        <v>2272</v>
      </c>
      <c r="Y2" t="s">
        <v>2274</v>
      </c>
      <c r="AA2" s="4" t="s">
        <v>2272</v>
      </c>
      <c r="AB2" t="s">
        <v>2274</v>
      </c>
      <c r="AD2" s="4" t="s">
        <v>2272</v>
      </c>
      <c r="AE2" t="s">
        <v>2274</v>
      </c>
      <c r="AG2" s="4" t="s">
        <v>2272</v>
      </c>
      <c r="AH2" t="s">
        <v>2277</v>
      </c>
      <c r="AI2" t="s">
        <v>2278</v>
      </c>
      <c r="AJ2" t="s">
        <v>2279</v>
      </c>
      <c r="AL2" s="4" t="s">
        <v>2272</v>
      </c>
      <c r="AM2" t="s">
        <v>2280</v>
      </c>
    </row>
    <row r="3" spans="1:39" x14ac:dyDescent="0.35">
      <c r="A3" s="5" t="s">
        <v>93</v>
      </c>
      <c r="B3" s="6">
        <v>231</v>
      </c>
      <c r="E3" s="5" t="s">
        <v>34</v>
      </c>
      <c r="F3" s="6">
        <v>969</v>
      </c>
      <c r="H3" s="5" t="s">
        <v>2306</v>
      </c>
      <c r="I3" s="6">
        <v>1022</v>
      </c>
      <c r="K3" s="5" t="s">
        <v>26</v>
      </c>
      <c r="L3" s="6">
        <v>1810</v>
      </c>
      <c r="N3" s="5" t="s">
        <v>36</v>
      </c>
      <c r="O3" s="6">
        <v>640</v>
      </c>
      <c r="Q3" s="5" t="s">
        <v>43</v>
      </c>
      <c r="R3" s="1">
        <v>144759.34126984127</v>
      </c>
      <c r="S3" s="1">
        <v>26830.349206349205</v>
      </c>
      <c r="U3" s="5" t="s">
        <v>44</v>
      </c>
      <c r="V3" s="6">
        <v>242</v>
      </c>
      <c r="X3" s="5" t="s">
        <v>80</v>
      </c>
      <c r="Y3" s="6">
        <v>437</v>
      </c>
      <c r="AA3" s="5" t="s">
        <v>205</v>
      </c>
      <c r="AB3" s="6">
        <v>39</v>
      </c>
      <c r="AD3" s="5" t="s">
        <v>31</v>
      </c>
      <c r="AE3" s="6">
        <v>1640</v>
      </c>
      <c r="AG3" s="5" t="s">
        <v>93</v>
      </c>
      <c r="AH3" s="3">
        <v>3.0173160173160172</v>
      </c>
      <c r="AI3" s="3">
        <v>81.19047619047619</v>
      </c>
      <c r="AJ3" s="2">
        <v>90.680519480519521</v>
      </c>
      <c r="AL3" s="5" t="s">
        <v>327</v>
      </c>
      <c r="AM3" s="1">
        <v>2900828</v>
      </c>
    </row>
    <row r="4" spans="1:39" x14ac:dyDescent="0.35">
      <c r="A4" s="5" t="s">
        <v>63</v>
      </c>
      <c r="B4" s="6">
        <v>216</v>
      </c>
      <c r="E4" s="5" t="s">
        <v>25</v>
      </c>
      <c r="F4" s="6">
        <v>1031</v>
      </c>
      <c r="H4" s="41" t="s">
        <v>2299</v>
      </c>
      <c r="I4" s="6">
        <v>262</v>
      </c>
      <c r="K4" s="5" t="s">
        <v>54</v>
      </c>
      <c r="L4" s="6">
        <v>190</v>
      </c>
      <c r="N4" s="5" t="s">
        <v>2267</v>
      </c>
      <c r="O4" s="6">
        <v>694</v>
      </c>
      <c r="Q4" s="5" t="s">
        <v>76</v>
      </c>
      <c r="R4" s="1">
        <v>143212.4842519685</v>
      </c>
      <c r="S4" s="1">
        <v>28265.437007874014</v>
      </c>
      <c r="U4" s="5" t="s">
        <v>116</v>
      </c>
      <c r="V4" s="6">
        <v>245</v>
      </c>
      <c r="X4" s="5" t="s">
        <v>2270</v>
      </c>
      <c r="Y4" s="6">
        <v>384</v>
      </c>
      <c r="AA4" s="5" t="s">
        <v>123</v>
      </c>
      <c r="AB4" s="6">
        <v>36</v>
      </c>
      <c r="AD4" s="5" t="s">
        <v>69</v>
      </c>
      <c r="AE4" s="6">
        <v>360</v>
      </c>
      <c r="AG4" s="5" t="s">
        <v>63</v>
      </c>
      <c r="AH4" s="3">
        <v>3.1203703703703702</v>
      </c>
      <c r="AI4" s="3">
        <v>80.759259259259252</v>
      </c>
      <c r="AJ4" s="2">
        <v>90.460648148148152</v>
      </c>
      <c r="AL4" s="5" t="s">
        <v>175</v>
      </c>
      <c r="AM4" s="1">
        <v>2485086</v>
      </c>
    </row>
    <row r="5" spans="1:39" x14ac:dyDescent="0.35">
      <c r="A5" s="5" t="s">
        <v>2303</v>
      </c>
      <c r="B5" s="6">
        <v>205</v>
      </c>
      <c r="E5" s="5" t="s">
        <v>2273</v>
      </c>
      <c r="F5" s="6">
        <v>2000</v>
      </c>
      <c r="H5" s="41" t="s">
        <v>2300</v>
      </c>
      <c r="I5" s="6">
        <v>262</v>
      </c>
      <c r="K5" s="5" t="s">
        <v>2273</v>
      </c>
      <c r="L5" s="6">
        <v>2000</v>
      </c>
      <c r="N5" s="5" t="s">
        <v>27</v>
      </c>
      <c r="O5" s="6">
        <v>666</v>
      </c>
      <c r="Q5" s="5" t="s">
        <v>79</v>
      </c>
      <c r="R5" s="1">
        <v>138348.78823529411</v>
      </c>
      <c r="S5" s="1">
        <v>27330.301960784313</v>
      </c>
      <c r="U5" s="5" t="s">
        <v>38</v>
      </c>
      <c r="V5" s="6">
        <v>262</v>
      </c>
      <c r="X5" s="5" t="s">
        <v>2269</v>
      </c>
      <c r="Y5" s="6">
        <v>408</v>
      </c>
      <c r="AA5" s="5" t="s">
        <v>83</v>
      </c>
      <c r="AB5" s="6">
        <v>43</v>
      </c>
      <c r="AD5" s="5" t="s">
        <v>2273</v>
      </c>
      <c r="AE5" s="6">
        <v>2000</v>
      </c>
      <c r="AG5" s="5" t="s">
        <v>2303</v>
      </c>
      <c r="AH5" s="3">
        <v>3.1951219512195124</v>
      </c>
      <c r="AI5" s="3">
        <v>79.848780487804873</v>
      </c>
      <c r="AJ5" s="2">
        <v>90.040975609756089</v>
      </c>
      <c r="AL5" s="5" t="s">
        <v>314</v>
      </c>
      <c r="AM5" s="1">
        <v>2456200</v>
      </c>
    </row>
    <row r="6" spans="1:39" x14ac:dyDescent="0.35">
      <c r="A6" s="5" t="s">
        <v>2304</v>
      </c>
      <c r="B6" s="6">
        <v>245</v>
      </c>
      <c r="H6" s="41" t="s">
        <v>2301</v>
      </c>
      <c r="I6" s="6">
        <v>238</v>
      </c>
      <c r="N6" s="5" t="s">
        <v>2273</v>
      </c>
      <c r="O6" s="6">
        <v>2000</v>
      </c>
      <c r="Q6" s="5" t="s">
        <v>12</v>
      </c>
      <c r="R6" s="1">
        <v>139728.11489361702</v>
      </c>
      <c r="S6" s="1">
        <v>28294.089361702128</v>
      </c>
      <c r="U6" s="5" t="s">
        <v>29</v>
      </c>
      <c r="V6" s="6">
        <v>251</v>
      </c>
      <c r="X6" s="5" t="s">
        <v>48</v>
      </c>
      <c r="Y6" s="6">
        <v>363</v>
      </c>
      <c r="AA6" s="5" t="s">
        <v>57</v>
      </c>
      <c r="AB6" s="6">
        <v>40</v>
      </c>
      <c r="AG6" s="5" t="s">
        <v>2304</v>
      </c>
      <c r="AH6" s="3">
        <v>2.9673469387755103</v>
      </c>
      <c r="AI6" s="3">
        <v>80.714285714285708</v>
      </c>
      <c r="AJ6" s="2">
        <v>89.526938775510231</v>
      </c>
      <c r="AL6" s="5" t="s">
        <v>267</v>
      </c>
      <c r="AM6" s="1">
        <v>2426245</v>
      </c>
    </row>
    <row r="7" spans="1:39" x14ac:dyDescent="0.35">
      <c r="A7" s="5" t="s">
        <v>52</v>
      </c>
      <c r="B7" s="6">
        <v>237</v>
      </c>
      <c r="H7" s="41" t="s">
        <v>2302</v>
      </c>
      <c r="I7" s="6">
        <v>260</v>
      </c>
      <c r="Q7" s="5" t="s">
        <v>53</v>
      </c>
      <c r="R7" s="1">
        <v>137213.75203252034</v>
      </c>
      <c r="S7" s="1">
        <v>26113.4918699187</v>
      </c>
      <c r="U7" s="5" t="s">
        <v>49</v>
      </c>
      <c r="V7" s="6">
        <v>243</v>
      </c>
      <c r="X7" s="5" t="s">
        <v>2268</v>
      </c>
      <c r="Y7" s="6">
        <v>408</v>
      </c>
      <c r="AA7" s="5" t="s">
        <v>96</v>
      </c>
      <c r="AB7" s="6">
        <v>32</v>
      </c>
      <c r="AG7" s="5" t="s">
        <v>52</v>
      </c>
      <c r="AH7" s="3">
        <v>3.0210970464135021</v>
      </c>
      <c r="AI7" s="3">
        <v>79.578059071729953</v>
      </c>
      <c r="AJ7" s="2">
        <v>90.026582278480959</v>
      </c>
      <c r="AL7" s="5" t="s">
        <v>548</v>
      </c>
      <c r="AM7" s="1">
        <v>2421709</v>
      </c>
    </row>
    <row r="8" spans="1:39" x14ac:dyDescent="0.35">
      <c r="A8" s="5" t="s">
        <v>86</v>
      </c>
      <c r="B8" s="6">
        <v>216</v>
      </c>
      <c r="H8" s="5" t="s">
        <v>2307</v>
      </c>
      <c r="I8" s="6">
        <v>978</v>
      </c>
      <c r="Q8" s="5" t="s">
        <v>35</v>
      </c>
      <c r="R8" s="1">
        <v>132719.17424242425</v>
      </c>
      <c r="S8" s="1">
        <v>26975.33712121212</v>
      </c>
      <c r="U8" s="5" t="s">
        <v>56</v>
      </c>
      <c r="V8" s="6">
        <v>282</v>
      </c>
      <c r="X8" s="5" t="s">
        <v>2273</v>
      </c>
      <c r="Y8" s="6">
        <v>2000</v>
      </c>
      <c r="AA8" s="5" t="s">
        <v>2273</v>
      </c>
      <c r="AB8" s="6">
        <v>190</v>
      </c>
      <c r="AG8" s="5" t="s">
        <v>86</v>
      </c>
      <c r="AH8" s="3">
        <v>3.0601851851851851</v>
      </c>
      <c r="AI8" s="3">
        <v>81.180555555555557</v>
      </c>
      <c r="AJ8" s="2">
        <v>90.321296296296325</v>
      </c>
      <c r="AL8" s="5" t="s">
        <v>537</v>
      </c>
      <c r="AM8" s="1">
        <v>2372393</v>
      </c>
    </row>
    <row r="9" spans="1:39" x14ac:dyDescent="0.35">
      <c r="A9" s="5" t="s">
        <v>109</v>
      </c>
      <c r="B9" s="6">
        <v>216</v>
      </c>
      <c r="H9" s="41" t="s">
        <v>2299</v>
      </c>
      <c r="I9" s="6">
        <v>223</v>
      </c>
      <c r="Q9" s="5" t="s">
        <v>90</v>
      </c>
      <c r="R9" s="1">
        <v>138584.16269841269</v>
      </c>
      <c r="S9" s="1">
        <v>27033.242063492064</v>
      </c>
      <c r="U9" s="5" t="s">
        <v>68</v>
      </c>
      <c r="V9" s="6">
        <v>242</v>
      </c>
      <c r="AG9" s="5" t="s">
        <v>109</v>
      </c>
      <c r="AH9" s="3">
        <v>3.0694444444444446</v>
      </c>
      <c r="AI9" s="3">
        <v>80.680555555555557</v>
      </c>
      <c r="AJ9" s="2">
        <v>89.733796296296333</v>
      </c>
      <c r="AL9" s="5" t="s">
        <v>531</v>
      </c>
      <c r="AM9" s="1">
        <v>2189824</v>
      </c>
    </row>
    <row r="10" spans="1:39" x14ac:dyDescent="0.35">
      <c r="A10" s="5" t="s">
        <v>42</v>
      </c>
      <c r="B10" s="6">
        <v>228</v>
      </c>
      <c r="H10" s="41" t="s">
        <v>2300</v>
      </c>
      <c r="I10" s="6">
        <v>229</v>
      </c>
      <c r="Q10" s="5" t="s">
        <v>72</v>
      </c>
      <c r="R10" s="1">
        <v>142251.40495867768</v>
      </c>
      <c r="S10" s="1">
        <v>26746.442148760332</v>
      </c>
      <c r="U10" s="5" t="s">
        <v>87</v>
      </c>
      <c r="V10" s="6">
        <v>233</v>
      </c>
      <c r="AG10" s="5" t="s">
        <v>42</v>
      </c>
      <c r="AH10" s="3">
        <v>3.0877192982456139</v>
      </c>
      <c r="AI10" s="3">
        <v>80.39473684210526</v>
      </c>
      <c r="AJ10" s="2">
        <v>90.886842105263113</v>
      </c>
      <c r="AL10" s="5" t="s">
        <v>41</v>
      </c>
      <c r="AM10" s="1">
        <v>2184253</v>
      </c>
    </row>
    <row r="11" spans="1:39" x14ac:dyDescent="0.35">
      <c r="A11" s="5" t="s">
        <v>67</v>
      </c>
      <c r="B11" s="6">
        <v>206</v>
      </c>
      <c r="H11" s="41" t="s">
        <v>2301</v>
      </c>
      <c r="I11" s="6">
        <v>255</v>
      </c>
      <c r="Q11" s="5" t="s">
        <v>2273</v>
      </c>
      <c r="R11" s="1">
        <v>139555.43350000001</v>
      </c>
      <c r="S11" s="1">
        <v>27194.715499999998</v>
      </c>
      <c r="U11" s="5" t="s">
        <v>2273</v>
      </c>
      <c r="V11" s="6">
        <v>2000</v>
      </c>
      <c r="AG11" s="5" t="s">
        <v>67</v>
      </c>
      <c r="AH11" s="3">
        <v>2.6990291262135924</v>
      </c>
      <c r="AI11" s="3">
        <v>79.398058252427191</v>
      </c>
      <c r="AJ11" s="2">
        <v>90.110194174757325</v>
      </c>
      <c r="AL11" s="5" t="s">
        <v>85</v>
      </c>
      <c r="AM11" s="1">
        <v>2164965</v>
      </c>
    </row>
    <row r="12" spans="1:39" x14ac:dyDescent="0.35">
      <c r="A12" s="5" t="s">
        <v>2273</v>
      </c>
      <c r="B12" s="6">
        <v>2000</v>
      </c>
      <c r="H12" s="41" t="s">
        <v>2302</v>
      </c>
      <c r="I12" s="6">
        <v>271</v>
      </c>
      <c r="AG12" s="5" t="s">
        <v>2273</v>
      </c>
      <c r="AH12" s="3">
        <v>3.0265</v>
      </c>
      <c r="AI12" s="3">
        <v>80.4255</v>
      </c>
      <c r="AJ12" s="2">
        <v>90.196150000000031</v>
      </c>
      <c r="AL12" s="5" t="s">
        <v>630</v>
      </c>
      <c r="AM12" s="1">
        <v>2156718</v>
      </c>
    </row>
    <row r="13" spans="1:39" x14ac:dyDescent="0.35">
      <c r="H13" s="5" t="s">
        <v>2273</v>
      </c>
      <c r="I13" s="6">
        <v>2000</v>
      </c>
      <c r="AL13" s="5" t="s">
        <v>118</v>
      </c>
      <c r="AM13" s="1">
        <v>2154508</v>
      </c>
    </row>
    <row r="14" spans="1:39" x14ac:dyDescent="0.35">
      <c r="AL14" s="5" t="s">
        <v>138</v>
      </c>
      <c r="AM14" s="1">
        <v>2143645</v>
      </c>
    </row>
    <row r="15" spans="1:39" x14ac:dyDescent="0.35">
      <c r="AL15" s="5" t="s">
        <v>379</v>
      </c>
      <c r="AM15" s="1">
        <v>2139922</v>
      </c>
    </row>
    <row r="16" spans="1:39" x14ac:dyDescent="0.35">
      <c r="AL16" s="5" t="s">
        <v>136</v>
      </c>
      <c r="AM16" s="1">
        <v>2136829</v>
      </c>
    </row>
    <row r="17" spans="38:39" x14ac:dyDescent="0.35">
      <c r="AL17" s="5" t="s">
        <v>386</v>
      </c>
      <c r="AM17" s="1">
        <v>2123915</v>
      </c>
    </row>
    <row r="18" spans="38:39" x14ac:dyDescent="0.35">
      <c r="AL18" s="5" t="s">
        <v>179</v>
      </c>
      <c r="AM18" s="1">
        <v>2117839</v>
      </c>
    </row>
    <row r="19" spans="38:39" x14ac:dyDescent="0.35">
      <c r="AL19" s="5" t="s">
        <v>349</v>
      </c>
      <c r="AM19" s="1">
        <v>2048841</v>
      </c>
    </row>
    <row r="20" spans="38:39" x14ac:dyDescent="0.35">
      <c r="AL20" s="5" t="s">
        <v>240</v>
      </c>
      <c r="AM20" s="1">
        <v>2041199</v>
      </c>
    </row>
    <row r="21" spans="38:39" x14ac:dyDescent="0.35">
      <c r="AL21" s="5" t="s">
        <v>144</v>
      </c>
      <c r="AM21" s="1">
        <v>2040553</v>
      </c>
    </row>
    <row r="22" spans="38:39" x14ac:dyDescent="0.35">
      <c r="AL22" s="5" t="s">
        <v>454</v>
      </c>
      <c r="AM22" s="1">
        <v>1995231</v>
      </c>
    </row>
    <row r="23" spans="38:39" x14ac:dyDescent="0.35">
      <c r="AL23" s="5" t="s">
        <v>201</v>
      </c>
      <c r="AM23" s="1">
        <v>1970092</v>
      </c>
    </row>
    <row r="24" spans="38:39" x14ac:dyDescent="0.35">
      <c r="AL24" s="5" t="s">
        <v>323</v>
      </c>
      <c r="AM24" s="1">
        <v>1955128</v>
      </c>
    </row>
    <row r="25" spans="38:39" x14ac:dyDescent="0.35">
      <c r="AL25" s="5" t="s">
        <v>111</v>
      </c>
      <c r="AM25" s="1">
        <v>1923806</v>
      </c>
    </row>
    <row r="26" spans="38:39" x14ac:dyDescent="0.35">
      <c r="AL26" s="5" t="s">
        <v>234</v>
      </c>
      <c r="AM26" s="1">
        <v>1909191</v>
      </c>
    </row>
    <row r="27" spans="38:39" x14ac:dyDescent="0.35">
      <c r="AL27" s="5" t="s">
        <v>291</v>
      </c>
      <c r="AM27" s="1">
        <v>1906594</v>
      </c>
    </row>
    <row r="28" spans="38:39" x14ac:dyDescent="0.35">
      <c r="AL28" s="5" t="s">
        <v>356</v>
      </c>
      <c r="AM28" s="1">
        <v>1896929</v>
      </c>
    </row>
    <row r="29" spans="38:39" x14ac:dyDescent="0.35">
      <c r="AL29" s="5" t="s">
        <v>263</v>
      </c>
      <c r="AM29" s="1">
        <v>1885047</v>
      </c>
    </row>
    <row r="30" spans="38:39" x14ac:dyDescent="0.35">
      <c r="AL30" s="5" t="s">
        <v>100</v>
      </c>
      <c r="AM30" s="1">
        <v>1883118</v>
      </c>
    </row>
    <row r="31" spans="38:39" x14ac:dyDescent="0.35">
      <c r="AL31" s="5" t="s">
        <v>113</v>
      </c>
      <c r="AM31" s="1">
        <v>1860577</v>
      </c>
    </row>
    <row r="32" spans="38:39" x14ac:dyDescent="0.35">
      <c r="AL32" s="5" t="s">
        <v>59</v>
      </c>
      <c r="AM32" s="1">
        <v>1856345</v>
      </c>
    </row>
    <row r="33" spans="38:39" x14ac:dyDescent="0.35">
      <c r="AL33" s="5" t="s">
        <v>157</v>
      </c>
      <c r="AM33" s="1">
        <v>1855585</v>
      </c>
    </row>
    <row r="34" spans="38:39" x14ac:dyDescent="0.35">
      <c r="AL34" s="5" t="s">
        <v>127</v>
      </c>
      <c r="AM34" s="1">
        <v>1854869</v>
      </c>
    </row>
    <row r="35" spans="38:39" x14ac:dyDescent="0.35">
      <c r="AL35" s="5" t="s">
        <v>261</v>
      </c>
      <c r="AM35" s="1">
        <v>1852667</v>
      </c>
    </row>
    <row r="36" spans="38:39" x14ac:dyDescent="0.35">
      <c r="AL36" s="5" t="s">
        <v>556</v>
      </c>
      <c r="AM36" s="1">
        <v>1839403</v>
      </c>
    </row>
    <row r="37" spans="38:39" x14ac:dyDescent="0.35">
      <c r="AL37" s="5" t="s">
        <v>134</v>
      </c>
      <c r="AM37" s="1">
        <v>1830826</v>
      </c>
    </row>
    <row r="38" spans="38:39" x14ac:dyDescent="0.35">
      <c r="AL38" s="5" t="s">
        <v>250</v>
      </c>
      <c r="AM38" s="1">
        <v>1823005</v>
      </c>
    </row>
    <row r="39" spans="38:39" x14ac:dyDescent="0.35">
      <c r="AL39" s="5" t="s">
        <v>464</v>
      </c>
      <c r="AM39" s="1">
        <v>1814162</v>
      </c>
    </row>
    <row r="40" spans="38:39" x14ac:dyDescent="0.35">
      <c r="AL40" s="5" t="s">
        <v>51</v>
      </c>
      <c r="AM40" s="1">
        <v>1804776</v>
      </c>
    </row>
    <row r="41" spans="38:39" x14ac:dyDescent="0.35">
      <c r="AL41" s="5" t="s">
        <v>278</v>
      </c>
      <c r="AM41" s="1">
        <v>1786475</v>
      </c>
    </row>
    <row r="42" spans="38:39" x14ac:dyDescent="0.35">
      <c r="AL42" s="5" t="s">
        <v>551</v>
      </c>
      <c r="AM42" s="1">
        <v>1774493</v>
      </c>
    </row>
    <row r="43" spans="38:39" x14ac:dyDescent="0.35">
      <c r="AL43" s="5" t="s">
        <v>104</v>
      </c>
      <c r="AM43" s="1">
        <v>1763873</v>
      </c>
    </row>
    <row r="44" spans="38:39" x14ac:dyDescent="0.35">
      <c r="AL44" s="5" t="s">
        <v>215</v>
      </c>
      <c r="AM44" s="1">
        <v>1763567</v>
      </c>
    </row>
    <row r="45" spans="38:39" x14ac:dyDescent="0.35">
      <c r="AL45" s="5" t="s">
        <v>153</v>
      </c>
      <c r="AM45" s="1">
        <v>1762694</v>
      </c>
    </row>
    <row r="46" spans="38:39" x14ac:dyDescent="0.35">
      <c r="AL46" s="5" t="s">
        <v>106</v>
      </c>
      <c r="AM46" s="1">
        <v>1758787</v>
      </c>
    </row>
    <row r="47" spans="38:39" x14ac:dyDescent="0.35">
      <c r="AL47" s="5" t="s">
        <v>265</v>
      </c>
      <c r="AM47" s="1">
        <v>1742058</v>
      </c>
    </row>
    <row r="48" spans="38:39" x14ac:dyDescent="0.35">
      <c r="AL48" s="5" t="s">
        <v>432</v>
      </c>
      <c r="AM48" s="1">
        <v>1729565</v>
      </c>
    </row>
    <row r="49" spans="38:39" x14ac:dyDescent="0.35">
      <c r="AL49" s="5" t="s">
        <v>300</v>
      </c>
      <c r="AM49" s="1">
        <v>1729263</v>
      </c>
    </row>
    <row r="50" spans="38:39" x14ac:dyDescent="0.35">
      <c r="AL50" s="5" t="s">
        <v>390</v>
      </c>
      <c r="AM50" s="1">
        <v>1723711</v>
      </c>
    </row>
    <row r="51" spans="38:39" x14ac:dyDescent="0.35">
      <c r="AL51" s="5" t="s">
        <v>258</v>
      </c>
      <c r="AM51" s="1">
        <v>1707551</v>
      </c>
    </row>
    <row r="52" spans="38:39" x14ac:dyDescent="0.35">
      <c r="AL52" s="5" t="s">
        <v>518</v>
      </c>
      <c r="AM52" s="1">
        <v>1705823</v>
      </c>
    </row>
    <row r="53" spans="38:39" x14ac:dyDescent="0.35">
      <c r="AL53" s="5" t="s">
        <v>244</v>
      </c>
      <c r="AM53" s="1">
        <v>1702826</v>
      </c>
    </row>
    <row r="54" spans="38:39" x14ac:dyDescent="0.35">
      <c r="AL54" s="5" t="s">
        <v>285</v>
      </c>
      <c r="AM54" s="1">
        <v>1688110</v>
      </c>
    </row>
    <row r="55" spans="38:39" x14ac:dyDescent="0.35">
      <c r="AL55" s="5" t="s">
        <v>341</v>
      </c>
      <c r="AM55" s="1">
        <v>1686367</v>
      </c>
    </row>
    <row r="56" spans="38:39" x14ac:dyDescent="0.35">
      <c r="AL56" s="5" t="s">
        <v>347</v>
      </c>
      <c r="AM56" s="1">
        <v>1684877</v>
      </c>
    </row>
    <row r="57" spans="38:39" x14ac:dyDescent="0.35">
      <c r="AL57" s="5" t="s">
        <v>62</v>
      </c>
      <c r="AM57" s="1">
        <v>1682055</v>
      </c>
    </row>
    <row r="58" spans="38:39" x14ac:dyDescent="0.35">
      <c r="AL58" s="5" t="s">
        <v>71</v>
      </c>
      <c r="AM58" s="1">
        <v>1679308</v>
      </c>
    </row>
    <row r="59" spans="38:39" x14ac:dyDescent="0.35">
      <c r="AL59" s="5" t="s">
        <v>207</v>
      </c>
      <c r="AM59" s="1">
        <v>1664147</v>
      </c>
    </row>
    <row r="60" spans="38:39" x14ac:dyDescent="0.35">
      <c r="AL60" s="5" t="s">
        <v>293</v>
      </c>
      <c r="AM60" s="1">
        <v>1663788</v>
      </c>
    </row>
    <row r="61" spans="38:39" x14ac:dyDescent="0.35">
      <c r="AL61" s="5" t="s">
        <v>210</v>
      </c>
      <c r="AM61" s="1">
        <v>1657026</v>
      </c>
    </row>
    <row r="62" spans="38:39" x14ac:dyDescent="0.35">
      <c r="AL62" s="5" t="s">
        <v>485</v>
      </c>
      <c r="AM62" s="1">
        <v>1653407</v>
      </c>
    </row>
    <row r="63" spans="38:39" x14ac:dyDescent="0.35">
      <c r="AL63" s="5" t="s">
        <v>248</v>
      </c>
      <c r="AM63" s="1">
        <v>1646783</v>
      </c>
    </row>
    <row r="64" spans="38:39" x14ac:dyDescent="0.35">
      <c r="AL64" s="5" t="s">
        <v>815</v>
      </c>
      <c r="AM64" s="1">
        <v>1644180</v>
      </c>
    </row>
    <row r="65" spans="38:39" x14ac:dyDescent="0.35">
      <c r="AL65" s="5" t="s">
        <v>471</v>
      </c>
      <c r="AM65" s="1">
        <v>1636237</v>
      </c>
    </row>
    <row r="66" spans="38:39" x14ac:dyDescent="0.35">
      <c r="AL66" s="5" t="s">
        <v>362</v>
      </c>
      <c r="AM66" s="1">
        <v>1626718</v>
      </c>
    </row>
    <row r="67" spans="38:39" x14ac:dyDescent="0.35">
      <c r="AL67" s="5" t="s">
        <v>246</v>
      </c>
      <c r="AM67" s="1">
        <v>1607926</v>
      </c>
    </row>
    <row r="68" spans="38:39" x14ac:dyDescent="0.35">
      <c r="AL68" s="5" t="s">
        <v>274</v>
      </c>
      <c r="AM68" s="1">
        <v>1583373</v>
      </c>
    </row>
    <row r="69" spans="38:39" x14ac:dyDescent="0.35">
      <c r="AL69" s="5" t="s">
        <v>619</v>
      </c>
      <c r="AM69" s="1">
        <v>1562846</v>
      </c>
    </row>
    <row r="70" spans="38:39" x14ac:dyDescent="0.35">
      <c r="AL70" s="5" t="s">
        <v>203</v>
      </c>
      <c r="AM70" s="1">
        <v>1555768</v>
      </c>
    </row>
    <row r="71" spans="38:39" x14ac:dyDescent="0.35">
      <c r="AL71" s="5" t="s">
        <v>191</v>
      </c>
      <c r="AM71" s="1">
        <v>1551035</v>
      </c>
    </row>
    <row r="72" spans="38:39" x14ac:dyDescent="0.35">
      <c r="AL72" s="5" t="s">
        <v>177</v>
      </c>
      <c r="AM72" s="1">
        <v>1543841</v>
      </c>
    </row>
    <row r="73" spans="38:39" x14ac:dyDescent="0.35">
      <c r="AL73" s="5" t="s">
        <v>694</v>
      </c>
      <c r="AM73" s="1">
        <v>1542599</v>
      </c>
    </row>
    <row r="74" spans="38:39" x14ac:dyDescent="0.35">
      <c r="AL74" s="5" t="s">
        <v>318</v>
      </c>
      <c r="AM74" s="1">
        <v>1541697</v>
      </c>
    </row>
    <row r="75" spans="38:39" x14ac:dyDescent="0.35">
      <c r="AL75" s="5" t="s">
        <v>806</v>
      </c>
      <c r="AM75" s="1">
        <v>1528253</v>
      </c>
    </row>
    <row r="76" spans="38:39" x14ac:dyDescent="0.35">
      <c r="AL76" s="5" t="s">
        <v>254</v>
      </c>
      <c r="AM76" s="1">
        <v>1521517</v>
      </c>
    </row>
    <row r="77" spans="38:39" x14ac:dyDescent="0.35">
      <c r="AL77" s="5" t="s">
        <v>718</v>
      </c>
      <c r="AM77" s="1">
        <v>1508201</v>
      </c>
    </row>
    <row r="78" spans="38:39" x14ac:dyDescent="0.35">
      <c r="AL78" s="5" t="s">
        <v>181</v>
      </c>
      <c r="AM78" s="1">
        <v>1505847</v>
      </c>
    </row>
    <row r="79" spans="38:39" x14ac:dyDescent="0.35">
      <c r="AL79" s="5" t="s">
        <v>583</v>
      </c>
      <c r="AM79" s="1">
        <v>1500492</v>
      </c>
    </row>
    <row r="80" spans="38:39" x14ac:dyDescent="0.35">
      <c r="AL80" s="5" t="s">
        <v>171</v>
      </c>
      <c r="AM80" s="1">
        <v>1492820</v>
      </c>
    </row>
    <row r="81" spans="38:39" x14ac:dyDescent="0.35">
      <c r="AL81" s="5" t="s">
        <v>311</v>
      </c>
      <c r="AM81" s="1">
        <v>1489259</v>
      </c>
    </row>
    <row r="82" spans="38:39" x14ac:dyDescent="0.35">
      <c r="AL82" s="5" t="s">
        <v>467</v>
      </c>
      <c r="AM82" s="1">
        <v>1487896</v>
      </c>
    </row>
    <row r="83" spans="38:39" x14ac:dyDescent="0.35">
      <c r="AL83" s="5" t="s">
        <v>399</v>
      </c>
      <c r="AM83" s="1">
        <v>1486392</v>
      </c>
    </row>
    <row r="84" spans="38:39" x14ac:dyDescent="0.35">
      <c r="AL84" s="5" t="s">
        <v>445</v>
      </c>
      <c r="AM84" s="1">
        <v>1477804</v>
      </c>
    </row>
    <row r="85" spans="38:39" x14ac:dyDescent="0.35">
      <c r="AL85" s="5" t="s">
        <v>1235</v>
      </c>
      <c r="AM85" s="1">
        <v>1469404</v>
      </c>
    </row>
    <row r="86" spans="38:39" x14ac:dyDescent="0.35">
      <c r="AL86" s="5" t="s">
        <v>222</v>
      </c>
      <c r="AM86" s="1">
        <v>1465194</v>
      </c>
    </row>
    <row r="87" spans="38:39" x14ac:dyDescent="0.35">
      <c r="AL87" s="5" t="s">
        <v>186</v>
      </c>
      <c r="AM87" s="1">
        <v>1449895</v>
      </c>
    </row>
    <row r="88" spans="38:39" x14ac:dyDescent="0.35">
      <c r="AL88" s="5" t="s">
        <v>443</v>
      </c>
      <c r="AM88" s="1">
        <v>1434547</v>
      </c>
    </row>
    <row r="89" spans="38:39" x14ac:dyDescent="0.35">
      <c r="AL89" s="5" t="s">
        <v>108</v>
      </c>
      <c r="AM89" s="1">
        <v>1431706</v>
      </c>
    </row>
    <row r="90" spans="38:39" x14ac:dyDescent="0.35">
      <c r="AL90" s="5" t="s">
        <v>162</v>
      </c>
      <c r="AM90" s="1">
        <v>1431284</v>
      </c>
    </row>
    <row r="91" spans="38:39" x14ac:dyDescent="0.35">
      <c r="AL91" s="5" t="s">
        <v>353</v>
      </c>
      <c r="AM91" s="1">
        <v>1425273</v>
      </c>
    </row>
    <row r="92" spans="38:39" x14ac:dyDescent="0.35">
      <c r="AL92" s="5" t="s">
        <v>220</v>
      </c>
      <c r="AM92" s="1">
        <v>1420673</v>
      </c>
    </row>
    <row r="93" spans="38:39" x14ac:dyDescent="0.35">
      <c r="AL93" s="5" t="s">
        <v>24</v>
      </c>
      <c r="AM93" s="1">
        <v>1420649</v>
      </c>
    </row>
    <row r="94" spans="38:39" x14ac:dyDescent="0.35">
      <c r="AL94" s="5" t="s">
        <v>358</v>
      </c>
      <c r="AM94" s="1">
        <v>1418337</v>
      </c>
    </row>
    <row r="95" spans="38:39" x14ac:dyDescent="0.35">
      <c r="AL95" s="5" t="s">
        <v>329</v>
      </c>
      <c r="AM95" s="1">
        <v>1406240</v>
      </c>
    </row>
    <row r="96" spans="38:39" x14ac:dyDescent="0.35">
      <c r="AL96" s="5" t="s">
        <v>256</v>
      </c>
      <c r="AM96" s="1">
        <v>1404985</v>
      </c>
    </row>
    <row r="97" spans="38:39" x14ac:dyDescent="0.35">
      <c r="AL97" s="5" t="s">
        <v>439</v>
      </c>
      <c r="AM97" s="1">
        <v>1404630</v>
      </c>
    </row>
    <row r="98" spans="38:39" x14ac:dyDescent="0.35">
      <c r="AL98" s="5" t="s">
        <v>526</v>
      </c>
      <c r="AM98" s="1">
        <v>1397983</v>
      </c>
    </row>
    <row r="99" spans="38:39" x14ac:dyDescent="0.35">
      <c r="AL99" s="5" t="s">
        <v>789</v>
      </c>
      <c r="AM99" s="1">
        <v>1395871</v>
      </c>
    </row>
    <row r="100" spans="38:39" x14ac:dyDescent="0.35">
      <c r="AL100" s="5" t="s">
        <v>173</v>
      </c>
      <c r="AM100" s="1">
        <v>1387110</v>
      </c>
    </row>
    <row r="101" spans="38:39" x14ac:dyDescent="0.35">
      <c r="AL101" s="5" t="s">
        <v>131</v>
      </c>
      <c r="AM101" s="1">
        <v>1372758</v>
      </c>
    </row>
    <row r="102" spans="38:39" x14ac:dyDescent="0.35">
      <c r="AL102" s="5" t="s">
        <v>581</v>
      </c>
      <c r="AM102" s="1">
        <v>1361234</v>
      </c>
    </row>
    <row r="103" spans="38:39" x14ac:dyDescent="0.35">
      <c r="AL103" s="5" t="s">
        <v>280</v>
      </c>
      <c r="AM103" s="1">
        <v>1354953</v>
      </c>
    </row>
    <row r="104" spans="38:39" x14ac:dyDescent="0.35">
      <c r="AL104" s="5" t="s">
        <v>302</v>
      </c>
      <c r="AM104" s="1">
        <v>1350679</v>
      </c>
    </row>
    <row r="105" spans="38:39" x14ac:dyDescent="0.35">
      <c r="AL105" s="5" t="s">
        <v>567</v>
      </c>
      <c r="AM105" s="1">
        <v>1341744</v>
      </c>
    </row>
    <row r="106" spans="38:39" x14ac:dyDescent="0.35">
      <c r="AL106" s="5" t="s">
        <v>197</v>
      </c>
      <c r="AM106" s="1">
        <v>1333756</v>
      </c>
    </row>
    <row r="107" spans="38:39" x14ac:dyDescent="0.35">
      <c r="AL107" s="5" t="s">
        <v>409</v>
      </c>
      <c r="AM107" s="1">
        <v>1318201</v>
      </c>
    </row>
    <row r="108" spans="38:39" x14ac:dyDescent="0.35">
      <c r="AL108" s="5" t="s">
        <v>372</v>
      </c>
      <c r="AM108" s="1">
        <v>1304600</v>
      </c>
    </row>
    <row r="109" spans="38:39" x14ac:dyDescent="0.35">
      <c r="AL109" s="5" t="s">
        <v>226</v>
      </c>
      <c r="AM109" s="1">
        <v>1302423</v>
      </c>
    </row>
    <row r="110" spans="38:39" x14ac:dyDescent="0.35">
      <c r="AL110" s="5" t="s">
        <v>149</v>
      </c>
      <c r="AM110" s="1">
        <v>1302201</v>
      </c>
    </row>
    <row r="111" spans="38:39" x14ac:dyDescent="0.35">
      <c r="AL111" s="5" t="s">
        <v>447</v>
      </c>
      <c r="AM111" s="1">
        <v>1301606</v>
      </c>
    </row>
    <row r="112" spans="38:39" x14ac:dyDescent="0.35">
      <c r="AL112" s="5" t="s">
        <v>403</v>
      </c>
      <c r="AM112" s="1">
        <v>1299002</v>
      </c>
    </row>
    <row r="113" spans="38:39" x14ac:dyDescent="0.35">
      <c r="AL113" s="5" t="s">
        <v>165</v>
      </c>
      <c r="AM113" s="1">
        <v>1288571</v>
      </c>
    </row>
    <row r="114" spans="38:39" x14ac:dyDescent="0.35">
      <c r="AL114" s="5" t="s">
        <v>82</v>
      </c>
      <c r="AM114" s="1">
        <v>1283755</v>
      </c>
    </row>
    <row r="115" spans="38:39" x14ac:dyDescent="0.35">
      <c r="AL115" s="5" t="s">
        <v>458</v>
      </c>
      <c r="AM115" s="1">
        <v>1283193</v>
      </c>
    </row>
    <row r="116" spans="38:39" x14ac:dyDescent="0.35">
      <c r="AL116" s="5" t="s">
        <v>461</v>
      </c>
      <c r="AM116" s="1">
        <v>1280437</v>
      </c>
    </row>
    <row r="117" spans="38:39" x14ac:dyDescent="0.35">
      <c r="AL117" s="5" t="s">
        <v>89</v>
      </c>
      <c r="AM117" s="1">
        <v>1272294</v>
      </c>
    </row>
    <row r="118" spans="38:39" x14ac:dyDescent="0.35">
      <c r="AL118" s="5" t="s">
        <v>424</v>
      </c>
      <c r="AM118" s="1">
        <v>1266809</v>
      </c>
    </row>
    <row r="119" spans="38:39" x14ac:dyDescent="0.35">
      <c r="AL119" s="5" t="s">
        <v>661</v>
      </c>
      <c r="AM119" s="1">
        <v>1262150</v>
      </c>
    </row>
    <row r="120" spans="38:39" x14ac:dyDescent="0.35">
      <c r="AL120" s="5" t="s">
        <v>388</v>
      </c>
      <c r="AM120" s="1">
        <v>1260767</v>
      </c>
    </row>
    <row r="121" spans="38:39" x14ac:dyDescent="0.35">
      <c r="AL121" s="5" t="s">
        <v>559</v>
      </c>
      <c r="AM121" s="1">
        <v>1260734</v>
      </c>
    </row>
    <row r="122" spans="38:39" x14ac:dyDescent="0.35">
      <c r="AL122" s="5" t="s">
        <v>75</v>
      </c>
      <c r="AM122" s="1">
        <v>1259597</v>
      </c>
    </row>
    <row r="123" spans="38:39" x14ac:dyDescent="0.35">
      <c r="AL123" s="5" t="s">
        <v>232</v>
      </c>
      <c r="AM123" s="1">
        <v>1258551</v>
      </c>
    </row>
    <row r="124" spans="38:39" x14ac:dyDescent="0.35">
      <c r="AL124" s="5" t="s">
        <v>151</v>
      </c>
      <c r="AM124" s="1">
        <v>1255935</v>
      </c>
    </row>
    <row r="125" spans="38:39" x14ac:dyDescent="0.35">
      <c r="AL125" s="5" t="s">
        <v>98</v>
      </c>
      <c r="AM125" s="1">
        <v>1254933</v>
      </c>
    </row>
    <row r="126" spans="38:39" x14ac:dyDescent="0.35">
      <c r="AL126" s="5" t="s">
        <v>506</v>
      </c>
      <c r="AM126" s="1">
        <v>1247537</v>
      </c>
    </row>
    <row r="127" spans="38:39" x14ac:dyDescent="0.35">
      <c r="AL127" s="5" t="s">
        <v>339</v>
      </c>
      <c r="AM127" s="1">
        <v>1243796</v>
      </c>
    </row>
    <row r="128" spans="38:39" x14ac:dyDescent="0.35">
      <c r="AL128" s="5" t="s">
        <v>237</v>
      </c>
      <c r="AM128" s="1">
        <v>1238250</v>
      </c>
    </row>
    <row r="129" spans="38:39" x14ac:dyDescent="0.35">
      <c r="AL129" s="5" t="s">
        <v>64</v>
      </c>
      <c r="AM129" s="1">
        <v>1231676</v>
      </c>
    </row>
    <row r="130" spans="38:39" x14ac:dyDescent="0.35">
      <c r="AL130" s="5" t="s">
        <v>167</v>
      </c>
      <c r="AM130" s="1">
        <v>1224769</v>
      </c>
    </row>
    <row r="131" spans="38:39" x14ac:dyDescent="0.35">
      <c r="AL131" s="5" t="s">
        <v>33</v>
      </c>
      <c r="AM131" s="1">
        <v>1212415</v>
      </c>
    </row>
    <row r="132" spans="38:39" x14ac:dyDescent="0.35">
      <c r="AL132" s="5" t="s">
        <v>333</v>
      </c>
      <c r="AM132" s="1">
        <v>1204622</v>
      </c>
    </row>
    <row r="133" spans="38:39" x14ac:dyDescent="0.35">
      <c r="AL133" s="5" t="s">
        <v>393</v>
      </c>
      <c r="AM133" s="1">
        <v>1196440</v>
      </c>
    </row>
    <row r="134" spans="38:39" x14ac:dyDescent="0.35">
      <c r="AL134" s="5" t="s">
        <v>160</v>
      </c>
      <c r="AM134" s="1">
        <v>1194226</v>
      </c>
    </row>
    <row r="135" spans="38:39" x14ac:dyDescent="0.35">
      <c r="AL135" s="5" t="s">
        <v>78</v>
      </c>
      <c r="AM135" s="1">
        <v>1193040</v>
      </c>
    </row>
    <row r="136" spans="38:39" x14ac:dyDescent="0.35">
      <c r="AL136" s="5" t="s">
        <v>475</v>
      </c>
      <c r="AM136" s="1">
        <v>1180025</v>
      </c>
    </row>
    <row r="137" spans="38:39" x14ac:dyDescent="0.35">
      <c r="AL137" s="5" t="s">
        <v>367</v>
      </c>
      <c r="AM137" s="1">
        <v>1155690</v>
      </c>
    </row>
    <row r="138" spans="38:39" x14ac:dyDescent="0.35">
      <c r="AL138" s="5" t="s">
        <v>646</v>
      </c>
      <c r="AM138" s="1">
        <v>1155296</v>
      </c>
    </row>
    <row r="139" spans="38:39" x14ac:dyDescent="0.35">
      <c r="AL139" s="5" t="s">
        <v>587</v>
      </c>
      <c r="AM139" s="1">
        <v>1153017</v>
      </c>
    </row>
    <row r="140" spans="38:39" x14ac:dyDescent="0.35">
      <c r="AL140" s="5" t="s">
        <v>344</v>
      </c>
      <c r="AM140" s="1">
        <v>1142125</v>
      </c>
    </row>
    <row r="141" spans="38:39" x14ac:dyDescent="0.35">
      <c r="AL141" s="5" t="s">
        <v>155</v>
      </c>
      <c r="AM141" s="1">
        <v>1139493</v>
      </c>
    </row>
    <row r="142" spans="38:39" x14ac:dyDescent="0.35">
      <c r="AL142" s="5" t="s">
        <v>540</v>
      </c>
      <c r="AM142" s="1">
        <v>1135768</v>
      </c>
    </row>
    <row r="143" spans="38:39" x14ac:dyDescent="0.35">
      <c r="AL143" s="5" t="s">
        <v>497</v>
      </c>
      <c r="AM143" s="1">
        <v>1128319</v>
      </c>
    </row>
    <row r="144" spans="38:39" x14ac:dyDescent="0.35">
      <c r="AL144" s="5" t="s">
        <v>295</v>
      </c>
      <c r="AM144" s="1">
        <v>1113087</v>
      </c>
    </row>
    <row r="145" spans="38:39" x14ac:dyDescent="0.35">
      <c r="AL145" s="5" t="s">
        <v>701</v>
      </c>
      <c r="AM145" s="1">
        <v>1106837</v>
      </c>
    </row>
    <row r="146" spans="38:39" x14ac:dyDescent="0.35">
      <c r="AL146" s="5" t="s">
        <v>195</v>
      </c>
      <c r="AM146" s="1">
        <v>1101733</v>
      </c>
    </row>
    <row r="147" spans="38:39" x14ac:dyDescent="0.35">
      <c r="AL147" s="5" t="s">
        <v>1015</v>
      </c>
      <c r="AM147" s="1">
        <v>1099105</v>
      </c>
    </row>
    <row r="148" spans="38:39" x14ac:dyDescent="0.35">
      <c r="AL148" s="5" t="s">
        <v>974</v>
      </c>
      <c r="AM148" s="1">
        <v>1083285</v>
      </c>
    </row>
    <row r="149" spans="38:39" x14ac:dyDescent="0.35">
      <c r="AL149" s="5" t="s">
        <v>95</v>
      </c>
      <c r="AM149" s="1">
        <v>1075959</v>
      </c>
    </row>
    <row r="150" spans="38:39" x14ac:dyDescent="0.35">
      <c r="AL150" s="5" t="s">
        <v>305</v>
      </c>
      <c r="AM150" s="1">
        <v>1066658</v>
      </c>
    </row>
    <row r="151" spans="38:39" x14ac:dyDescent="0.35">
      <c r="AL151" s="5" t="s">
        <v>218</v>
      </c>
      <c r="AM151" s="1">
        <v>1057058</v>
      </c>
    </row>
    <row r="152" spans="38:39" x14ac:dyDescent="0.35">
      <c r="AL152" s="5" t="s">
        <v>413</v>
      </c>
      <c r="AM152" s="1">
        <v>1056569</v>
      </c>
    </row>
    <row r="153" spans="38:39" x14ac:dyDescent="0.35">
      <c r="AL153" s="5" t="s">
        <v>742</v>
      </c>
      <c r="AM153" s="1">
        <v>1046928</v>
      </c>
    </row>
    <row r="154" spans="38:39" x14ac:dyDescent="0.35">
      <c r="AL154" s="5" t="s">
        <v>516</v>
      </c>
      <c r="AM154" s="1">
        <v>1043150</v>
      </c>
    </row>
    <row r="155" spans="38:39" x14ac:dyDescent="0.35">
      <c r="AL155" s="5" t="s">
        <v>709</v>
      </c>
      <c r="AM155" s="1">
        <v>1036158</v>
      </c>
    </row>
    <row r="156" spans="38:39" x14ac:dyDescent="0.35">
      <c r="AL156" s="5" t="s">
        <v>224</v>
      </c>
      <c r="AM156" s="1">
        <v>1034701</v>
      </c>
    </row>
    <row r="157" spans="38:39" x14ac:dyDescent="0.35">
      <c r="AL157" s="5" t="s">
        <v>435</v>
      </c>
      <c r="AM157" s="1">
        <v>1031208</v>
      </c>
    </row>
    <row r="158" spans="38:39" x14ac:dyDescent="0.35">
      <c r="AL158" s="5" t="s">
        <v>92</v>
      </c>
      <c r="AM158" s="1">
        <v>1026381</v>
      </c>
    </row>
    <row r="159" spans="38:39" x14ac:dyDescent="0.35">
      <c r="AL159" s="5" t="s">
        <v>1010</v>
      </c>
      <c r="AM159" s="1">
        <v>1019605</v>
      </c>
    </row>
    <row r="160" spans="38:39" x14ac:dyDescent="0.35">
      <c r="AL160" s="5" t="s">
        <v>115</v>
      </c>
      <c r="AM160" s="1">
        <v>1016466</v>
      </c>
    </row>
    <row r="161" spans="38:39" x14ac:dyDescent="0.35">
      <c r="AL161" s="5" t="s">
        <v>520</v>
      </c>
      <c r="AM161" s="1">
        <v>1009132</v>
      </c>
    </row>
    <row r="162" spans="38:39" x14ac:dyDescent="0.35">
      <c r="AL162" s="5" t="s">
        <v>142</v>
      </c>
      <c r="AM162" s="1">
        <v>994464</v>
      </c>
    </row>
    <row r="163" spans="38:39" x14ac:dyDescent="0.35">
      <c r="AL163" s="5" t="s">
        <v>672</v>
      </c>
      <c r="AM163" s="1">
        <v>987986</v>
      </c>
    </row>
    <row r="164" spans="38:39" x14ac:dyDescent="0.35">
      <c r="AL164" s="5" t="s">
        <v>288</v>
      </c>
      <c r="AM164" s="1">
        <v>981733</v>
      </c>
    </row>
    <row r="165" spans="38:39" x14ac:dyDescent="0.35">
      <c r="AL165" s="5" t="s">
        <v>102</v>
      </c>
      <c r="AM165" s="1">
        <v>965948</v>
      </c>
    </row>
    <row r="166" spans="38:39" x14ac:dyDescent="0.35">
      <c r="AL166" s="5" t="s">
        <v>297</v>
      </c>
      <c r="AM166" s="1">
        <v>962096</v>
      </c>
    </row>
    <row r="167" spans="38:39" x14ac:dyDescent="0.35">
      <c r="AL167" s="5" t="s">
        <v>66</v>
      </c>
      <c r="AM167" s="1">
        <v>958041</v>
      </c>
    </row>
    <row r="168" spans="38:39" x14ac:dyDescent="0.35">
      <c r="AL168" s="5" t="s">
        <v>370</v>
      </c>
      <c r="AM168" s="1">
        <v>948083</v>
      </c>
    </row>
    <row r="169" spans="38:39" x14ac:dyDescent="0.35">
      <c r="AL169" s="5" t="s">
        <v>230</v>
      </c>
      <c r="AM169" s="1">
        <v>942882</v>
      </c>
    </row>
    <row r="170" spans="38:39" x14ac:dyDescent="0.35">
      <c r="AL170" s="5" t="s">
        <v>405</v>
      </c>
      <c r="AM170" s="1">
        <v>935120</v>
      </c>
    </row>
    <row r="171" spans="38:39" x14ac:dyDescent="0.35">
      <c r="AL171" s="5" t="s">
        <v>199</v>
      </c>
      <c r="AM171" s="1">
        <v>931889</v>
      </c>
    </row>
    <row r="172" spans="38:39" x14ac:dyDescent="0.35">
      <c r="AL172" s="5" t="s">
        <v>169</v>
      </c>
      <c r="AM172" s="1">
        <v>930838</v>
      </c>
    </row>
    <row r="173" spans="38:39" x14ac:dyDescent="0.35">
      <c r="AL173" s="5" t="s">
        <v>880</v>
      </c>
      <c r="AM173" s="1">
        <v>922600</v>
      </c>
    </row>
    <row r="174" spans="38:39" x14ac:dyDescent="0.35">
      <c r="AL174" s="5" t="s">
        <v>189</v>
      </c>
      <c r="AM174" s="1">
        <v>920878</v>
      </c>
    </row>
    <row r="175" spans="38:39" x14ac:dyDescent="0.35">
      <c r="AL175" s="5" t="s">
        <v>624</v>
      </c>
      <c r="AM175" s="1">
        <v>914564</v>
      </c>
    </row>
    <row r="176" spans="38:39" x14ac:dyDescent="0.35">
      <c r="AL176" s="5" t="s">
        <v>422</v>
      </c>
      <c r="AM176" s="1">
        <v>907329</v>
      </c>
    </row>
    <row r="177" spans="38:39" x14ac:dyDescent="0.35">
      <c r="AL177" s="5" t="s">
        <v>193</v>
      </c>
      <c r="AM177" s="1">
        <v>905300</v>
      </c>
    </row>
    <row r="178" spans="38:39" x14ac:dyDescent="0.35">
      <c r="AL178" s="5" t="s">
        <v>184</v>
      </c>
      <c r="AM178" s="1">
        <v>890497</v>
      </c>
    </row>
    <row r="179" spans="38:39" x14ac:dyDescent="0.35">
      <c r="AL179" s="5" t="s">
        <v>384</v>
      </c>
      <c r="AM179" s="1">
        <v>889784</v>
      </c>
    </row>
    <row r="180" spans="38:39" x14ac:dyDescent="0.35">
      <c r="AL180" s="5" t="s">
        <v>228</v>
      </c>
      <c r="AM180" s="1">
        <v>887892</v>
      </c>
    </row>
    <row r="181" spans="38:39" x14ac:dyDescent="0.35">
      <c r="AL181" s="5" t="s">
        <v>1155</v>
      </c>
      <c r="AM181" s="1">
        <v>874394</v>
      </c>
    </row>
    <row r="182" spans="38:39" x14ac:dyDescent="0.35">
      <c r="AL182" s="5" t="s">
        <v>553</v>
      </c>
      <c r="AM182" s="1">
        <v>869308</v>
      </c>
    </row>
    <row r="183" spans="38:39" x14ac:dyDescent="0.35">
      <c r="AL183" s="5" t="s">
        <v>877</v>
      </c>
      <c r="AM183" s="1">
        <v>857343</v>
      </c>
    </row>
    <row r="184" spans="38:39" x14ac:dyDescent="0.35">
      <c r="AL184" s="5" t="s">
        <v>30</v>
      </c>
      <c r="AM184" s="1">
        <v>846068</v>
      </c>
    </row>
    <row r="185" spans="38:39" x14ac:dyDescent="0.35">
      <c r="AL185" s="5" t="s">
        <v>429</v>
      </c>
      <c r="AM185" s="1">
        <v>830498</v>
      </c>
    </row>
    <row r="186" spans="38:39" x14ac:dyDescent="0.35">
      <c r="AL186" s="5" t="s">
        <v>146</v>
      </c>
      <c r="AM186" s="1">
        <v>826760</v>
      </c>
    </row>
    <row r="187" spans="38:39" x14ac:dyDescent="0.35">
      <c r="AL187" s="5" t="s">
        <v>140</v>
      </c>
      <c r="AM187" s="1">
        <v>810086</v>
      </c>
    </row>
    <row r="188" spans="38:39" x14ac:dyDescent="0.35">
      <c r="AL188" s="5" t="s">
        <v>714</v>
      </c>
      <c r="AM188" s="1">
        <v>809073</v>
      </c>
    </row>
    <row r="189" spans="38:39" x14ac:dyDescent="0.35">
      <c r="AL189" s="5" t="s">
        <v>591</v>
      </c>
      <c r="AM189" s="1">
        <v>804366</v>
      </c>
    </row>
    <row r="190" spans="38:39" x14ac:dyDescent="0.35">
      <c r="AL190" s="5" t="s">
        <v>125</v>
      </c>
      <c r="AM190" s="1">
        <v>790892</v>
      </c>
    </row>
    <row r="191" spans="38:39" x14ac:dyDescent="0.35">
      <c r="AL191" s="5" t="s">
        <v>270</v>
      </c>
      <c r="AM191" s="1">
        <v>781569</v>
      </c>
    </row>
    <row r="192" spans="38:39" x14ac:dyDescent="0.35">
      <c r="AL192" s="5" t="s">
        <v>817</v>
      </c>
      <c r="AM192" s="1">
        <v>778936</v>
      </c>
    </row>
    <row r="193" spans="38:39" x14ac:dyDescent="0.35">
      <c r="AL193" s="5" t="s">
        <v>514</v>
      </c>
      <c r="AM193" s="1">
        <v>745333</v>
      </c>
    </row>
    <row r="194" spans="38:39" x14ac:dyDescent="0.35">
      <c r="AL194" s="5" t="s">
        <v>129</v>
      </c>
      <c r="AM194" s="1">
        <v>681804</v>
      </c>
    </row>
    <row r="195" spans="38:39" x14ac:dyDescent="0.35">
      <c r="AL195" s="5" t="s">
        <v>308</v>
      </c>
      <c r="AM195" s="1">
        <v>680921</v>
      </c>
    </row>
    <row r="196" spans="38:39" x14ac:dyDescent="0.35">
      <c r="AL196" s="5" t="s">
        <v>120</v>
      </c>
      <c r="AM196" s="1">
        <v>637152</v>
      </c>
    </row>
    <row r="197" spans="38:39" x14ac:dyDescent="0.35">
      <c r="AL197" s="5" t="s">
        <v>47</v>
      </c>
      <c r="AM197" s="1">
        <v>623778</v>
      </c>
    </row>
    <row r="198" spans="38:39" x14ac:dyDescent="0.35">
      <c r="AL198" s="5" t="s">
        <v>792</v>
      </c>
      <c r="AM198" s="1">
        <v>614151</v>
      </c>
    </row>
    <row r="199" spans="38:39" x14ac:dyDescent="0.35">
      <c r="AL199" s="5" t="s">
        <v>872</v>
      </c>
      <c r="AM199" s="1">
        <v>536066</v>
      </c>
    </row>
    <row r="200" spans="38:39" x14ac:dyDescent="0.35">
      <c r="AL200" s="5" t="s">
        <v>837</v>
      </c>
      <c r="AM200" s="1">
        <v>518805</v>
      </c>
    </row>
    <row r="201" spans="38:39" x14ac:dyDescent="0.35">
      <c r="AL201" s="5" t="s">
        <v>638</v>
      </c>
      <c r="AM201" s="1">
        <v>385830</v>
      </c>
    </row>
    <row r="202" spans="38:39" x14ac:dyDescent="0.35">
      <c r="AL202" s="5" t="s">
        <v>252</v>
      </c>
      <c r="AM202" s="1">
        <v>260544</v>
      </c>
    </row>
    <row r="203" spans="38:39" x14ac:dyDescent="0.35">
      <c r="AL203" s="5" t="s">
        <v>2273</v>
      </c>
      <c r="AM203" s="1">
        <v>279110867</v>
      </c>
    </row>
  </sheetData>
  <mergeCells count="12">
    <mergeCell ref="AL1:AM1"/>
    <mergeCell ref="E1:F1"/>
    <mergeCell ref="H1:I1"/>
    <mergeCell ref="K1:L1"/>
    <mergeCell ref="N1:O1"/>
    <mergeCell ref="Q1:S1"/>
    <mergeCell ref="U1:V1"/>
    <mergeCell ref="X1:Y1"/>
    <mergeCell ref="AA1:AB1"/>
    <mergeCell ref="AD1:AE1"/>
    <mergeCell ref="AG1:AJ1"/>
    <mergeCell ref="A1:B1"/>
  </mergeCells>
  <pageMargins left="0.7" right="0.7" top="0.75" bottom="0.75" header="0.3" footer="0.3"/>
  <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DF003-78DF-4946-80B4-AE170336EB22}">
  <sheetPr codeName="Sheet3"/>
  <dimension ref="A1:Q46"/>
  <sheetViews>
    <sheetView showGridLines="0" tabSelected="1" zoomScale="108" zoomScaleNormal="108" workbookViewId="0">
      <selection sqref="A1:Q2"/>
    </sheetView>
  </sheetViews>
  <sheetFormatPr defaultRowHeight="14.5" x14ac:dyDescent="0.35"/>
  <cols>
    <col min="1" max="17" width="10.1796875" style="37" customWidth="1"/>
    <col min="18" max="16384" width="8.7265625" style="37"/>
  </cols>
  <sheetData>
    <row r="1" spans="1:17" ht="20" customHeight="1" x14ac:dyDescent="0.35">
      <c r="A1" s="31" t="s">
        <v>2292</v>
      </c>
      <c r="B1" s="24"/>
      <c r="C1" s="24"/>
      <c r="D1" s="24"/>
      <c r="E1" s="24"/>
      <c r="F1" s="24"/>
      <c r="G1" s="24"/>
      <c r="H1" s="24"/>
      <c r="I1" s="24"/>
      <c r="J1" s="24"/>
      <c r="K1" s="24"/>
      <c r="L1" s="24"/>
      <c r="M1" s="24"/>
      <c r="N1" s="24"/>
      <c r="O1" s="24"/>
      <c r="P1" s="24"/>
      <c r="Q1" s="24"/>
    </row>
    <row r="2" spans="1:17" ht="20" customHeight="1" x14ac:dyDescent="0.35">
      <c r="A2" s="24"/>
      <c r="B2" s="24"/>
      <c r="C2" s="24"/>
      <c r="D2" s="24"/>
      <c r="E2" s="24"/>
      <c r="F2" s="24"/>
      <c r="G2" s="24"/>
      <c r="H2" s="24"/>
      <c r="I2" s="24"/>
      <c r="J2" s="24"/>
      <c r="K2" s="24"/>
      <c r="L2" s="24"/>
      <c r="M2" s="24"/>
      <c r="N2" s="24"/>
      <c r="O2" s="24"/>
      <c r="P2" s="24"/>
      <c r="Q2" s="24"/>
    </row>
    <row r="3" spans="1:17" ht="5" customHeight="1" x14ac:dyDescent="0.35">
      <c r="A3" s="7"/>
      <c r="B3" s="7"/>
      <c r="C3" s="7"/>
      <c r="D3" s="7"/>
      <c r="E3" s="7"/>
      <c r="F3" s="7"/>
      <c r="G3" s="7"/>
      <c r="H3" s="7"/>
      <c r="I3" s="7"/>
      <c r="J3" s="7"/>
      <c r="K3" s="7"/>
      <c r="L3" s="7"/>
      <c r="M3" s="7"/>
      <c r="N3" s="7"/>
      <c r="O3" s="7"/>
      <c r="P3" s="7"/>
      <c r="Q3" s="7"/>
    </row>
    <row r="4" spans="1:17" ht="16" customHeight="1" x14ac:dyDescent="0.35">
      <c r="A4" s="7"/>
      <c r="B4" s="25" t="s">
        <v>2293</v>
      </c>
      <c r="C4" s="26"/>
      <c r="D4" s="25" t="s">
        <v>2275</v>
      </c>
      <c r="E4" s="26"/>
      <c r="F4" s="25" t="s">
        <v>2277</v>
      </c>
      <c r="G4" s="26"/>
      <c r="H4" s="25" t="s">
        <v>2278</v>
      </c>
      <c r="I4" s="26"/>
      <c r="J4" s="25" t="s">
        <v>2294</v>
      </c>
      <c r="K4" s="26"/>
      <c r="L4" s="25" t="s">
        <v>2295</v>
      </c>
      <c r="M4" s="33"/>
      <c r="N4" s="7"/>
      <c r="O4" s="7"/>
      <c r="P4" s="7"/>
      <c r="Q4" s="7"/>
    </row>
    <row r="5" spans="1:17" ht="16" customHeight="1" x14ac:dyDescent="0.35">
      <c r="A5" s="7"/>
      <c r="B5" s="32">
        <f>COUNTA(Data!A2:A100000)</f>
        <v>2000</v>
      </c>
      <c r="C5" s="38"/>
      <c r="D5" s="32">
        <f>AVERAGE(Data!N2:N100000)</f>
        <v>139555.43350000001</v>
      </c>
      <c r="E5" s="38"/>
      <c r="F5" s="27">
        <f>AVERAGE(Data!S2:S100000)</f>
        <v>3.0265</v>
      </c>
      <c r="G5" s="39"/>
      <c r="H5" s="27">
        <f>AVERAGE(Data!U2:U100000)</f>
        <v>80.4255</v>
      </c>
      <c r="I5" s="39"/>
      <c r="J5" s="30">
        <f>COUNTIF(Data!V2:V100000,"Yes")/COUNTA(Data!A2:A100000)</f>
        <v>0.18</v>
      </c>
      <c r="K5" s="40"/>
      <c r="L5" s="30">
        <f>1-(COUNTIF(Data!H2:H100000,"Active")/COUNTA(Data!A2:A100000))</f>
        <v>9.4999999999999973E-2</v>
      </c>
      <c r="M5" s="34"/>
      <c r="N5" s="7"/>
      <c r="O5" s="7"/>
      <c r="P5" s="7"/>
      <c r="Q5" s="7"/>
    </row>
    <row r="6" spans="1:17" ht="16" customHeight="1" x14ac:dyDescent="0.35">
      <c r="A6" s="7"/>
      <c r="B6" s="28"/>
      <c r="C6" s="29"/>
      <c r="D6" s="28"/>
      <c r="E6" s="29"/>
      <c r="F6" s="28"/>
      <c r="G6" s="29"/>
      <c r="H6" s="28"/>
      <c r="I6" s="29"/>
      <c r="J6" s="28"/>
      <c r="K6" s="29"/>
      <c r="L6" s="28"/>
      <c r="M6" s="35"/>
      <c r="N6" s="7"/>
      <c r="O6" s="7"/>
      <c r="P6" s="7"/>
      <c r="Q6" s="7"/>
    </row>
    <row r="7" spans="1:17" ht="5" customHeight="1" x14ac:dyDescent="0.35">
      <c r="A7" s="7"/>
      <c r="B7" s="7"/>
      <c r="C7" s="7"/>
      <c r="D7" s="7"/>
      <c r="E7" s="7"/>
      <c r="F7" s="7"/>
      <c r="G7" s="7"/>
      <c r="H7" s="7"/>
      <c r="I7" s="7"/>
      <c r="J7" s="7"/>
      <c r="K7" s="7"/>
      <c r="L7" s="7"/>
      <c r="M7" s="7"/>
      <c r="N7" s="7"/>
      <c r="O7" s="7"/>
      <c r="P7" s="7"/>
      <c r="Q7" s="7"/>
    </row>
    <row r="8" spans="1:17" ht="15" customHeight="1" x14ac:dyDescent="0.35">
      <c r="A8" s="7"/>
      <c r="B8" s="7"/>
      <c r="C8" s="7"/>
      <c r="D8" s="7"/>
      <c r="E8" s="7"/>
      <c r="F8" s="7"/>
      <c r="G8" s="7"/>
      <c r="H8" s="7"/>
      <c r="I8" s="7"/>
      <c r="J8" s="7"/>
      <c r="K8" s="7"/>
      <c r="L8" s="7"/>
      <c r="M8" s="7"/>
      <c r="N8" s="7"/>
      <c r="O8" s="7"/>
      <c r="P8" s="7"/>
      <c r="Q8" s="7"/>
    </row>
    <row r="9" spans="1:17" ht="15" customHeight="1" x14ac:dyDescent="0.35">
      <c r="A9" s="7"/>
      <c r="B9" s="7"/>
      <c r="C9" s="7"/>
      <c r="D9" s="7"/>
      <c r="E9" s="7"/>
      <c r="F9" s="7"/>
      <c r="G9" s="7"/>
      <c r="H9" s="7"/>
      <c r="I9" s="7"/>
      <c r="J9" s="7"/>
      <c r="K9" s="7"/>
      <c r="L9" s="7"/>
      <c r="M9" s="7"/>
      <c r="N9" s="7"/>
      <c r="O9" s="7"/>
      <c r="P9" s="7"/>
      <c r="Q9" s="7"/>
    </row>
    <row r="10" spans="1:17" ht="15" customHeight="1" x14ac:dyDescent="0.35">
      <c r="A10" s="7"/>
      <c r="B10" s="7"/>
      <c r="C10" s="7"/>
      <c r="D10" s="7"/>
      <c r="E10" s="7"/>
      <c r="F10" s="7"/>
      <c r="G10" s="7"/>
      <c r="H10" s="7"/>
      <c r="I10" s="7"/>
      <c r="J10" s="7"/>
      <c r="K10" s="7"/>
      <c r="L10" s="7"/>
      <c r="M10" s="7"/>
      <c r="N10" s="7"/>
      <c r="O10" s="7"/>
      <c r="P10" s="7"/>
      <c r="Q10" s="7"/>
    </row>
    <row r="11" spans="1:17" ht="15" customHeight="1" x14ac:dyDescent="0.35">
      <c r="A11" s="7"/>
      <c r="B11" s="7"/>
      <c r="C11" s="7"/>
      <c r="D11" s="7"/>
      <c r="E11" s="7"/>
      <c r="F11" s="7"/>
      <c r="G11" s="7"/>
      <c r="H11" s="7"/>
      <c r="I11" s="7"/>
      <c r="J11" s="7"/>
      <c r="K11" s="7"/>
      <c r="L11" s="7"/>
      <c r="M11" s="7"/>
      <c r="N11" s="7"/>
      <c r="O11" s="7"/>
      <c r="P11" s="7"/>
      <c r="Q11" s="7"/>
    </row>
    <row r="12" spans="1:17" ht="15" customHeight="1" x14ac:dyDescent="0.35">
      <c r="A12" s="7"/>
      <c r="B12" s="7"/>
      <c r="C12" s="7"/>
      <c r="D12" s="7"/>
      <c r="E12" s="7"/>
      <c r="F12" s="7"/>
      <c r="G12" s="7"/>
      <c r="H12" s="7"/>
      <c r="I12" s="7"/>
      <c r="J12" s="7"/>
      <c r="K12" s="7"/>
      <c r="L12" s="7"/>
      <c r="M12" s="7"/>
      <c r="N12" s="7"/>
      <c r="O12" s="7"/>
      <c r="P12" s="7"/>
      <c r="Q12" s="7"/>
    </row>
    <row r="13" spans="1:17" ht="15" customHeight="1" x14ac:dyDescent="0.35">
      <c r="A13" s="7"/>
      <c r="B13" s="7"/>
      <c r="C13" s="7"/>
      <c r="D13" s="7"/>
      <c r="E13" s="7"/>
      <c r="F13" s="7"/>
      <c r="G13" s="7"/>
      <c r="H13" s="7"/>
      <c r="I13" s="7"/>
      <c r="J13" s="7"/>
      <c r="K13" s="7"/>
      <c r="L13" s="7"/>
      <c r="M13" s="7"/>
      <c r="N13" s="7"/>
      <c r="O13" s="7"/>
      <c r="P13" s="7"/>
      <c r="Q13" s="7"/>
    </row>
    <row r="14" spans="1:17" ht="15" customHeight="1" x14ac:dyDescent="0.35">
      <c r="A14" s="7"/>
      <c r="B14" s="7"/>
      <c r="C14" s="7"/>
      <c r="D14" s="7"/>
      <c r="E14" s="7"/>
      <c r="F14" s="7"/>
      <c r="G14" s="7"/>
      <c r="H14" s="7"/>
      <c r="I14" s="7"/>
      <c r="J14" s="7"/>
      <c r="K14" s="7"/>
      <c r="L14" s="7"/>
      <c r="M14" s="7"/>
      <c r="N14" s="7"/>
      <c r="O14" s="7"/>
      <c r="P14" s="7"/>
      <c r="Q14" s="7"/>
    </row>
    <row r="15" spans="1:17" ht="15" customHeight="1" x14ac:dyDescent="0.35">
      <c r="A15" s="7"/>
      <c r="B15" s="7"/>
      <c r="C15" s="7"/>
      <c r="D15" s="7"/>
      <c r="E15" s="7"/>
      <c r="F15" s="7"/>
      <c r="G15" s="7"/>
      <c r="H15" s="7"/>
      <c r="I15" s="7"/>
      <c r="J15" s="7"/>
      <c r="K15" s="7"/>
      <c r="L15" s="7"/>
      <c r="M15" s="7"/>
      <c r="N15" s="7"/>
      <c r="O15" s="7"/>
      <c r="P15" s="7"/>
      <c r="Q15" s="7"/>
    </row>
    <row r="16" spans="1:17" ht="15" customHeight="1" x14ac:dyDescent="0.35">
      <c r="A16" s="7"/>
      <c r="B16" s="7"/>
      <c r="C16" s="7"/>
      <c r="D16" s="7"/>
      <c r="E16" s="7"/>
      <c r="F16" s="7"/>
      <c r="G16" s="7"/>
      <c r="H16" s="7"/>
      <c r="I16" s="7"/>
      <c r="J16" s="7"/>
      <c r="K16" s="7"/>
      <c r="L16" s="7"/>
      <c r="M16" s="7"/>
      <c r="N16" s="7"/>
      <c r="O16" s="7"/>
      <c r="P16" s="7"/>
      <c r="Q16" s="7"/>
    </row>
    <row r="17" spans="1:17" ht="15" customHeight="1" x14ac:dyDescent="0.35">
      <c r="A17" s="7"/>
      <c r="B17" s="7"/>
      <c r="C17" s="7"/>
      <c r="D17" s="7"/>
      <c r="E17" s="7"/>
      <c r="F17" s="7"/>
      <c r="G17" s="7"/>
      <c r="H17" s="7"/>
      <c r="I17" s="7"/>
      <c r="J17" s="7"/>
      <c r="K17" s="7"/>
      <c r="L17" s="7"/>
      <c r="M17" s="7"/>
      <c r="N17" s="7"/>
      <c r="O17" s="7"/>
      <c r="P17" s="7"/>
      <c r="Q17" s="7"/>
    </row>
    <row r="18" spans="1:17" ht="15" customHeight="1" x14ac:dyDescent="0.35">
      <c r="A18" s="7"/>
      <c r="B18" s="7"/>
      <c r="C18" s="7"/>
      <c r="D18" s="7"/>
      <c r="E18" s="7"/>
      <c r="F18" s="7"/>
      <c r="G18" s="7"/>
      <c r="H18" s="7"/>
      <c r="I18" s="7"/>
      <c r="J18" s="7"/>
      <c r="K18" s="7"/>
      <c r="L18" s="7"/>
      <c r="M18" s="7"/>
      <c r="N18" s="7"/>
      <c r="O18" s="7"/>
      <c r="P18" s="7"/>
      <c r="Q18" s="7"/>
    </row>
    <row r="19" spans="1:17" ht="15" customHeight="1" x14ac:dyDescent="0.35">
      <c r="A19" s="7"/>
      <c r="B19" s="7"/>
      <c r="C19" s="7"/>
      <c r="D19" s="7"/>
      <c r="E19" s="7"/>
      <c r="F19" s="7"/>
      <c r="G19" s="7"/>
      <c r="H19" s="7"/>
      <c r="I19" s="7"/>
      <c r="J19" s="7"/>
      <c r="K19" s="7"/>
      <c r="L19" s="7"/>
      <c r="M19" s="7"/>
      <c r="N19" s="7"/>
      <c r="O19" s="7"/>
      <c r="P19" s="7"/>
      <c r="Q19" s="7"/>
    </row>
    <row r="20" spans="1:17" ht="15" customHeight="1" x14ac:dyDescent="0.35">
      <c r="A20" s="7"/>
      <c r="B20" s="7"/>
      <c r="C20" s="7"/>
      <c r="D20" s="7"/>
      <c r="E20" s="7"/>
      <c r="F20" s="7"/>
      <c r="G20" s="7"/>
      <c r="H20" s="7"/>
      <c r="I20" s="7"/>
      <c r="J20" s="7"/>
      <c r="K20" s="7"/>
      <c r="L20" s="7"/>
      <c r="M20" s="7"/>
      <c r="N20" s="7"/>
      <c r="O20" s="7"/>
      <c r="P20" s="7"/>
      <c r="Q20" s="7"/>
    </row>
    <row r="21" spans="1:17" ht="15" customHeight="1" x14ac:dyDescent="0.35">
      <c r="A21" s="7"/>
      <c r="B21" s="7"/>
      <c r="C21" s="7"/>
      <c r="D21" s="7"/>
      <c r="E21" s="7"/>
      <c r="F21" s="7"/>
      <c r="G21" s="7"/>
      <c r="H21" s="7"/>
      <c r="I21" s="7"/>
      <c r="J21" s="7"/>
      <c r="K21" s="7"/>
      <c r="L21" s="7"/>
      <c r="M21" s="7"/>
      <c r="N21" s="7"/>
      <c r="O21" s="7"/>
      <c r="P21" s="7"/>
      <c r="Q21" s="7"/>
    </row>
    <row r="22" spans="1:17" ht="15" customHeight="1" x14ac:dyDescent="0.35">
      <c r="A22" s="7"/>
      <c r="B22" s="7"/>
      <c r="C22" s="7"/>
      <c r="D22" s="7"/>
      <c r="E22" s="7"/>
      <c r="F22" s="7"/>
      <c r="G22" s="7"/>
      <c r="H22" s="7"/>
      <c r="I22" s="7"/>
      <c r="J22" s="7"/>
      <c r="K22" s="7"/>
      <c r="L22" s="7"/>
      <c r="M22" s="7"/>
      <c r="N22" s="7"/>
      <c r="O22" s="7"/>
      <c r="P22" s="7"/>
      <c r="Q22" s="7"/>
    </row>
    <row r="23" spans="1:17" ht="15" customHeight="1" x14ac:dyDescent="0.35">
      <c r="A23" s="7"/>
      <c r="B23" s="7"/>
      <c r="C23" s="7"/>
      <c r="D23" s="7"/>
      <c r="E23" s="7"/>
      <c r="F23" s="7"/>
      <c r="G23" s="7"/>
      <c r="H23" s="7"/>
      <c r="I23" s="7"/>
      <c r="J23" s="7"/>
      <c r="K23" s="7"/>
      <c r="L23" s="7"/>
      <c r="M23" s="7"/>
      <c r="N23" s="7"/>
      <c r="O23" s="7"/>
      <c r="P23" s="7"/>
      <c r="Q23" s="7"/>
    </row>
    <row r="24" spans="1:17" ht="15" customHeight="1" x14ac:dyDescent="0.35">
      <c r="A24" s="7"/>
      <c r="B24" s="7"/>
      <c r="C24" s="7"/>
      <c r="D24" s="7"/>
      <c r="E24" s="7"/>
      <c r="F24" s="7"/>
      <c r="G24" s="7"/>
      <c r="H24" s="7"/>
      <c r="I24" s="7"/>
      <c r="J24" s="7"/>
      <c r="K24" s="7"/>
      <c r="L24" s="7"/>
      <c r="M24" s="7"/>
      <c r="N24" s="7"/>
      <c r="O24" s="7"/>
      <c r="P24" s="7"/>
      <c r="Q24" s="7"/>
    </row>
    <row r="25" spans="1:17" ht="15" customHeight="1" x14ac:dyDescent="0.35">
      <c r="A25" s="7"/>
      <c r="B25" s="7"/>
      <c r="C25" s="7"/>
      <c r="D25" s="7"/>
      <c r="E25" s="7"/>
      <c r="F25" s="7"/>
      <c r="G25" s="7"/>
      <c r="H25" s="7"/>
      <c r="I25" s="7"/>
      <c r="J25" s="7"/>
      <c r="K25" s="7"/>
      <c r="L25" s="7"/>
      <c r="M25" s="7"/>
      <c r="N25" s="7"/>
      <c r="O25" s="7"/>
      <c r="P25" s="7"/>
      <c r="Q25" s="7"/>
    </row>
    <row r="26" spans="1:17" ht="15" customHeight="1" x14ac:dyDescent="0.35">
      <c r="A26" s="7"/>
      <c r="B26" s="7"/>
      <c r="C26" s="7"/>
      <c r="D26" s="7"/>
      <c r="E26" s="7"/>
      <c r="F26" s="7"/>
      <c r="G26" s="7"/>
      <c r="H26" s="7"/>
      <c r="I26" s="7"/>
      <c r="J26" s="7"/>
      <c r="K26" s="7"/>
      <c r="L26" s="7"/>
      <c r="M26" s="7"/>
      <c r="N26" s="7"/>
      <c r="O26" s="7"/>
      <c r="P26" s="7"/>
      <c r="Q26" s="7"/>
    </row>
    <row r="27" spans="1:17" ht="15" customHeight="1" x14ac:dyDescent="0.35">
      <c r="A27" s="7"/>
      <c r="B27" s="7"/>
      <c r="C27" s="7"/>
      <c r="D27" s="7"/>
      <c r="E27" s="7"/>
      <c r="F27" s="7"/>
      <c r="G27" s="7"/>
      <c r="H27" s="7"/>
      <c r="I27" s="7"/>
      <c r="J27" s="7"/>
      <c r="K27" s="7"/>
      <c r="L27" s="7"/>
      <c r="M27" s="7"/>
      <c r="N27" s="7"/>
      <c r="O27" s="7"/>
      <c r="P27" s="7"/>
      <c r="Q27" s="7"/>
    </row>
    <row r="28" spans="1:17" ht="15" customHeight="1" x14ac:dyDescent="0.35">
      <c r="A28" s="7"/>
      <c r="B28" s="7"/>
      <c r="C28" s="7"/>
      <c r="D28" s="7"/>
      <c r="E28" s="7"/>
      <c r="F28" s="7"/>
      <c r="G28" s="7"/>
      <c r="H28" s="7"/>
      <c r="I28" s="7"/>
      <c r="J28" s="7"/>
      <c r="K28" s="7"/>
      <c r="L28" s="7"/>
      <c r="M28" s="7"/>
      <c r="N28" s="7"/>
      <c r="O28" s="7"/>
      <c r="P28" s="7"/>
      <c r="Q28" s="7"/>
    </row>
    <row r="29" spans="1:17" ht="15" customHeight="1" x14ac:dyDescent="0.35">
      <c r="A29" s="7"/>
      <c r="B29" s="7"/>
      <c r="C29" s="7"/>
      <c r="D29" s="7"/>
      <c r="E29" s="7"/>
      <c r="F29" s="7"/>
      <c r="G29" s="7"/>
      <c r="H29" s="7"/>
      <c r="I29" s="7"/>
      <c r="J29" s="7"/>
      <c r="K29" s="7"/>
      <c r="L29" s="7"/>
      <c r="M29" s="7"/>
      <c r="N29" s="7"/>
      <c r="O29" s="7"/>
      <c r="P29" s="7"/>
      <c r="Q29" s="7"/>
    </row>
    <row r="30" spans="1:17" ht="15" customHeight="1" x14ac:dyDescent="0.35">
      <c r="A30" s="7"/>
      <c r="B30" s="7"/>
      <c r="C30" s="7"/>
      <c r="D30" s="7"/>
      <c r="E30" s="7"/>
      <c r="F30" s="7"/>
      <c r="G30" s="7"/>
      <c r="H30" s="7"/>
      <c r="I30" s="7"/>
      <c r="J30" s="7"/>
      <c r="K30" s="7"/>
      <c r="L30" s="7"/>
      <c r="M30" s="7"/>
      <c r="N30" s="7"/>
      <c r="O30" s="7"/>
      <c r="P30" s="7"/>
      <c r="Q30" s="7"/>
    </row>
    <row r="31" spans="1:17" ht="15" customHeight="1" x14ac:dyDescent="0.35">
      <c r="A31" s="7"/>
      <c r="B31" s="7"/>
      <c r="C31" s="7"/>
      <c r="D31" s="7"/>
      <c r="E31" s="7"/>
      <c r="F31" s="7"/>
      <c r="G31" s="7"/>
      <c r="H31" s="7"/>
      <c r="I31" s="7"/>
      <c r="J31" s="7"/>
      <c r="K31" s="7"/>
      <c r="L31" s="7"/>
      <c r="M31" s="7"/>
      <c r="N31" s="7"/>
      <c r="O31" s="7"/>
      <c r="P31" s="7"/>
      <c r="Q31" s="7"/>
    </row>
    <row r="32" spans="1:17" ht="20" customHeight="1" x14ac:dyDescent="0.35">
      <c r="A32" s="23" t="s">
        <v>2296</v>
      </c>
      <c r="B32" s="24"/>
      <c r="C32" s="24"/>
      <c r="D32" s="24"/>
      <c r="E32" s="24"/>
      <c r="F32" s="24"/>
      <c r="G32" s="24"/>
      <c r="H32" s="24"/>
      <c r="I32" s="24"/>
      <c r="J32" s="24"/>
      <c r="K32" s="24"/>
      <c r="L32" s="24"/>
      <c r="M32" s="24"/>
      <c r="N32" s="24"/>
      <c r="O32" s="24"/>
      <c r="P32" s="24"/>
      <c r="Q32" s="24"/>
    </row>
    <row r="33" spans="1:17" ht="15" customHeight="1" x14ac:dyDescent="0.35">
      <c r="A33" s="7"/>
      <c r="B33" s="7"/>
      <c r="C33" s="7"/>
      <c r="D33" s="7"/>
      <c r="E33" s="7"/>
      <c r="F33" s="7"/>
      <c r="G33" s="7"/>
      <c r="H33" s="7"/>
      <c r="I33" s="7"/>
      <c r="J33" s="7"/>
      <c r="K33" s="7"/>
      <c r="L33" s="7"/>
      <c r="M33" s="7"/>
      <c r="N33" s="7"/>
      <c r="O33" s="7"/>
      <c r="P33" s="7"/>
      <c r="Q33" s="7"/>
    </row>
    <row r="34" spans="1:17" ht="15" customHeight="1" x14ac:dyDescent="0.35">
      <c r="A34" s="7"/>
      <c r="B34" s="7"/>
      <c r="C34" s="7"/>
      <c r="D34" s="7"/>
      <c r="E34" s="7"/>
      <c r="F34" s="7"/>
      <c r="G34" s="7"/>
      <c r="H34" s="7"/>
      <c r="I34" s="7"/>
      <c r="J34" s="7"/>
      <c r="K34" s="7"/>
      <c r="L34" s="7"/>
      <c r="M34" s="7"/>
      <c r="N34" s="7"/>
      <c r="O34" s="7"/>
      <c r="P34" s="7"/>
      <c r="Q34" s="7"/>
    </row>
    <row r="35" spans="1:17" ht="15" customHeight="1" x14ac:dyDescent="0.35">
      <c r="A35" s="7"/>
      <c r="B35" s="7"/>
      <c r="C35" s="7"/>
      <c r="D35" s="7"/>
      <c r="E35" s="7"/>
      <c r="F35" s="7"/>
      <c r="G35" s="7"/>
      <c r="H35" s="7"/>
      <c r="I35" s="7"/>
      <c r="J35" s="7"/>
      <c r="K35" s="7"/>
      <c r="L35" s="7"/>
      <c r="M35" s="7"/>
      <c r="N35" s="7"/>
      <c r="O35" s="7"/>
      <c r="P35" s="7"/>
      <c r="Q35" s="7"/>
    </row>
    <row r="36" spans="1:17" ht="15" customHeight="1" x14ac:dyDescent="0.35">
      <c r="A36" s="7"/>
      <c r="B36" s="7"/>
      <c r="C36" s="7"/>
      <c r="D36" s="7"/>
      <c r="E36" s="7"/>
      <c r="F36" s="7"/>
      <c r="G36" s="7"/>
      <c r="H36" s="7"/>
      <c r="I36" s="7"/>
      <c r="J36" s="7"/>
      <c r="K36" s="7"/>
      <c r="L36" s="7"/>
      <c r="M36" s="7"/>
      <c r="N36" s="7"/>
      <c r="O36" s="7"/>
      <c r="P36" s="7"/>
      <c r="Q36" s="7"/>
    </row>
    <row r="37" spans="1:17" ht="15" customHeight="1" x14ac:dyDescent="0.35">
      <c r="A37" s="7"/>
      <c r="B37" s="7"/>
      <c r="C37" s="7"/>
      <c r="D37" s="7"/>
      <c r="E37" s="7"/>
      <c r="F37" s="7"/>
      <c r="G37" s="7"/>
      <c r="H37" s="7"/>
      <c r="I37" s="7"/>
      <c r="J37" s="7"/>
      <c r="K37" s="7"/>
      <c r="L37" s="7"/>
      <c r="M37" s="7"/>
      <c r="N37" s="7"/>
      <c r="O37" s="7"/>
      <c r="P37" s="7"/>
      <c r="Q37" s="7"/>
    </row>
    <row r="38" spans="1:17" ht="15" customHeight="1" x14ac:dyDescent="0.35">
      <c r="A38" s="7"/>
      <c r="B38" s="7"/>
      <c r="C38" s="7"/>
      <c r="D38" s="7"/>
      <c r="E38" s="7"/>
      <c r="F38" s="7"/>
      <c r="G38" s="7"/>
      <c r="H38" s="7"/>
      <c r="I38" s="7"/>
      <c r="J38" s="7"/>
      <c r="K38" s="7"/>
      <c r="L38" s="7"/>
      <c r="M38" s="7"/>
      <c r="N38" s="7"/>
      <c r="O38" s="7"/>
      <c r="P38" s="7"/>
      <c r="Q38" s="7"/>
    </row>
    <row r="39" spans="1:17" ht="15" customHeight="1" x14ac:dyDescent="0.35">
      <c r="A39" s="7"/>
      <c r="B39" s="7"/>
      <c r="C39" s="7"/>
      <c r="D39" s="7"/>
      <c r="E39" s="7"/>
      <c r="F39" s="7"/>
      <c r="G39" s="7"/>
      <c r="H39" s="7"/>
      <c r="I39" s="7"/>
      <c r="J39" s="7"/>
      <c r="K39" s="7"/>
      <c r="L39" s="7"/>
      <c r="M39" s="7"/>
      <c r="N39" s="7"/>
      <c r="O39" s="7"/>
      <c r="P39" s="7"/>
      <c r="Q39" s="7"/>
    </row>
    <row r="40" spans="1:17" ht="15" customHeight="1" x14ac:dyDescent="0.35">
      <c r="A40" s="7"/>
      <c r="B40" s="7"/>
      <c r="C40" s="7"/>
      <c r="D40" s="7"/>
      <c r="E40" s="7"/>
      <c r="F40" s="7"/>
      <c r="G40" s="7"/>
      <c r="H40" s="7"/>
      <c r="I40" s="7"/>
      <c r="J40" s="7"/>
      <c r="K40" s="7"/>
      <c r="L40" s="7"/>
      <c r="M40" s="7"/>
      <c r="N40" s="7"/>
      <c r="O40" s="7"/>
      <c r="P40" s="7"/>
      <c r="Q40" s="7"/>
    </row>
    <row r="41" spans="1:17" ht="15" customHeight="1" x14ac:dyDescent="0.35">
      <c r="A41" s="7"/>
      <c r="B41" s="7"/>
      <c r="C41" s="7"/>
      <c r="D41" s="7"/>
      <c r="E41" s="7"/>
      <c r="F41" s="7"/>
      <c r="G41" s="7"/>
      <c r="H41" s="7"/>
      <c r="I41" s="7"/>
      <c r="J41" s="7"/>
      <c r="K41" s="7"/>
      <c r="L41" s="7"/>
      <c r="M41" s="7"/>
      <c r="N41" s="7"/>
      <c r="O41" s="7"/>
      <c r="P41" s="7"/>
      <c r="Q41" s="7"/>
    </row>
    <row r="42" spans="1:17" ht="15" customHeight="1" x14ac:dyDescent="0.35">
      <c r="A42" s="7"/>
      <c r="B42" s="7"/>
      <c r="C42" s="7"/>
      <c r="D42" s="7"/>
      <c r="E42" s="7"/>
      <c r="F42" s="7"/>
      <c r="G42" s="7"/>
      <c r="H42" s="7"/>
      <c r="I42" s="7"/>
      <c r="J42" s="7"/>
      <c r="K42" s="7"/>
      <c r="L42" s="7"/>
      <c r="M42" s="7"/>
      <c r="N42" s="7"/>
      <c r="O42" s="7"/>
      <c r="P42" s="7"/>
      <c r="Q42" s="7"/>
    </row>
    <row r="43" spans="1:17" ht="15" customHeight="1" x14ac:dyDescent="0.35">
      <c r="A43" s="7"/>
      <c r="B43" s="7"/>
      <c r="C43" s="7"/>
      <c r="D43" s="7"/>
      <c r="E43" s="7"/>
      <c r="F43" s="7"/>
      <c r="G43" s="7"/>
      <c r="H43" s="7"/>
      <c r="I43" s="7"/>
      <c r="J43" s="7"/>
      <c r="K43" s="7"/>
      <c r="L43" s="7"/>
      <c r="M43" s="7"/>
      <c r="N43" s="7"/>
      <c r="O43" s="7"/>
      <c r="P43" s="7"/>
      <c r="Q43" s="7"/>
    </row>
    <row r="44" spans="1:17" ht="15" customHeight="1" x14ac:dyDescent="0.35">
      <c r="A44" s="7"/>
      <c r="B44" s="7"/>
      <c r="C44" s="7"/>
      <c r="D44" s="7"/>
      <c r="E44" s="7"/>
      <c r="F44" s="7"/>
      <c r="G44" s="7"/>
      <c r="H44" s="7"/>
      <c r="I44" s="7"/>
      <c r="J44" s="7"/>
      <c r="K44" s="7"/>
      <c r="L44" s="7"/>
      <c r="M44" s="7"/>
      <c r="N44" s="7"/>
      <c r="O44" s="7"/>
      <c r="P44" s="7"/>
      <c r="Q44" s="7"/>
    </row>
    <row r="45" spans="1:17" ht="15" customHeight="1" x14ac:dyDescent="0.35">
      <c r="A45" s="7"/>
      <c r="B45" s="7"/>
      <c r="C45" s="7"/>
      <c r="D45" s="7"/>
      <c r="E45" s="7"/>
      <c r="F45" s="7"/>
      <c r="G45" s="7"/>
      <c r="H45" s="7"/>
      <c r="I45" s="7"/>
      <c r="J45" s="7"/>
      <c r="K45" s="7"/>
      <c r="L45" s="7"/>
      <c r="M45" s="7"/>
      <c r="N45" s="7"/>
      <c r="O45" s="7"/>
      <c r="P45" s="7"/>
      <c r="Q45" s="7"/>
    </row>
    <row r="46" spans="1:17" ht="15" customHeight="1" x14ac:dyDescent="0.35">
      <c r="A46" s="7"/>
      <c r="B46" s="7"/>
      <c r="C46" s="7"/>
      <c r="D46" s="7"/>
      <c r="E46" s="7"/>
      <c r="F46" s="7"/>
      <c r="G46" s="7"/>
      <c r="H46" s="7"/>
      <c r="I46" s="7"/>
      <c r="J46" s="7"/>
      <c r="K46" s="7"/>
      <c r="L46" s="7"/>
      <c r="M46" s="7"/>
      <c r="N46" s="7"/>
      <c r="O46" s="7"/>
      <c r="P46" s="7"/>
      <c r="Q46" s="7"/>
    </row>
  </sheetData>
  <mergeCells count="20">
    <mergeCell ref="A1:Q2"/>
    <mergeCell ref="B4:C4"/>
    <mergeCell ref="B5:C5"/>
    <mergeCell ref="B6:C6"/>
    <mergeCell ref="D4:E4"/>
    <mergeCell ref="D5:E5"/>
    <mergeCell ref="D6:E6"/>
    <mergeCell ref="F4:G4"/>
    <mergeCell ref="F5:G5"/>
    <mergeCell ref="F6:G6"/>
    <mergeCell ref="L4:M4"/>
    <mergeCell ref="L5:M5"/>
    <mergeCell ref="L6:M6"/>
    <mergeCell ref="A32:Q32"/>
    <mergeCell ref="H4:I4"/>
    <mergeCell ref="H5:I5"/>
    <mergeCell ref="H6:I6"/>
    <mergeCell ref="J4:K4"/>
    <mergeCell ref="J5:K5"/>
    <mergeCell ref="J6:K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Moiza Irfan</cp:lastModifiedBy>
  <dcterms:created xsi:type="dcterms:W3CDTF">2026-07-06T12:12:06Z</dcterms:created>
  <dcterms:modified xsi:type="dcterms:W3CDTF">2026-07-09T04:25:07Z</dcterms:modified>
</cp:coreProperties>
</file>